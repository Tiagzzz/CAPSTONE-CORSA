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Dashboard" sheetId="2" r:id="rId5"/>
    <sheet state="visible" name="Inputs" sheetId="3" r:id="rId6"/>
    <sheet state="visible" name="Rent_Data" sheetId="4" r:id="rId7"/>
    <sheet state="visible" name="Location" sheetId="5" r:id="rId8"/>
    <sheet state="visible" name="Menu" sheetId="6" r:id="rId9"/>
    <sheet state="visible" name="Revenue" sheetId="7" r:id="rId10"/>
    <sheet state="visible" name="Staffing" sheetId="8" r:id="rId11"/>
    <sheet state="visible" name="OPEX" sheetId="9" r:id="rId12"/>
    <sheet state="visible" name="CAPEX (Buy)" sheetId="10" r:id="rId13"/>
    <sheet state="visible" name="CAPEX (Rent)" sheetId="11" r:id="rId14"/>
    <sheet state="visible" name="Funding" sheetId="12" r:id="rId15"/>
    <sheet state="visible" name="Scenarios" sheetId="13" r:id="rId16"/>
    <sheet state="visible" name="PnL_Monthly" sheetId="14" r:id="rId17"/>
    <sheet state="visible" name="Annual" sheetId="15" r:id="rId18"/>
    <sheet state="visible" name="Sensitivity" sheetId="16" r:id="rId19"/>
    <sheet state="visible" name="MonteCarlo" sheetId="17" r:id="rId20"/>
    <sheet state="visible" name="Sources" sheetId="18" r:id="rId21"/>
    <sheet state="visible" name="Research_Tracker" sheetId="19" r:id="rId22"/>
    <sheet state="visible" name="Methods" sheetId="20" r:id="rId23"/>
  </sheets>
  <definedNames/>
  <calcPr/>
  <extLst>
    <ext uri="GoogleSheetsCustomDataVersion2">
      <go:sheetsCustomData xmlns:go="http://customooxmlschemas.google.com/" r:id="rId24" roundtripDataChecksum="a7rTdwwDl2ZyuTycAIAQvoAK+d3EkoE7Q+IzfI6AOZ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
ID#AAACIYXutqA
Joshua Leonardo Roberts    (2026-10-11 13:08:03)
Under Article 27 of BKPM Regulation 5/2025, paid-up capital may be used for asset purchases, building investments and the company’s operating expenses. It should therefore not automatically be added to the investment budget as a separate, blocked amount.</t>
      </text>
    </comment>
  </commentList>
  <extLst>
    <ext uri="GoogleSheetsCustomDataVersion2">
      <go:sheetsCustomData xmlns:go="http://customooxmlschemas.google.com/" r:id="rId1" roundtripDataSignature="AMtx7miy16E896P4jORPJsfV+FIcCyKSH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ID#AAACIYXutqE
Joshua Leonardo Roberts    (2026-10-11 13:11:06)
Better distinguish in between IDR and CHF so it can be used for Investors easily</t>
      </text>
    </comment>
  </commentList>
  <extLst>
    <ext uri="GoogleSheetsCustomDataVersion2">
      <go:sheetsCustomData xmlns:go="http://customooxmlschemas.google.com/" r:id="rId1" roundtripDataSignature="AMtx7mh2zXU4hU9Q6YJpFYZqZUQ6p+ugRw=="/>
    </ext>
  </extLst>
</comments>
</file>

<file path=xl/sharedStrings.xml><?xml version="1.0" encoding="utf-8"?>
<sst xmlns="http://schemas.openxmlformats.org/spreadsheetml/2006/main" count="3349" uniqueCount="2029">
  <si>
    <t>CORSA Jakarta Flagship – Financial Model v0.2</t>
  </si>
  <si>
    <t>Inputs &amp; Scenario Assumptions</t>
  </si>
  <si>
    <r>
      <rPr>
        <rFont val="Arial"/>
        <i/>
        <color rgb="FF595959"/>
        <sz val="10.0"/>
      </rPr>
      <t xml:space="preserve"> </t>
    </r>
    <r>
      <rPr>
        <rFont val="Arial"/>
        <b/>
        <i/>
        <color rgb="FFFF0000"/>
        <sz val="16.0"/>
      </rPr>
      <t>Preliminary – most inputs are placeholders to be validated.</t>
    </r>
  </si>
  <si>
    <t>Every assumption lives here. Edit blue cells (columns E–G). Column H = active scenario. Column I = source IDs (Sources sheet), column K = how each value was calculated, column L = evidence status (green = sourced/derived, yellow = partly sourced, orange = assumption to validate).</t>
  </si>
  <si>
    <t xml:space="preserve">Note from Jonas </t>
  </si>
  <si>
    <t>ACTIVE SCENARIO (1 = Conservative, 2 = Base, 3 = Optimistic) →</t>
  </si>
  <si>
    <t xml:space="preserve">I created this Financial model to give me a general overview of all the components to take into account. I'm using it to. However, even if most data are sourced, I'm currently working on checking all the numbers and data, and verify the accuracy of the finidngs. Many data need to be discussed with the Pillar 1 team, and I'm waiting for their inputs to adjust the model. </t>
  </si>
  <si>
    <t>Rent Evidence – Asking Rents from Listing Portals (accessed 6–8 Oct 2026) – units of 100–200 m²</t>
  </si>
  <si>
    <t>Only units with 100–200 m² of rented surface are kept (all floors, any format), per the brief's 120–180 m². IDR per m² of rented surface per month; asking prices – deals usually 5–15% lower.</t>
  </si>
  <si>
    <t>Jonas:</t>
  </si>
  <si>
    <t xml:space="preserve">I built this sheet to gather existing offers in both Tier 1 and Tier 2 locations and have an overview. </t>
  </si>
  <si>
    <t>Purpose</t>
  </si>
  <si>
    <t>Test whether a 120–180 m² CORSA flagship in Jakarta works commercially, what it costs, whether CHF 200k is enough and which assumptions matter most.</t>
  </si>
  <si>
    <t>How to use</t>
  </si>
  <si>
    <t>1) Pick scenario in Inputs!D4.  2) Edit blue cells only (Inputs, Rent_Data, Menu, Staffing, CAPEX unit costs, Revenue dwell times).  3) Read Dashboard, Scenarios, Sensitivity, MonteCarlo.</t>
  </si>
  <si>
    <t>Colour code</t>
  </si>
  <si>
    <r>
      <rPr>
        <rFont val="Arial"/>
        <color rgb="FF366092"/>
        <sz val="10.0"/>
      </rPr>
      <t>Blue text</t>
    </r>
    <r>
      <rPr>
        <rFont val="Arial"/>
        <color rgb="FF000000"/>
        <sz val="10.0"/>
      </rPr>
      <t xml:space="preserve"> = hard-coded input · Black = formula · </t>
    </r>
    <r>
      <rPr>
        <rFont val="Arial"/>
        <color rgb="FF00B050"/>
        <sz val="10.0"/>
      </rPr>
      <t>Green</t>
    </r>
    <r>
      <rPr>
        <rFont val="Arial"/>
        <color rgb="FF000000"/>
        <sz val="10.0"/>
      </rPr>
      <t xml:space="preserve"> = link to another sheet · Yellow fill = key assumption · Light-green fill = key output.</t>
    </r>
  </si>
  <si>
    <t>Currency</t>
  </si>
  <si>
    <t>Model runs in IDR; CHF shown at the Inputs FX rate. Menu prices are NET of the 10% restaurant tax (PBJT), which is passed through to guests.</t>
  </si>
  <si>
    <t>Sheet map</t>
  </si>
  <si>
    <t>Dashboard → Inputs → Rent_Data → Location → Menu → Revenue → Staffing → OPEX → CAPEX → Funding → Scenarios → PnL_Monthly → Annual → Sensitivity → MonteCarlo → Sources → Research_Tracker → Methods</t>
  </si>
  <si>
    <t>Scenario logic</t>
  </si>
  <si>
    <t>Conservative = fewer guests, lower spend, higher costs/rent, longer ramp-up. Optimistic = the reverse. Scenarios sheet calculates all three in parallel (steady state); PnL_Monthly runs the active one month by month.</t>
  </si>
  <si>
    <t>Biggest early finding</t>
  </si>
  <si>
    <t>Foreign-owned PT PMA rules (IDR 2.5bn paid-up ≈ CHF 115k, IDR 10bn investment plan ≈ CHF 460k per KBLI) may matter more for the CHF 200k question than the CAPEX itself – verify with a lawyer.</t>
  </si>
  <si>
    <t>Status</t>
  </si>
  <si>
    <t>Columns M–T: exact address as advertised, Google Maps link, link to the individual ad, listing ID, advertiser, ad date, verification note.</t>
  </si>
  <si>
    <t>v0.2 – structure complete, numbers indicative, every input traced to a source or marked as an assumption. See Research_Tracker for what to validate before 22 Oct.</t>
  </si>
  <si>
    <t xml:space="preserve">I voluntarily choose a range from 100 to 200sqm to get more locations (more accurate quantitative data) and avoid rejectance of surface that my be inexact in the offers. </t>
  </si>
  <si>
    <t>Sources (v0.2)</t>
  </si>
  <si>
    <t>Added 8 Oct 2026: 32 new sources (S46–S77) and a source trail on every sheet – per-row columns in Inputs (I, K, L), Staffing (K–M), CAPEX (K–M), Menu (O–Q), and a 'Sources &amp; calculation basis' table at the bottom of every other sheet (MonteCarlo: top right).</t>
  </si>
  <si>
    <t xml:space="preserve">These are selected available locations to give an idea of types of available surfaces and their prices . If @sam you have some contacts with agencies, I'd love to have a look and add their offers to this sheet </t>
  </si>
  <si>
    <t>Note from Jonas:</t>
  </si>
  <si>
    <t xml:space="preserve">These Inputs and scenarios have not been carefully reviewed yet. This sheet will be more relevant once other assumptions will be confirmed or infirmed </t>
  </si>
  <si>
    <t>#</t>
  </si>
  <si>
    <t>District</t>
  </si>
  <si>
    <t>Location / street</t>
  </si>
  <si>
    <t>Type</t>
  </si>
  <si>
    <t>Asking rent (IDR)</t>
  </si>
  <si>
    <t>Regarding the seasonality, the impact of Ramadan and seasons on the scheduling of consumptions as well as the quantity must be assessed (culture and society?)</t>
  </si>
  <si>
    <t>Period</t>
  </si>
  <si>
    <t>Monthly rent (IDR)</t>
  </si>
  <si>
    <t>Surface m² (all floors)</t>
  </si>
  <si>
    <t>Floors</t>
  </si>
  <si>
    <t>IDR / m² / month</t>
  </si>
  <si>
    <t>Source</t>
  </si>
  <si>
    <t>Note</t>
  </si>
  <si>
    <t>Exact address / building (as advertised)</t>
  </si>
  <si>
    <t>Map</t>
  </si>
  <si>
    <t>Listing (click to open)</t>
  </si>
  <si>
    <t>Key</t>
  </si>
  <si>
    <t>Listing URL</t>
  </si>
  <si>
    <t>Category</t>
  </si>
  <si>
    <t>Listing ID</t>
  </si>
  <si>
    <t>Parameter</t>
  </si>
  <si>
    <t>Advertiser / agent</t>
  </si>
  <si>
    <t>Ad date</t>
  </si>
  <si>
    <t>Unit</t>
  </si>
  <si>
    <t>Verification 8 Oct 2026</t>
  </si>
  <si>
    <t>Conservative</t>
  </si>
  <si>
    <t>Base</t>
  </si>
  <si>
    <t>Optimistic</t>
  </si>
  <si>
    <t>ACTIVE</t>
  </si>
  <si>
    <t>Source ID(s) &amp; key facts (see Sources sheet)</t>
  </si>
  <si>
    <t>Confidence</t>
  </si>
  <si>
    <t>SCBD</t>
  </si>
  <si>
    <t>How the value was calculated from the source</t>
  </si>
  <si>
    <t>Pacific Century Tower (rooftop F&amp;B space)</t>
  </si>
  <si>
    <t>F&amp;B space</t>
  </si>
  <si>
    <t>Evidence status</t>
  </si>
  <si>
    <t>GENERAL &amp; MACRO</t>
  </si>
  <si>
    <t>month</t>
  </si>
  <si>
    <t>fx</t>
  </si>
  <si>
    <t>Macro</t>
  </si>
  <si>
    <t>FX rate (IDR per 1 CHF)</t>
  </si>
  <si>
    <t>IDR/CHF</t>
  </si>
  <si>
    <t>S23</t>
  </si>
  <si>
    <t>Excl. VAT &amp; service charge</t>
  </si>
  <si>
    <t>Pacific Century Place (PCP) Tower, SCBD Lot 10, Jakarta Selatan – rooftop</t>
  </si>
  <si>
    <t>S16 (CHF/IDR spot ~21,580; 30-day avg 21,640; 90-day range 21,423–22,518)</t>
  </si>
  <si>
    <t>H</t>
  </si>
  <si>
    <t>Base 21,600 = 30-day average 21,640 rounded. Conservative 20,500 ≈ 5% below the 90-day low (weaker CHF→IDR conversion of equity). Optimistic 22,500 ≈ 90-day high 22,518.</t>
  </si>
  <si>
    <t>Derived from sources</t>
  </si>
  <si>
    <t>open_date</t>
  </si>
  <si>
    <t>Timing</t>
  </si>
  <si>
    <t>Opening month (first month of trading)</t>
  </si>
  <si>
    <t>date</t>
  </si>
  <si>
    <t xml:space="preserve">https://www.rumah123.com/en/property/jakarta-selatan-scbd/disewakan-space-utk-resto-bar-rooftop-di-pacific-century-tower-scbd-csr3740301/ </t>
  </si>
  <si>
    <t>S65 (PT PMA setup), S10 (fit-out); brief</t>
  </si>
  <si>
    <t>L</t>
  </si>
  <si>
    <t>Oct 2026 + ~3 months company setup/licensing (S65) + 3–4 months lease search &amp; fit-out + buffer ≈ Jul 2027. Timeline estimate, not a sourced figure.</t>
  </si>
  <si>
    <t>Assumption – validate</t>
  </si>
  <si>
    <t>days</t>
  </si>
  <si>
    <t>Trading days per month</t>
  </si>
  <si>
    <t>Team assumption (7-day operation); Ramadan/Lebaran handled by seasonality (S58)</t>
  </si>
  <si>
    <t>M</t>
  </si>
  <si>
    <t>30 trading days per month = 7-day opening. Closure days around Idul Fitri are captured through the Mar seasonality index, not here.</t>
  </si>
  <si>
    <t>price_inc</t>
  </si>
  <si>
    <t>Menu price increase p.a.</t>
  </si>
  <si>
    <t>%</t>
  </si>
  <si>
    <t>S18 (CPI 3.28% yoy Sep 2026; volatile food 5.03%; core 2.84%)</t>
  </si>
  <si>
    <t>csr3740301</t>
  </si>
  <si>
    <t>Zwitsa Bella Ratu (independent)</t>
  </si>
  <si>
    <t>Updated 28 Oct 2025</t>
  </si>
  <si>
    <t>Confirmed. Same space also advertised by Sangga Buana (2 duplicate ads). Excl. VAT &amp; service charge.</t>
  </si>
  <si>
    <t>Base 4% sits between headline CPI 3.28% and volatile-food inflation 5.03% (menu costs track food). Conservative 3% ≈ CPI (cannot pass on food inflation). Optimistic 5% ≈ volatile-food inflation.</t>
  </si>
  <si>
    <t>infl</t>
  </si>
  <si>
    <t>Opex inflation p.a.</t>
  </si>
  <si>
    <t>Equity Tower</t>
  </si>
  <si>
    <t>Office (reference)</t>
  </si>
  <si>
    <t>S18 (CPI 3.28%), S17 (BI target 2.5% ±1)</t>
  </si>
  <si>
    <t>Base 3.5% = CPI 3.28% rounded up / top of BI band. Conservative 4.5% = 1 pp above band. Optimistic 3.0% = band mid-point + 0.5 pp.</t>
  </si>
  <si>
    <t>wage_g</t>
  </si>
  <si>
    <t>Wage growth p.a.</t>
  </si>
  <si>
    <t>S22</t>
  </si>
  <si>
    <t>Office tower – reference only</t>
  </si>
  <si>
    <t>Equity Tower, SCBD Lot 9, Jl. Jend. Sudirman Kav. 52-53, Jakarta Selatan</t>
  </si>
  <si>
    <t>S04 (Jakarta UMP 2026 +6.17% vs 2025)</t>
  </si>
  <si>
    <t>Base 6.2% = latest UMP increase 6.17%. Conservative 7%, optimistic 5% = ±1 pp around it.</t>
  </si>
  <si>
    <t>cit</t>
  </si>
  <si>
    <t>Tax</t>
  </si>
  <si>
    <t>Corporate income tax rate</t>
  </si>
  <si>
    <t>S15 (PT PMA not eligible for 0.5% MSME final tax); UU HPP – CIT 22%</t>
  </si>
  <si>
    <t>Statutory corporate rate 22% applied to all scenarios.</t>
  </si>
  <si>
    <t>Sourced</t>
  </si>
  <si>
    <t>pbjt</t>
  </si>
  <si>
    <t>Restaurant tax PBJT (charged on top of menu prices)</t>
  </si>
  <si>
    <t xml:space="preserve">https://www.rumah123.com/en/rent/jakarta-selatan/scbd/commercial-space/ </t>
  </si>
  <si>
    <t>S13 (Jakarta PBJT food &amp; beverage 10%), S03</t>
  </si>
  <si>
    <t>10% charged on top of net menu prices and passed to the government → excluded from revenue.</t>
  </si>
  <si>
    <t>vat</t>
  </si>
  <si>
    <t>Non-recoverable VAT on CAPEX &amp; services</t>
  </si>
  <si>
    <t>S03 (restaurants collect PBJT, not VAT → input VAT not creditable); VAT rate 11%</t>
  </si>
  <si>
    <t>11% statutory VAT on CAPEX/services treated as a cost because it cannot be reclaimed.</t>
  </si>
  <si>
    <t>LOCATION &amp; SPACE</t>
  </si>
  <si>
    <t>not found</t>
  </si>
  <si>
    <t>Putera Frans – Century21 Rich Realty (on results page)</t>
  </si>
  <si>
    <t>not shown</t>
  </si>
  <si>
    <t>Individual ad not found (unverified candidates on Rumah123: ofr4180086, ofr4456549). Office tower – reference only.</t>
  </si>
  <si>
    <t>district</t>
  </si>
  <si>
    <t>Location</t>
  </si>
  <si>
    <t>Senopati main road</t>
  </si>
  <si>
    <t>Selected district (1 SCBD, 2 Senopati main road, 3 Senopati side streets, 4 Kuningan, 5 Kemang, 6 PIK)</t>
  </si>
  <si>
    <t>Jl. Suryo – 3rd floor only</t>
  </si>
  <si>
    <t>Upper floor in building</t>
  </si>
  <si>
    <t>Location Economics – District Comparison</t>
  </si>
  <si>
    <t>year</t>
  </si>
  <si>
    <t>Rent statistics come from Rent_Data. Scores and demand index are judgement inputs (blue) – replace with field observation (footfall counts, competitor mapping).</t>
  </si>
  <si>
    <t xml:space="preserve">Georaphical information would be really interesting to assess the areas. </t>
  </si>
  <si>
    <t>Location sheet (scores from S20–S29, S46)</t>
  </si>
  <si>
    <t>-</t>
  </si>
  <si>
    <t>Decision input: 2 = Senopati main road (highest weighted score with acceptable rent).</t>
  </si>
  <si>
    <t xml:space="preserve">The choice of criteria as well as their weight may be edited depending on goals and findings from group1 </t>
  </si>
  <si>
    <t>Decision / policy</t>
  </si>
  <si>
    <t>sqm</t>
  </si>
  <si>
    <t>S78</t>
  </si>
  <si>
    <t>Space</t>
  </si>
  <si>
    <t>Upper floor, not street level</t>
  </si>
  <si>
    <t>Criteria weights →</t>
  </si>
  <si>
    <t>Usable floor area (ground floor focus)</t>
  </si>
  <si>
    <t>Jl. Suryo (= Jl. Senopati), Kebayoran Baru, Jakarta Selatan</t>
  </si>
  <si>
    <t>m²</t>
  </si>
  <si>
    <t>Brief (120–180 m², ground floor)</t>
  </si>
  <si>
    <t>150 m² = mid-point of the brief's 120–180 m² range.</t>
  </si>
  <si>
    <t>gfa_factor</t>
  </si>
  <si>
    <t>Paid surface ÷ trading surface (non-trading space you still pay for)</t>
  </si>
  <si>
    <t>x</t>
  </si>
  <si>
    <t xml:space="preserve">https://www.rumah123.com/en/rent/jakarta-selatan/senopati/shophouse/ </t>
  </si>
  <si>
    <t>Rent_Data (v0.5: listings filtered to 100–200 m² of total rented surface)</t>
  </si>
  <si>
    <t>Tier</t>
  </si>
  <si>
    <t>Rent P25 (IDR/m²/mo)</t>
  </si>
  <si>
    <t>Rent median</t>
  </si>
  <si>
    <t>Rent_Data now holds units of 100–200 m² total surface (all floors), matching the brief's 120–180 m², so rent = rate × 150 m² with no upper-floor gross-up (base/optimistic 1.0). Conservative 1.2 = paying ~30 m² of stairs/storage/non-trading space (e.g. a 180 m² unit for 150 m² used). Team estimate.</t>
  </si>
  <si>
    <t>Rent P75</t>
  </si>
  <si>
    <t>n</t>
  </si>
  <si>
    <t>Service charge IDR/m²/mo</t>
  </si>
  <si>
    <t>Partly sourced</t>
  </si>
  <si>
    <t>Demand index (Senopati=1)</t>
  </si>
  <si>
    <t>Footfall</t>
  </si>
  <si>
    <t>Office density</t>
  </si>
  <si>
    <t>Target-customer fit</t>
  </si>
  <si>
    <t>Visibility / street</t>
  </si>
  <si>
    <t>Competition (5=low)</t>
  </si>
  <si>
    <t>foh_share</t>
  </si>
  <si>
    <t>Access (MRT etc.)</t>
  </si>
  <si>
    <t>Dining area share of usable area</t>
  </si>
  <si>
    <t>Weighted score (/5)</t>
  </si>
  <si>
    <t>Monthly rent+SC for model unit</t>
  </si>
  <si>
    <t>Est. monthly revenue</t>
  </si>
  <si>
    <t>Occupancy cost % of revenue</t>
  </si>
  <si>
    <t>Est. EBITDA / month</t>
  </si>
  <si>
    <t>Break-even revenue / day</t>
  </si>
  <si>
    <t>Rent cap @12% → max monthly rent</t>
  </si>
  <si>
    <t>S35 (Toast: ~60/40 dining/kitchen split)</t>
  </si>
  <si>
    <t>Main-road premium × (used while n &lt; 3)</t>
  </si>
  <si>
    <t>60% of 150 m² = 90 m² dining area.</t>
  </si>
  <si>
    <t>results page only</t>
  </si>
  <si>
    <t>Efendi Tobing – BAA Homes</t>
  </si>
  <si>
    <t>updated c. 4 Oct 2026</t>
  </si>
  <si>
    <t>sqm_seat</t>
  </si>
  <si>
    <t>Seen on the Rumah123 results page only. Only 1 main-road listing → Location uses fallback until ≥3 (289k/m² vs fallback 267k: consistent).</t>
  </si>
  <si>
    <t>m² of dining area per seat</t>
  </si>
  <si>
    <t>Senopati side streets</t>
  </si>
  <si>
    <t>Wolter Monginsidi</t>
  </si>
  <si>
    <t>Ruko</t>
  </si>
  <si>
    <t>S35 (12–15 sq ft/seat ≈ 1.1–1.4 m²)</t>
  </si>
  <si>
    <t>1.5 m²/seat = top of the S35 range (1.4 m²) + comfort margin for a flagship → 90 m² / 1.5 = 60 seats.</t>
  </si>
  <si>
    <t>rent_sqm</t>
  </si>
  <si>
    <t>Rent</t>
  </si>
  <si>
    <t>Base rent (IDR per m² GFA per month)</t>
  </si>
  <si>
    <t>IDR</t>
  </si>
  <si>
    <t>S20</t>
  </si>
  <si>
    <t>Jl. Wolter Monginsidi, Kebayoran Baru, Jakarta Selatan</t>
  </si>
  <si>
    <t>https://www.flokq.com/sewa-ruko-jakarta/ruko/RKRbd0</t>
  </si>
  <si>
    <t>RKRbd0</t>
  </si>
  <si>
    <t>not shown on ad</t>
  </si>
  <si>
    <t>Confirmed (nego).</t>
  </si>
  <si>
    <t>Location → Rent_Data (S20–S26 listings)</t>
  </si>
  <si>
    <t>Linked: Optimistic = P25, Base = median, Conservative = P75 of asking rents per m² of rented surface (100–200 m² units) for the selected district. Senopati main road uses the side-street × premium fallback while it has &lt;3 listings.</t>
  </si>
  <si>
    <t>sc_sqm</t>
  </si>
  <si>
    <t>Service charge / CAM (IDR per m² per month)</t>
  </si>
  <si>
    <t>https://www.flokq.com/sewa-ruko-jakarta/ruko/RKRfe7</t>
  </si>
  <si>
    <t>RKRfe7</t>
  </si>
  <si>
    <t>Near Jl. Wolter Monginsidi, Kebayoran Baru, Jakarta Selatan</t>
  </si>
  <si>
    <t>https://www.flokq.com/sewa-ruko-jakarta/ruko/RKR37e</t>
  </si>
  <si>
    <t>RKR37e</t>
  </si>
  <si>
    <t>Wijaya</t>
  </si>
  <si>
    <t>Jl. Wijaya, Kebayoran Baru, Jakarta Selatan</t>
  </si>
  <si>
    <t>Location col G; S27 (mall SC IDR 154k/m²/mo)</t>
  </si>
  <si>
    <t>Linked: street ruko = 0 (owner pays building costs); mall/podium units use the Location sheet estimate (anchored on S27).</t>
  </si>
  <si>
    <t>rent_grossup</t>
  </si>
  <si>
    <t>Rent gross-up for 10% PPh 4(2) if landlord quotes net</t>
  </si>
  <si>
    <t>S14 (PPh 4(2) final tax 10% on gross rent, withheld by corporate tenant)</t>
  </si>
  <si>
    <t>If the landlord quotes rent net of tax, cost = net ÷ 0.9 → +11.1%. Conservative assumes net quote; base/optimistic assume gross quote (0%).</t>
  </si>
  <si>
    <t>https://www.flokq.com/sewa-ruko-jakarta/ruko/RKR485</t>
  </si>
  <si>
    <t>RKR485</t>
  </si>
  <si>
    <t>rent_esc</t>
  </si>
  <si>
    <t>Confirmed. Twin ad RKR100 (same price/m², 4 floors).</t>
  </si>
  <si>
    <t>Rent escalation p.a.</t>
  </si>
  <si>
    <t>Haji Nawi</t>
  </si>
  <si>
    <t>S18 (CPI 3.28%); S28/S29 (vacancy tightening, F&amp;B demand)</t>
  </si>
  <si>
    <t>Jl. Haji Nawi, Gandaria, Jakarta Selatan</t>
  </si>
  <si>
    <t>Base 6% ≈ CPI + ~3 pp for a tightening prime market. No published Jakarta ruko renewal-uplift statistic found → ask 2 brokers (Research_Tracker).</t>
  </si>
  <si>
    <t>prepay_m</t>
  </si>
  <si>
    <t>Rent paid upfront (months per payment block)</t>
  </si>
  <si>
    <t>months</t>
  </si>
  <si>
    <t>S20/S21 listings &amp; research notes (ruko leases min. 12 months, 1–2 yrs paid upfront)</t>
  </si>
  <si>
    <t>Base 12 months paid upfront per block; conservative 24 months.</t>
  </si>
  <si>
    <t>https://www.flokq.com/sewa-ruko-jakarta/ruko/RKR7b7</t>
  </si>
  <si>
    <t>RKR7b7</t>
  </si>
  <si>
    <t>Price shown on results page only; ad page says 'nego'.</t>
  </si>
  <si>
    <t>deposit_m</t>
  </si>
  <si>
    <t>Security deposit (months of rent)</t>
  </si>
  <si>
    <t>Haji Nawi Raya</t>
  </si>
  <si>
    <t>No public source found – market practice to confirm with brokers</t>
  </si>
  <si>
    <t>Jl. Haji Nawi Raya, Gandaria, Jakarta Selatan</t>
  </si>
  <si>
    <t>Security deposit 2 months (base). Validate in broker interviews.</t>
  </si>
  <si>
    <t>fitout_m</t>
  </si>
  <si>
    <t>Paid rent months during fit-out (before opening)</t>
  </si>
  <si>
    <t>No public source found – negotiation point</t>
  </si>
  <si>
    <t>Base: 2 months rent paid during fit-out; optimistic 1 (rent-free period negotiated).</t>
  </si>
  <si>
    <t>REVENUE AT MATURITY (per trading day, before ramp-up &amp; seasonality)</t>
  </si>
  <si>
    <t>cov_morning</t>
  </si>
  <si>
    <t>Revenue</t>
  </si>
  <si>
    <t>Guests – morning 07–11 (coffee, breakfast)</t>
  </si>
  <si>
    <t>https://www.flokq.com/sewa-ruko-jakarta/ruko/RKR678</t>
  </si>
  <si>
    <t>guests/day</t>
  </si>
  <si>
    <t>RKR678</t>
  </si>
  <si>
    <t>Confirmed.</t>
  </si>
  <si>
    <t>Kebayoran Baru</t>
  </si>
  <si>
    <t>Kebayoran Baru, near Treasury Tower &amp; Pacific Century Place, Jakarta Selatan</t>
  </si>
  <si>
    <t>S46 Volume_Proxy (busiest in-zone comparables ≈ 53–67 guests/day base, 106–134 high); S43 (Fore ≈ IDR 13m sales/store/day)</t>
  </si>
  <si>
    <t>Daypart split of a 200-guest day: morning 45 / lunch 75 / afternoon 35 / dinner 45. Cross-check: busiest in-zone pasta venues ≈ 53–67 guests/day at 100 guests/review (134 at 200/review); Fore Coffee IDR 1.5tn ÷ 316 stores ÷ 365 ≈ IDR 13m/day per store. CORSA base needs 200 → above any measured pasta comparable; this is the most important assumption to validate with field counts.</t>
  </si>
  <si>
    <t>tkt_morning</t>
  </si>
  <si>
    <t>https://www.flokq.com/sewa-ruko-jakarta/ruko/RKR6fb</t>
  </si>
  <si>
    <t>RKR6fb</t>
  </si>
  <si>
    <t>Avg net spend – morning</t>
  </si>
  <si>
    <t>c. Apr 2025 (photo filename)</t>
  </si>
  <si>
    <t>IDR/guest</t>
  </si>
  <si>
    <t>Kebayoran Baru, Jakarta Selatan (no street given)</t>
  </si>
  <si>
    <t>S31 (latte 45–52k, pastry), Menu sheet prices</t>
  </si>
  <si>
    <t>Latte 50k + 40% pastry attach × 38k ≈ 65k.</t>
  </si>
  <si>
    <t>cov_lunch</t>
  </si>
  <si>
    <t>Guests – lunch 11–15</t>
  </si>
  <si>
    <t>See cov_morning (S46, S43)</t>
  </si>
  <si>
    <t>75 guests = largest daypart (office lunch, SCBD/Senopati). Same evidence caveat as above.</t>
  </si>
  <si>
    <t>https://www.flokq.com/sewa-ruko-jakarta/ruko/RKRcae</t>
  </si>
  <si>
    <t>RKRcae</t>
  </si>
  <si>
    <t>c. Mar 2025 (photo filename)</t>
  </si>
  <si>
    <t>Confirmed (nego). Location vague.</t>
  </si>
  <si>
    <t>tkt_lunch</t>
  </si>
  <si>
    <t>Kyai Maja</t>
  </si>
  <si>
    <t>Avg net spend – lunch (pasta + drink)</t>
  </si>
  <si>
    <t>Jl. Kyai Maja, Kebayoran Baru, Jakarta Selatan</t>
  </si>
  <si>
    <t>https://www.flokq.com/sewa-ruko-jakarta/ruko/RKR927</t>
  </si>
  <si>
    <t>RKR927</t>
  </si>
  <si>
    <t>S46 (in-zone pasta venue median avg ~133k); S33/S34; Menu sheet</t>
  </si>
  <si>
    <t>Cipaku</t>
  </si>
  <si>
    <t>Pasta ~98k + 50% drink attach × ~45k ≈ 120k. Note: S46 shows in-zone pasta at ~133k → price headroom.</t>
  </si>
  <si>
    <t>cov_aft</t>
  </si>
  <si>
    <t>Guests – afternoon 15–18</t>
  </si>
  <si>
    <t>Jl. Cipaku, Kebayoran Baru (near Treasury Tower / Pacific Century Place), Jakarta Selatan</t>
  </si>
  <si>
    <t>35 guests (coffee/snack). No direct evidence.</t>
  </si>
  <si>
    <t>tkt_aft</t>
  </si>
  <si>
    <t>Avg net spend – afternoon</t>
  </si>
  <si>
    <t>S31, Menu sheet</t>
  </si>
  <si>
    <t>Coffee/functional drink ~50k + 50% snack attach × ~40k ≈ 70k.</t>
  </si>
  <si>
    <t>cov_dinner</t>
  </si>
  <si>
    <t>Guests – dinner 18–22</t>
  </si>
  <si>
    <t>https://www.flokq.com/sewa-ruko-jakarta/ruko/RKRb4b</t>
  </si>
  <si>
    <t>RKRb4b</t>
  </si>
  <si>
    <t>Added 8 Oct 2026. Price from Flokq results page (ad says nego). Cipaku is at the edge of the Senopati area.</t>
  </si>
  <si>
    <t>Kuningan</t>
  </si>
  <si>
    <t>Jl. HR Rasuna Said</t>
  </si>
  <si>
    <t>See cov_morning; S46 Weekday_Pattern (weekend ≈ 1.45× weekday)</t>
  </si>
  <si>
    <t>45 guests average incl. weekend uplift. No direct evidence.</t>
  </si>
  <si>
    <t>tkt_dinner</t>
  </si>
  <si>
    <t>Avg net spend – dinner</t>
  </si>
  <si>
    <t>S46, S33/S34 (casual Italian 100–200k pp), Menu sheet</t>
  </si>
  <si>
    <t>Pasta ~105k + 60% drink × 45k + 20% dessert × 55k ≈ 143k → 140k.</t>
  </si>
  <si>
    <t>del_orders</t>
  </si>
  <si>
    <t>Delivery orders per day (GoFood/GrabFood/ShopeeFood)</t>
  </si>
  <si>
    <t>orders/day</t>
  </si>
  <si>
    <t>S24</t>
  </si>
  <si>
    <t>S30 (delivery market USD 5.4bn; Grab 47% / Gojek 35% / Shopee 18%)</t>
  </si>
  <si>
    <t>Jl. HR Rasuna Said, Kuningan, Jakarta Selatan</t>
  </si>
  <si>
    <t>25 orders/day is a volume assumption; S30 only sizes the market.</t>
  </si>
  <si>
    <t>del_tkt</t>
  </si>
  <si>
    <t>Avg delivery order value (gross, app price)</t>
  </si>
  <si>
    <t>IDR/order</t>
  </si>
  <si>
    <t>S46 (delivery prices ~15.6% above dine-in net); S32 vs S31</t>
  </si>
  <si>
    <t>~100k dine-in basket × 1.156 ≈ 115k gross app value.</t>
  </si>
  <si>
    <t>takeaway</t>
  </si>
  <si>
    <t>https://www.flokq.com/sewa-ruko-jakarta/ruko/RKR3de</t>
  </si>
  <si>
    <t>Take-away share of in-store guests</t>
  </si>
  <si>
    <t>RKR3de</t>
  </si>
  <si>
    <t>Epicentrum Walk (Epiwalk) – ex-restaurant</t>
  </si>
  <si>
    <t>Shophouse in mall complex</t>
  </si>
  <si>
    <t>Brief (sit-down + take-away)</t>
  </si>
  <si>
    <t>30% of in-store guests take away – assumption.</t>
  </si>
  <si>
    <t>events_m</t>
  </si>
  <si>
    <t>Events &amp; B2B (catering, office) per month</t>
  </si>
  <si>
    <t>IDR/month</t>
  </si>
  <si>
    <t>S79</t>
  </si>
  <si>
    <t>Ex-resto, furnished, 24h mall access</t>
  </si>
  <si>
    <t>Epicentrum Walk, Jl. HR Rasuna Said, Kuningan, Jakarta Selatan</t>
  </si>
  <si>
    <t>No source – upside stream</t>
  </si>
  <si>
    <t>IDR 15m/month ≈ 2 small office caterings; 0 in conservative.</t>
  </si>
  <si>
    <t>retail_pct</t>
  </si>
  <si>
    <t>Retail (beans, pasta packs, merch) % of F&amp;B revenue</t>
  </si>
  <si>
    <t>No source</t>
  </si>
  <si>
    <t>2% of F&amp;B revenue (beans, pasta packs). Assumption.</t>
  </si>
  <si>
    <t>ramp_start</t>
  </si>
  <si>
    <t>Ramp-up</t>
  </si>
  <si>
    <t>Month-1 sales as % of mature level</t>
  </si>
  <si>
    <t>CORSA Jakarta Flagship – Dashboard</t>
  </si>
  <si>
    <t>https://www.rumah123.com/properti/jakarta-pusat-menteng/disewakan-ex-resto-di-epiwalk-rasuna-said-kuningan-shr9910999/</t>
  </si>
  <si>
    <t>shr9910999</t>
  </si>
  <si>
    <t>Gido – GadingPro Menteng</t>
  </si>
  <si>
    <t>c. Aug 2026</t>
  </si>
  <si>
    <t>Live outputs for the ACTIVE scenario (change it in Inputs!D4). All figures are preliminary estimates.</t>
  </si>
  <si>
    <t>Added 8 Oct 2026 from results page; ad page would not open – confirm with agent.</t>
  </si>
  <si>
    <t xml:space="preserve">Not from Jonas: </t>
  </si>
  <si>
    <t>S36 (Parsa: 26% fail in year 1); S60 (US chains stabilise after 13–26 weeks, often with an opening 'honeymoon')</t>
  </si>
  <si>
    <t>Kemang</t>
  </si>
  <si>
    <t>Benda Kemang</t>
  </si>
  <si>
    <t>Month 1 at 55% of mature sales. Caveat: S60 shows established chains often open ABOVE stable sales; a new foreign brand in a new market is assumed to build up instead.</t>
  </si>
  <si>
    <t>This sheet will make more sense once many more data will be confirmed and scenario tested</t>
  </si>
  <si>
    <t>ramp_months</t>
  </si>
  <si>
    <t>Months to reach maturity (100%)</t>
  </si>
  <si>
    <t xml:space="preserve">But the KPIs are relevant in my opinion </t>
  </si>
  <si>
    <t>S60 (stabilisation 13–26 weeks ≈ 3–6 months)</t>
  </si>
  <si>
    <t>Base 9 months (longer than S60's 3–6 months because brand is unknown in Jakarta); optimistic 6 = top of S60; conservative 12.</t>
  </si>
  <si>
    <t>Active scenario</t>
  </si>
  <si>
    <t>COGS &amp; VARIABLE COSTS</t>
  </si>
  <si>
    <t>cogs_uplift</t>
  </si>
  <si>
    <t>COGS</t>
  </si>
  <si>
    <t>Food &amp; beverage cost adjustment vs Menu sheet (pp)</t>
  </si>
  <si>
    <t>pp</t>
  </si>
  <si>
    <t>S25</t>
  </si>
  <si>
    <t>Jl. Benda / Kemang, Jakarta Selatan</t>
  </si>
  <si>
    <t>S16 (FX), S18 (volatile food 5%)</t>
  </si>
  <si>
    <t>±pp adjustment to the Menu blended cost for imported ingredients / FX / waste. Scenario spread is an assumption.</t>
  </si>
  <si>
    <t>Key question (brief)</t>
  </si>
  <si>
    <t>events_cogs</t>
  </si>
  <si>
    <t>https://www.flokq.com/sewa-ruko-jakarta/ruko/RKR422</t>
  </si>
  <si>
    <t>RKR422</t>
  </si>
  <si>
    <t>Events/B2B cost of goods %</t>
  </si>
  <si>
    <t>CHF</t>
  </si>
  <si>
    <t>Confirmed (rounded '20,8 juta', nego).</t>
  </si>
  <si>
    <t>Total investment requirement</t>
  </si>
  <si>
    <t>S49 (food cost 28.5–30.3%) + packaging/transport</t>
  </si>
  <si>
    <t>≈ 30% food cost + ~5 pp for packaging, transport and staff meals → 35%.</t>
  </si>
  <si>
    <t>retail_cogs</t>
  </si>
  <si>
    <t>Retail cost of goods %</t>
  </si>
  <si>
    <t>Kemang, Jakarta Selatan (no street given)</t>
  </si>
  <si>
    <t>55% COGS = 45% gross margin on retail goods. Assumption.</t>
  </si>
  <si>
    <t>pack_pct</t>
  </si>
  <si>
    <t>Variable</t>
  </si>
  <si>
    <t>Packaging % of take-away + delivery revenue</t>
  </si>
  <si>
    <t>S49 (packaging 1–2% of total sales FSR; 3–4% limited service)</t>
  </si>
  <si>
    <t>Limited-service operators spend 3–4% of TOTAL sales on packaging with most sales off-premise → ~4–5% of off-premise revenue. Base 5% applied only to take-away + delivery revenue.</t>
  </si>
  <si>
    <t>waste_pct</t>
  </si>
  <si>
    <t>Waste &amp; spoilage % of F&amp;B revenue</t>
  </si>
  <si>
    <t>Founder equity</t>
  </si>
  <si>
    <t>S54 (FSR waste 4–10% of food purchased); S49/S50 (food cost ~28–30%)</t>
  </si>
  <si>
    <t>4–10% of purchases × ~30% food cost = 1.2–3.0% of revenue. Base 1.5% = lower part of range (assumes portion control).</t>
  </si>
  <si>
    <t>https://www.flokq.com/sewa-ruko-jakarta/ruko/RKR3c0</t>
  </si>
  <si>
    <t>RKR3c0</t>
  </si>
  <si>
    <t>del_comm</t>
  </si>
  <si>
    <t>Confirmed. Near-twin of row 44 (RKR653).</t>
  </si>
  <si>
    <t>Delivery platform commission % of delivery revenue</t>
  </si>
  <si>
    <t>Kemang Raya</t>
  </si>
  <si>
    <t>Funding gap (+) / surplus (−)</t>
  </si>
  <si>
    <t>S12 (GoFood ~20%, GrabFood 20–30%, ShopeeFood 15–25%; +11% VAT on fee); S30 shares</t>
  </si>
  <si>
    <t>Share-weighted: 47% × 25% (Grab mid) + 35% × 20% (GoFood) + 18% × 20% (Shopee mid) ≈ 22.4% → 23%. Conservative 28% (new-merchant Grab 30%), optimistic 20%.</t>
  </si>
  <si>
    <t>pay_fee</t>
  </si>
  <si>
    <t>Payment fees % of in-store revenue</t>
  </si>
  <si>
    <t>Jl. Kemang Raya, near Kinderfield School, Jakarta Selatan</t>
  </si>
  <si>
    <t>S47/S48 (QRIS 0.7% regular merchant); card MDR ~2% (to confirm with acquiring bank)</t>
  </si>
  <si>
    <t>Assumed mix 50% QRIS × 0.7% + 40% cards × 2.0% + 10% cash × 0% ≈ 1.15% → 1.2%. Card MDR and mix need a bank quote.</t>
  </si>
  <si>
    <t>mkt_pct</t>
  </si>
  <si>
    <t>Marketing % of revenue (post-opening)</t>
  </si>
  <si>
    <t>S52 (3–6% of revenue)</t>
  </si>
  <si>
    <t>Base 3% = low end, because launch marketing is funded separately in CAPEX (pre-opening).</t>
  </si>
  <si>
    <t>https://www.flokq.com/sewa-ruko-jakarta/ruko/RKR71d</t>
  </si>
  <si>
    <t>maint_pct</t>
  </si>
  <si>
    <t>RKR71d</t>
  </si>
  <si>
    <t>Repairs &amp; maintenance % of revenue</t>
  </si>
  <si>
    <t>S53 (1–3% of revenue)</t>
  </si>
  <si>
    <t>Base 1.5% (new equipment under warranty in years 1–2).</t>
  </si>
  <si>
    <t>misc_pct</t>
  </si>
  <si>
    <t>Miscellaneous operating costs % of revenue</t>
  </si>
  <si>
    <t>Jl. Kemang Raya, Jakarta Selatan</t>
  </si>
  <si>
    <t>1% catch-all. Assumption.</t>
  </si>
  <si>
    <t>royalty</t>
  </si>
  <si>
    <t>Brand/royalty fee to CORSA CH % of revenue</t>
  </si>
  <si>
    <t>Bank loan needed</t>
  </si>
  <si>
    <t>https://www.flokq.com/sewa-ruko-jakarta/ruko/RKR653</t>
  </si>
  <si>
    <t>RKR653</t>
  </si>
  <si>
    <t>CORSA decision</t>
  </si>
  <si>
    <t>Confirmed. Floors not stated in ad.</t>
  </si>
  <si>
    <t>0% unless CORSA CH charges a brand fee.</t>
  </si>
  <si>
    <t>STAFF</t>
  </si>
  <si>
    <t>ump</t>
  </si>
  <si>
    <t>Staff</t>
  </si>
  <si>
    <t>Jakarta minimum wage UMP 2026</t>
  </si>
  <si>
    <t>Mature monthly revenue (year-1 prices)</t>
  </si>
  <si>
    <t>Kemang, Jakarta Selatan (no street; ad body wrongly says 'Kemang, Bogor')</t>
  </si>
  <si>
    <t>S04 (Jakarta UMP 2026 IDR 5,729,876)</t>
  </si>
  <si>
    <t>Statutory minimum wage – used as salary floor check.</t>
  </si>
  <si>
    <t>sal_factor</t>
  </si>
  <si>
    <t>Salary level factor vs Staffing sheet</t>
  </si>
  <si>
    <t>https://www.flokq.com/sewa-ruko-jakarta/ruko/RKR545</t>
  </si>
  <si>
    <t>RKR545</t>
  </si>
  <si>
    <t>S73/S75 (manager pay spread)</t>
  </si>
  <si>
    <t>1.0 = Staffing sheet salaries; conservative +10% retention premium. Assumption.</t>
  </si>
  <si>
    <t>Jl. Benda Raya</t>
  </si>
  <si>
    <t>bpjs</t>
  </si>
  <si>
    <t>Employer BPJS contributions % of salary</t>
  </si>
  <si>
    <t>S05 (JHT 3.7% + JP 2% + JKK 0.24–1.74% + JKM 0.3% + JKN 4%)</t>
  </si>
  <si>
    <t>Jl. Benda Raya No. 1, Kemang, Jakarta Selatan</t>
  </si>
  <si>
    <t>3.7 + 2.0 + 0.3 + 4.0 = 10.0% + JKK 0.24–1.74% → 10.2–11.7%. Base 11.5% (prudent; JP/JKN wage caps make the true rate slightly lower for high earners).</t>
  </si>
  <si>
    <t>thr</t>
  </si>
  <si>
    <t>THR (13th month religious holiday bonus) accrual</t>
  </si>
  <si>
    <t>S76 (Permenaker 6/2016: THR = 1 month wage per year)</t>
  </si>
  <si>
    <t>1 ÷ 12 = 8.33% accrual on salaries.</t>
  </si>
  <si>
    <t>benefit</t>
  </si>
  <si>
    <t>Meals, uniform, transport per head per month</t>
  </si>
  <si>
    <t>IDR/head</t>
  </si>
  <si>
    <t>https://www.flokq.com/sewa-ruko-jakarta/ruko/RKR7fd</t>
  </si>
  <si>
    <t>No source – market practice</t>
  </si>
  <si>
    <t>RKR7fd</t>
  </si>
  <si>
    <t>IDR 1.0m/head/month for staff meals, uniform, transport. Assumption.</t>
  </si>
  <si>
    <t>Confirmed. Identical twin ad RKR961. Ad says 2 floors (model: 1).</t>
  </si>
  <si>
    <t>FIXED OPERATING COSTS (per month, year-1 prices)</t>
  </si>
  <si>
    <t>Kemang Utara</t>
  </si>
  <si>
    <t>fx_mgmt</t>
  </si>
  <si>
    <t>Fixed</t>
  </si>
  <si>
    <t>Local management / area oversight (part-time)</t>
  </si>
  <si>
    <t>Jl. Kemang Utara, Jakarta Selatan</t>
  </si>
  <si>
    <t>S75 (F&amp;B manager 12–25m/month)</t>
  </si>
  <si>
    <t>IDR 25m/month ≈ top of S75 F&amp;B-manager range – budget for local partner/area manager oversight on top of the store GM.</t>
  </si>
  <si>
    <t>fx_acct</t>
  </si>
  <si>
    <t>Accounting, tax, payroll &amp; legal retainer</t>
  </si>
  <si>
    <t>https://www.flokq.com/sewa-ruko-jakarta/ruko/RKR5f6</t>
  </si>
  <si>
    <t>RKR5f6</t>
  </si>
  <si>
    <t>S03/S15 (PT PMA needs full bookkeeping, LKPM reporting)</t>
  </si>
  <si>
    <t>IDR 9m/month retainer – no price source; get 2 quotes.</t>
  </si>
  <si>
    <t>Kemang Timur Raya</t>
  </si>
  <si>
    <t>Jl. Kemang Timur Raya, near Pasar Kemang, Jakarta Selatan</t>
  </si>
  <si>
    <t>fx_ins</t>
  </si>
  <si>
    <t>Insurance</t>
  </si>
  <si>
    <t>Steady-state monthly EBITDA</t>
  </si>
  <si>
    <t>IDR 3m/month property all-risk + public liability – get a broker quote.</t>
  </si>
  <si>
    <t>fx_soft</t>
  </si>
  <si>
    <t>POS/software, internet, music licence</t>
  </si>
  <si>
    <t>Break-even revenue per trading day</t>
  </si>
  <si>
    <t>S67 (Moka POS 299–799k/outlet/month)</t>
  </si>
  <si>
    <t>https://www.flokq.com/sewa-ruko-jakarta/ruko/RKR729</t>
  </si>
  <si>
    <t>RKR729</t>
  </si>
  <si>
    <t>POS ~0.8m + KDS/inventory add-ons + internet ~1m + music licence/apps ~1m ≈ 3m. Only the POS part is sourced.</t>
  </si>
  <si>
    <t>fx_clean</t>
  </si>
  <si>
    <t>Cleaning, pest control, waste &amp; laundry</t>
  </si>
  <si>
    <t>IDR 5m/month cleaning, pest control, waste collection, laundry. Assumption – quotes.</t>
  </si>
  <si>
    <t>fx_other</t>
  </si>
  <si>
    <t>Year-1 revenue (with ramp-up)</t>
  </si>
  <si>
    <t>Other admin (bank, permits renewal, travel)</t>
  </si>
  <si>
    <t>IDR 4m/month bank fees, permit renewals, travel. Assumption.</t>
  </si>
  <si>
    <t>kwh</t>
  </si>
  <si>
    <t>Utilities</t>
  </si>
  <si>
    <t>Electricity consumption</t>
  </si>
  <si>
    <t>kWh/month</t>
  </si>
  <si>
    <t>Year-1 EBITDA</t>
  </si>
  <si>
    <t>https://www.flokq.com/sewa-ruko-jakarta/ruko/RKR5b3</t>
  </si>
  <si>
    <t>RKR5b3</t>
  </si>
  <si>
    <t>S55 (US restaurant median site EUI 325.6 kBtu/ft² ≈ 1,027 kWh/m²/yr, all fuels)</t>
  </si>
  <si>
    <t>1,027 kWh/m² × 150 m² ÷ 12 ≈ 12,840 kWh/month of all energy; ~30% assumed as LPG for cooking → ≈ 9,000 kWh electricity. Check with PLN connection (kVA) and AC load.</t>
  </si>
  <si>
    <t>tariff</t>
  </si>
  <si>
    <t>Electricity tariff B-2</t>
  </si>
  <si>
    <t>IDR/kWh</t>
  </si>
  <si>
    <t>PIK</t>
  </si>
  <si>
    <t>Year-3 EBITDA</t>
  </si>
  <si>
    <t>S80</t>
  </si>
  <si>
    <t>Jl. Kemang Raya, Mampang Prapatan, Jakarta Selatan</t>
  </si>
  <si>
    <t>Lowest cash balance over 60 months</t>
  </si>
  <si>
    <t>S11 (PLN B-2 IDR 1,444.70/kWh from 1 Sep 2026)</t>
  </si>
  <si>
    <t>Official tariff.</t>
  </si>
  <si>
    <t>watergas</t>
  </si>
  <si>
    <t>Water &amp; gas</t>
  </si>
  <si>
    <t>S56 (PAM Jaya niaga IDR 4,900–21,500/m³); S57 (LPG 12 kg IDR 220k)</t>
  </si>
  <si>
    <t>Water ~120 m³/month × 21,500 ≈ 2.6m + LPG ~15 × 12 kg × 220k ≈ 3.3m → ≈ 5.9m ≈ 6m. Consumption volumes are estimates.</t>
  </si>
  <si>
    <t>https://www.pinhome.id/disewa/ruko-sekunder/unit/disewakan-ruko-lokasi-strategis-di-kemang-raya-1</t>
  </si>
  <si>
    <t>I-78337</t>
  </si>
  <si>
    <t>CAPEX &amp; FUNDING</t>
  </si>
  <si>
    <t>Indah – Agen Kantor Properti</t>
  </si>
  <si>
    <t>not shown (photos c. 2022)</t>
  </si>
  <si>
    <t>Added 8 Oct 2026; confirmed on ad. May be stale – confirm availability.</t>
  </si>
  <si>
    <t>NPV of 5-year project cash flows</t>
  </si>
  <si>
    <t>Bangka – 1-floor F&amp;B unit</t>
  </si>
  <si>
    <t>Ruko (single level)</t>
  </si>
  <si>
    <t>overrun</t>
  </si>
  <si>
    <t>CAPEX</t>
  </si>
  <si>
    <t>CAPEX cost factor (overrun / savings)</t>
  </si>
  <si>
    <t>S81</t>
  </si>
  <si>
    <t>Min. 2 yrs; no alcohol / non-halal</t>
  </si>
  <si>
    <t>Bangka, Mampang Prapatan (Kemang), Jakarta Selatan</t>
  </si>
  <si>
    <t>https://kiosrumah.com/iklan/ruko/disewakan-ruko-kemang-1-lantai-untuk-f-b-bangka-mampang-prapat/26185</t>
  </si>
  <si>
    <t>TRK173</t>
  </si>
  <si>
    <t>Roby – Century21</t>
  </si>
  <si>
    <t>not shown (photos c. Nov 2024)</t>
  </si>
  <si>
    <t>Break-even guests per day</t>
  </si>
  <si>
    <t>Added 8 Oct 2026; confirmed on ad, marketed for F&amp;B. Confirm availability.</t>
  </si>
  <si>
    <t>Kemang Raya 10 – business space</t>
  </si>
  <si>
    <t>Commercial space</t>
  </si>
  <si>
    <t>Mature guests per day (model)</t>
  </si>
  <si>
    <t>S64 (contingency 10% for renovation)</t>
  </si>
  <si>
    <t>Conservative +15% overrun on hard costs (on top of contingency); optimistic −5% from negotiated quotes. Assumption.</t>
  </si>
  <si>
    <t>contingency</t>
  </si>
  <si>
    <t>EBITDA margin at maturity</t>
  </si>
  <si>
    <t>Contingency reserve % of hard + soft costs</t>
  </si>
  <si>
    <t>S82</t>
  </si>
  <si>
    <t>S64 (5% ground-up, 10% renovation)</t>
  </si>
  <si>
    <t>Base 10% = renovation/fit-out benchmark; conservative 15%; optimistic 7.5%.</t>
  </si>
  <si>
    <t>Prime cost % (COGS + staff)</t>
  </si>
  <si>
    <t>preopen_pay</t>
  </si>
  <si>
    <t>Pre-opening payroll (months of full staff cost)</t>
  </si>
  <si>
    <t>https://www.rumah123.com/en/rent/jakarta-selatan/kemang/commercial-space/</t>
  </si>
  <si>
    <t>Added 8 Oct 2026 from results page; floors unknown.</t>
  </si>
  <si>
    <t>S60 (stabilisation period); team assumption</t>
  </si>
  <si>
    <t>Occupancy cost % (rent + SC)</t>
  </si>
  <si>
    <t>Jl. Elang Laut, PIK</t>
  </si>
  <si>
    <t>1 month of full payroll before opening for hiring and training.</t>
  </si>
  <si>
    <t>wc_months</t>
  </si>
  <si>
    <t>Working-capital reserve (months of staff + fixed opex + utilities)</t>
  </si>
  <si>
    <t>Payback month (full model, incl. ramp-up)</t>
  </si>
  <si>
    <t>S36 (early-stage failure risk); team assumption</t>
  </si>
  <si>
    <t>3 months of staff + fixed opex + utilities kept as cash buffer for ramp-up.</t>
  </si>
  <si>
    <t>dep_years</t>
  </si>
  <si>
    <t>Depreciation life of fit-out &amp; equipment</t>
  </si>
  <si>
    <t>years</t>
  </si>
  <si>
    <t>S26</t>
  </si>
  <si>
    <t>Jl. Elang Laut, PIK 1, Jakarta Utara</t>
  </si>
  <si>
    <t>S61 (PMK 72/2023: group 1 = 4 yrs, group 2 = 8 yrs, non-permanent building 10 yrs)</t>
  </si>
  <si>
    <t>Project IRR (5 yrs incl. terminal value)</t>
  </si>
  <si>
    <t>Blend: IT/smallwares 4 yrs, kitchen/coffee equipment &amp; furniture 8 yrs, leasehold fit-out over lease term (~5 yrs) → 5 years straight-line for the model (accounting view, tax may differ).</t>
  </si>
  <si>
    <t>equity_chf</t>
  </si>
  <si>
    <t>Funding</t>
  </si>
  <si>
    <t>Founder equity available</t>
  </si>
  <si>
    <t>PT PMA paid-up capital check</t>
  </si>
  <si>
    <t>https://www.brighton.co.id/cari-properti/view/ruko-3-5-lantai-di-elang-laut-pantai-indah-kapuk</t>
  </si>
  <si>
    <t>091826-BRIM00005</t>
  </si>
  <si>
    <t>Andy Andreas – Brighton Impact Jelambar (probable)</t>
  </si>
  <si>
    <t>05 Oct 2026</t>
  </si>
  <si>
    <t>Confirmed. Description says LB 76.5 (inconsistent with 160).</t>
  </si>
  <si>
    <t>Stanford Boulevard, PIK 2</t>
  </si>
  <si>
    <t>Seats</t>
  </si>
  <si>
    <t>Brief (CHF 200,000)</t>
  </si>
  <si>
    <t>Given by CORSA.</t>
  </si>
  <si>
    <t>loan_on</t>
  </si>
  <si>
    <t>Fill funding gap with bank loan? (1 = yes, 0 = no)</t>
  </si>
  <si>
    <t>How to read: rent stats are per m² of total building area (ruko = whole multi-storey building). Model rent = rate × usable m² × GFA factor (Inputs).</t>
  </si>
  <si>
    <t>Ruko Stanford Boulevard, unit A6, PIK 2, Jakarta Utara</t>
  </si>
  <si>
    <t>1/0</t>
  </si>
  <si>
    <t>Scenario comparison (steady state)</t>
  </si>
  <si>
    <t>Columns Q–T use the ACTIVE scenario steady-state economics (Scenarios sheet) scaled by the district demand index; only rent &amp; service charge change by district.</t>
  </si>
  <si>
    <t>Occupancy cost benchmark: total rent + service charge ideally ≤ 10–12% of revenue for full-service restaurants (industry rule of thumb – verify with Jakarta operators).</t>
  </si>
  <si>
    <t>Model switch</t>
  </si>
  <si>
    <t>1 = fill funding gap with a bank loan.</t>
  </si>
  <si>
    <t>Revenue / month (IDR)</t>
  </si>
  <si>
    <t>Upgrade path: replace demand index with a Huff gravity estimate (S40/S41) or with footfall counts at 3 comparable venues per district (Methods sheet).</t>
  </si>
  <si>
    <t>loan_rate</t>
  </si>
  <si>
    <t>Loan interest rate p.a.</t>
  </si>
  <si>
    <t>Filter: 100–200 m² of rented surface (all floors, any format: ruko, mall unit, single level). Senopati main road has &lt;3 listings → rent = side streets × premium V8 until ≥3 are added (switches automatically). Kuningan n=2 – low confidence.</t>
  </si>
  <si>
    <t>SOURCES &amp; CALCULATION BASIS – Location</t>
  </si>
  <si>
    <t>S19 (BCA SBDK small business 8.01%, excl. risk premium); S17 (BI-Rate 5.75%)</t>
  </si>
  <si>
    <t>https://www.brighton.co.id/cari-properti/view/ruko-pik-2-stanford-boulevard-hadap-jalan-utama</t>
  </si>
  <si>
    <t>311026-PROBS00022</t>
  </si>
  <si>
    <t>8.01% + ~2.5 pp risk premium for a new company ≈ 10.5%. Conservative 12%, optimistic 9%.</t>
  </si>
  <si>
    <t>02 Oct 2026</t>
  </si>
  <si>
    <t>Confirmed. 285m/yr on 2-yr lease, 275m on 3-yr; deposit 35m.</t>
  </si>
  <si>
    <t>loan_tenor</t>
  </si>
  <si>
    <t>Pasadena Walk, PIK 2</t>
  </si>
  <si>
    <t>Loan tenor (months, annuity)</t>
  </si>
  <si>
    <t>Figure / cells</t>
  </si>
  <si>
    <t>EBITDA / month (IDR)</t>
  </si>
  <si>
    <t>Pasadena Walk, PIK 2, Jakarta Utara</t>
  </si>
  <si>
    <t>S49 (debt service ≤12% of sales over 3–5 years)</t>
  </si>
  <si>
    <t>Base 48 months – inside the 3–5 year benchmark.</t>
  </si>
  <si>
    <t>n_kbli</t>
  </si>
  <si>
    <t>Legal</t>
  </si>
  <si>
    <t>Value used (live)</t>
  </si>
  <si>
    <t>Number of KBLI codes registered (restaurant, café, retail…)</t>
  </si>
  <si>
    <t>Source ID(s) → Sources sheet</t>
  </si>
  <si>
    <t>S02 (capital requirement per KBLI)</t>
  </si>
  <si>
    <t>1 KBLI (56101 restaurant) in base; conservative adds a second (e.g. café/retail).</t>
  </si>
  <si>
    <t>How the figure was derived from the source</t>
  </si>
  <si>
    <t>https://www.brighton.co.id/disewa/ruko/jakarta-utara/pantai-indah-kapuk</t>
  </si>
  <si>
    <t>EBITDA margin</t>
  </si>
  <si>
    <t>pma_paidup</t>
  </si>
  <si>
    <t>PT PMA minimum paid-up capital per KBLI</t>
  </si>
  <si>
    <t>NOT FOUND – individual ad not traceable (removed or on page 2+). Treat as unverified.</t>
  </si>
  <si>
    <t>Reference: Jakarta mall average (Colliers Q4 2024, S27): rent IDR 564,400 + service charge IDR 154,035 per m²/month</t>
  </si>
  <si>
    <t>S02 (BKPM Reg. 5/2025)</t>
  </si>
  <si>
    <t>SOURCES &amp; CALCULATION BASIS – Rent_Data</t>
  </si>
  <si>
    <t>IDR 2.5bn per KBLI.</t>
  </si>
  <si>
    <t>pma_plan</t>
  </si>
  <si>
    <t>PT PMA minimum investment plan per KBLI (excl. land &amp; building)</t>
  </si>
  <si>
    <t>Break-even revenue / day (IDR)</t>
  </si>
  <si>
    <t>Rent P25 / median / P75, n (cols C–F)</t>
  </si>
  <si>
    <t>S01/S02</t>
  </si>
  <si>
    <t>IDR 10bn investment plan per KBLI (excl. land &amp; buildings).</t>
  </si>
  <si>
    <t>disc</t>
  </si>
  <si>
    <t>Valuation</t>
  </si>
  <si>
    <t>Discount rate for NPV (IDR, p.a.)</t>
  </si>
  <si>
    <t>S62 (10Y SBN 7.17%); S63 (Indonesia total ERP 6.69%)</t>
  </si>
  <si>
    <t>Asking rent, period, m², floors (cols E, F, H, I)</t>
  </si>
  <si>
    <t>Break-even guests / day</t>
  </si>
  <si>
    <t>CAPM-style: 7.17% + 1.0 × 6.69% = 13.9% ≈ 14% + ~1 pp for a single unlisted outlet → 15%. Conservative 18%, optimistic 12%.</t>
  </si>
  <si>
    <t>tv_mult</t>
  </si>
  <si>
    <t>Terminal value at Y5 (x Y5 EBITDA)</t>
  </si>
  <si>
    <t>S20–S26 via Rent_Data</t>
  </si>
  <si>
    <t>PERCENTILE / MEDIAN / COUNT over each district's IDR per m² of rented surface per month in Rent_Data (listings of 100–200 m²). Senopati main road: if fewer than 3 listings, side-street stats × premium V8 = 2.27 (ratio of main-road to side-street medians in the unfiltered v0.3 sample, 270.6k / 119.2k).</t>
  </si>
  <si>
    <t>2× year-5 EBITDA (value of remaining lease/brand); 0 in conservative. Assumption.</t>
  </si>
  <si>
    <t>SEASONALITY (index by calendar month, 1.00 = normal)</t>
  </si>
  <si>
    <t>—</t>
  </si>
  <si>
    <t>Per row in col K: S20–S26, S78–S82</t>
  </si>
  <si>
    <t>season_1</t>
  </si>
  <si>
    <t>Season</t>
  </si>
  <si>
    <t>Seasonality – Jan</t>
  </si>
  <si>
    <t>Service charge (col G)</t>
  </si>
  <si>
    <t>index</t>
  </si>
  <si>
    <t>Copied from each listing as advertised (accessed 6–8 Oct 2026). Surface m² = total rented surface of the unit, all floors (LB for a ruko).</t>
  </si>
  <si>
    <t>Total investment (CHF)</t>
  </si>
  <si>
    <t>Monthly rent (col G)</t>
  </si>
  <si>
    <t>S27; S22/S23</t>
  </si>
  <si>
    <t>Street ruko = 0. SCBD 120k: podium/office F&amp;B listings quote rent 'excl. service charge' (S23); set below the Colliers mall average of 154k (S27). Kuningan 50k = mix of ruko and mall units. Estimates.</t>
  </si>
  <si>
    <t>Formula: asking rent ÷ 12 when quoted per year.</t>
  </si>
  <si>
    <t>Gap vs CHF 200k equity (CHF)</t>
  </si>
  <si>
    <t>S58 (Ramadan ≈ 8 Feb–9 Mar 2027, Idul Fitri ≈ 10 Mar 2027); S59 (Ramadan sales effect mixed: chains +15–30%, café chain dip in week 1)</t>
  </si>
  <si>
    <t>Model formula</t>
  </si>
  <si>
    <t>Feb 0.92 / Mar 0.95: daytime/lunch dip during fasting + Lebaran exodus (mudik) around 10 Mar; partly offset by iftar. Note S59 reports Ramadan uplifts for chains → index may be too cautious. Dec 1.08 holiday season and other months 1.00 are assumptions.</t>
  </si>
  <si>
    <t>IDR / m² / month (col J)</t>
  </si>
  <si>
    <t>Demand index (col H)</t>
  </si>
  <si>
    <t>season_2</t>
  </si>
  <si>
    <t>Seasonality – Feb</t>
  </si>
  <si>
    <t>Formula: monthly rent ÷ building m². Feeds P25 / median / P75 on the Location sheet.</t>
  </si>
  <si>
    <t>Simple payback (years)</t>
  </si>
  <si>
    <t>Mall reference (row 45)</t>
  </si>
  <si>
    <t>season_3</t>
  </si>
  <si>
    <t>S46 Volume_Proxy (in-zone velocity); S28/S29</t>
  </si>
  <si>
    <t>Seasonality – Mar</t>
  </si>
  <si>
    <t>S27</t>
  </si>
  <si>
    <t>Relative revenue potential vs Senopati = 1.0. Team judgement informed by competitor review velocity; replace with a Huff gravity estimate (S40/S41).</t>
  </si>
  <si>
    <t>Colliers Q4 2024: IDR 564,400 rent + 154,035 service charge per m² per month.</t>
  </si>
  <si>
    <t>Limitation</t>
  </si>
  <si>
    <t>Criteria scores (cols I–N, 1–5)</t>
  </si>
  <si>
    <t>season_4</t>
  </si>
  <si>
    <t>S28 (JLL), S29 (CBRE)</t>
  </si>
  <si>
    <t>Seasonality – Apr</t>
  </si>
  <si>
    <t>MODEL CHECKS</t>
  </si>
  <si>
    <t>Asking ≠ deal rents. Thin samples: Senopati main road 1 (fallback in use), Kuningan 2, PIK 3. Validate with 2 brokers.</t>
  </si>
  <si>
    <t>Scenario engine = CAPEX sheet</t>
  </si>
  <si>
    <t>S28, S29, S46, S30</t>
  </si>
  <si>
    <t>Scenario engine = Revenue sheet</t>
  </si>
  <si>
    <t>Team scoring of footfall, office density, customer fit, visibility, competition, access. Qualitative – document evidence per score after field visits.</t>
  </si>
  <si>
    <t>Location &amp; ad trail (cols M–T)</t>
  </si>
  <si>
    <t>season_5</t>
  </si>
  <si>
    <t>Seasonality – May</t>
  </si>
  <si>
    <t>S20–S26 individual ads (col P)</t>
  </si>
  <si>
    <t>Cash never negative</t>
  </si>
  <si>
    <t>Criteria weights (I4:N4)</t>
  </si>
  <si>
    <t>Each row traced to its individual ad (URL, ID, advertiser, date) where the ad page opened; otherwise the results page is linked (col T says so). 33 listings, all 100–200 m². 6 added on 8 Oct 2026 (Senopati main road, Cipaku, Epiwalk, 3× Kemang).</t>
  </si>
  <si>
    <t>season_6</t>
  </si>
  <si>
    <t>Seasonality – Jun</t>
  </si>
  <si>
    <t>Additional equity required</t>
  </si>
  <si>
    <t>Team weighting (sum = 100%).</t>
  </si>
  <si>
    <t>season_7</t>
  </si>
  <si>
    <t>Seasonality – Jul</t>
  </si>
  <si>
    <t>Est. revenue, EBITDA, break-even (cols Q–T)</t>
  </si>
  <si>
    <t>Staff salaries ≥ UMP</t>
  </si>
  <si>
    <t>season_8</t>
  </si>
  <si>
    <t>Seasonality – Aug</t>
  </si>
  <si>
    <t>Scenarios sheet</t>
  </si>
  <si>
    <t>Active-scenario steady state × demand index, with the district's own rent.</t>
  </si>
  <si>
    <t>Capacity</t>
  </si>
  <si>
    <t>season_9</t>
  </si>
  <si>
    <t>Seasonality – Sep</t>
  </si>
  <si>
    <t>Occupancy cost % (col R) and rent cap 12% (col U)</t>
  </si>
  <si>
    <t>Menu vs revenue spend</t>
  </si>
  <si>
    <t>season_10</t>
  </si>
  <si>
    <t>Seasonality – Oct</t>
  </si>
  <si>
    <t>Seasonality average ≈ 1.00</t>
  </si>
  <si>
    <t>S49 (10%, ideal 6–7%); S51 (≤8–10%)</t>
  </si>
  <si>
    <t>Rent + SC ÷ revenue. Note the 12% cap in col U is above both benchmarks – a strict test would use 10%.</t>
  </si>
  <si>
    <t>season_11</t>
  </si>
  <si>
    <t>Seasonality – Nov</t>
  </si>
  <si>
    <t>season_12</t>
  </si>
  <si>
    <t>SOURCES &amp; CALCULATION BASIS – Dashboard</t>
  </si>
  <si>
    <t>Seasonality – Dec</t>
  </si>
  <si>
    <t>All figures on this sheet</t>
  </si>
  <si>
    <t>Scenarios, PnL_Monthly, Annual, Funding, CAPEX</t>
  </si>
  <si>
    <t>Pure links – trace each number to its sheet, then to Inputs col I/K and the Sources sheet.</t>
  </si>
  <si>
    <t>Total investment &amp; funding gap</t>
  </si>
  <si>
    <t>S10, S64–S70; Brief; S16</t>
  </si>
  <si>
    <t>CAPEX total vs CHF 200k × FX.</t>
  </si>
  <si>
    <t>Mature revenue &amp; guests/day</t>
  </si>
  <si>
    <t>S46, S43, S31, S33</t>
  </si>
  <si>
    <t>Weakest-evidenced block: 200 guests/day is above every measured pasta comparable (S46).</t>
  </si>
  <si>
    <t>Break-even, EBITDA, payback, IRR, NPV</t>
  </si>
  <si>
    <t>S49–S57, S62, S63</t>
  </si>
  <si>
    <t>Driven by sourced cost rates + assumed volume.</t>
  </si>
  <si>
    <t>PT PMA check</t>
  </si>
  <si>
    <t>S01, S02</t>
  </si>
  <si>
    <t>Equity vs IDR 2.5bn paid-up per KBLI.</t>
  </si>
  <si>
    <t>Check thresholds (rows 40–47)</t>
  </si>
  <si>
    <t>Model QA tolerances (85% capacity, 15% menu gap, seasonality ±2%) – team choices.</t>
  </si>
  <si>
    <t>Menu, Pricing &amp; Food Cost (Kasavana–Smith menu engineering)</t>
  </si>
  <si>
    <t>ILLUSTRATIVE placeholder menu – replace prices with your pricing decision and food costs with recipe costing from supplier quotes. Prices are NET of 10% PBJT.</t>
  </si>
  <si>
    <t>Note Jonas</t>
  </si>
  <si>
    <t>This sheets gives an idea of pricing of potential dishes and takes as source the comparisons  provided by expanding Tiago's datasets (italian restaurants in Jakarta)</t>
  </si>
  <si>
    <t xml:space="preserve">It will be more relevant with team 1 inputs on potential menu, numbers such as COGS, popularity will be much better estimated </t>
  </si>
  <si>
    <t>The CORSA pricing is here to give an idea, but not definitive at all</t>
  </si>
  <si>
    <t>Item</t>
  </si>
  <si>
    <t>Price net (IDR)</t>
  </si>
  <si>
    <t>Food cost (IDR)</t>
  </si>
  <si>
    <t>Cost %</t>
  </si>
  <si>
    <t>Contribution (IDR)</t>
  </si>
  <si>
    <t>Units per 100 guests</t>
  </si>
  <si>
    <t>Revenue / 100 guests</t>
  </si>
  <si>
    <t>Cost / 100 guests</t>
  </si>
  <si>
    <t>Revenue mix</t>
  </si>
  <si>
    <t>Popularity in category</t>
  </si>
  <si>
    <t xml:space="preserve">BCG Like </t>
  </si>
  <si>
    <t>CM × units (helper)</t>
  </si>
  <si>
    <t>Guest price incl. PBJT</t>
  </si>
  <si>
    <t>Price benchmark (source)</t>
  </si>
  <si>
    <t>Food-cost benchmark &amp; check</t>
  </si>
  <si>
    <t>Pasta</t>
  </si>
  <si>
    <t>Cacio e pepe</t>
  </si>
  <si>
    <t>S46: in-zone pasta venue medians avg ~133k (9 venues), mid-premium tier 80–165k; PBTP Blok M ~80k; S33 Pasta, Bitte! 86k, Toscana 155k</t>
  </si>
  <si>
    <t>Cost 27% vs S50 food 28–35%; S49 FSR max 30.3% → below range. Item cost itself = estimate, recipe costing pending.</t>
  </si>
  <si>
    <t>Carbonara (beef bacon, halal)</t>
  </si>
  <si>
    <t>Revenue Build-up &amp; Capacity Check (RevPASH logic, Kimes)</t>
  </si>
  <si>
    <t>Mature daily demand by daypart (from Inputs) tested against seat capacity. Dwell times are blue inputs – measure them at comparable venues.</t>
  </si>
  <si>
    <t xml:space="preserve">Notes from Jonas: </t>
  </si>
  <si>
    <t>To estimate the revenue per daypart, I need informations on Indonesian coutumes: what times do they eat? what kind of F/B at what time of the day?</t>
  </si>
  <si>
    <t>Additionally, how large is the demande for delivery in Jakarta, which part of the sales will come from this mode of consumption? Needs further research</t>
  </si>
  <si>
    <t>Staff Structure &amp; Payroll Cost</t>
  </si>
  <si>
    <t>Seats (dining area ÷ m² per seat)</t>
  </si>
  <si>
    <t>Two shifts covering ~15 opening hours, 7 days. Headcount &amp; base salaries are blue inputs; on-costs from Inputs. Salaries must be ≥ UMP.</t>
  </si>
  <si>
    <t>Note from Jonas</t>
  </si>
  <si>
    <t>Cost 31% vs S50 food 28–35%; S49 FSR max 30.3% → within range. Item cost itself = estimate, recipe costing pending.</t>
  </si>
  <si>
    <t>The minimal wage is know for Jakarta (~5'900'000/ month), the other wages will depend on the expertise required (depends on the complexity of the dishes and beverages…)</t>
  </si>
  <si>
    <t>Ragù bolognese</t>
  </si>
  <si>
    <t>The Headcount will depends on factors such as the level of robotization, the surface of the restaurant</t>
  </si>
  <si>
    <t>Role</t>
  </si>
  <si>
    <t>Headcount</t>
  </si>
  <si>
    <t>Base salary / month (IDR)</t>
  </si>
  <si>
    <t>Salary after level factor</t>
  </si>
  <si>
    <t>UMP check</t>
  </si>
  <si>
    <t>Gross salaries</t>
  </si>
  <si>
    <t>BPJS employer</t>
  </si>
  <si>
    <t>THR accrual</t>
  </si>
  <si>
    <t>Daypart</t>
  </si>
  <si>
    <t>Meals/uniform/transport</t>
  </si>
  <si>
    <t>Total monthly cost</t>
  </si>
  <si>
    <t>Hours</t>
  </si>
  <si>
    <t>Source ID(s) &amp; key facts</t>
  </si>
  <si>
    <t>Guests / day</t>
  </si>
  <si>
    <t>Avg net spend</t>
  </si>
  <si>
    <t>How the salary was derived</t>
  </si>
  <si>
    <t>Daily revenue (IDR)</t>
  </si>
  <si>
    <t>Take-away share</t>
  </si>
  <si>
    <t>Dine-in guests</t>
  </si>
  <si>
    <t>Store / general manager</t>
  </si>
  <si>
    <t>Avg dwell (min)</t>
  </si>
  <si>
    <t>Seat capacity (guests)</t>
  </si>
  <si>
    <t>Seat utilisation</t>
  </si>
  <si>
    <t>RevPASH (IDR / seat-hour)</t>
  </si>
  <si>
    <t>Morning 07–11</t>
  </si>
  <si>
    <t>Cost 32% vs S50 food 28–35%; S49 FSR max 30.3% → within range. Item cost itself = estimate, recipe costing pending.</t>
  </si>
  <si>
    <t>Pesto genovese</t>
  </si>
  <si>
    <t>Cost 29% vs S50 food 28–35%; S49 FSR max 30.3% → within range. Item cost itself = estimate, recipe costing pending.</t>
  </si>
  <si>
    <t>Truffle cream</t>
  </si>
  <si>
    <t>Operating Costs – Fixed &amp; Variable (active scenario, year-1 prices)</t>
  </si>
  <si>
    <t>Cost 33% vs S50 food 28–35%; S49 FSR max 30.3% → within range. Item cost itself = estimate, recipe costing pending.</t>
  </si>
  <si>
    <t>Arrabbiata (vegan)</t>
  </si>
  <si>
    <t>S75 (store manager 10–20m; F&amp;B manager 12–25m); S73 (restaurant mgmt ads Jaksel avg 6.3m = supervisor level)</t>
  </si>
  <si>
    <t>16m ≈ mid-point of S75 store-manager range (10–20m), +1m for a flagship.</t>
  </si>
  <si>
    <t>Fixed lines link to Inputs; variable lines are % drivers applied in PnL_Monthly. Rent &amp; staff shown for completeness.</t>
  </si>
  <si>
    <t>Jonas Note:</t>
  </si>
  <si>
    <t>Head chef</t>
  </si>
  <si>
    <t xml:space="preserve">this sheet helps me to have an idea of the different operating costs. For now it relies on assumptions that I have not confirmed. </t>
  </si>
  <si>
    <t xml:space="preserve">I want to check the fixed costs and give a range instead of a number. </t>
  </si>
  <si>
    <t>Lunch 11–15</t>
  </si>
  <si>
    <t>Cost line</t>
  </si>
  <si>
    <t>Monthly (IDR)</t>
  </si>
  <si>
    <t>Driver</t>
  </si>
  <si>
    <t>Comment</t>
  </si>
  <si>
    <t>Fixed overheads</t>
  </si>
  <si>
    <t>Cost 24% vs S50 food 28–35%; S49 FSR max 30.3% → below range. Item cost itself = estimate, recipe costing pending.</t>
  </si>
  <si>
    <t>Coffee</t>
  </si>
  <si>
    <t>Espresso</t>
  </si>
  <si>
    <t>S09 (exec chef 11–14m); S08 (head chef avg 7.3m, n=11)</t>
  </si>
  <si>
    <t>13m = upper part of S09 exec-chef band (concept chef for pasta/Italian).</t>
  </si>
  <si>
    <t>Sous chef / chef de partie</t>
  </si>
  <si>
    <t>Afternoon 15–18</t>
  </si>
  <si>
    <t>S31: Common Grounds espresso 32k (= model price)</t>
  </si>
  <si>
    <t>Cost 19% vs S49 coffee bev. cost 15–20%; S50 beverage 15–25% → within range. Item cost itself = estimate, recipe costing pending.</t>
  </si>
  <si>
    <t>Americano (hot/iced)</t>
  </si>
  <si>
    <t>S09 (sous chef 5–9m)</t>
  </si>
  <si>
    <t>Dinner 18–22</t>
  </si>
  <si>
    <t>9m = top of S09 sous-chef range (Jakarta premium).</t>
  </si>
  <si>
    <t>Line cooks (pasta station, grill)</t>
  </si>
  <si>
    <t>S46: latte 27–30k casual, 38–48k smart-casual/specialty, 55–60k mall; S31 Common Grounds latte 45–52k, espresso 32k</t>
  </si>
  <si>
    <t>Cost 18% vs S49 coffee bev. cost 15–20%; S50 beverage 15–25% → within range. Item cost itself = estimate, recipe costing pending.</t>
  </si>
  <si>
    <t>Latte / flat white</t>
  </si>
  <si>
    <t>In-store total</t>
  </si>
  <si>
    <t>Sub-total fixed overheads</t>
  </si>
  <si>
    <t>S04 (UMP 5.73m); S09 (CDP 3–6m outside Jakarta)</t>
  </si>
  <si>
    <t>UMP 5.73m + ~13% skill premium ≈ 6.5m.</t>
  </si>
  <si>
    <t>Kitchen helper / steward</t>
  </si>
  <si>
    <t>Cost 24% vs S49 coffee bev. cost 15–20%; S50 beverage 15–25% → within range. Item cost itself = estimate, recipe costing pending.</t>
  </si>
  <si>
    <t>Signature iced coffee</t>
  </si>
  <si>
    <t>Electricity (kWh × B-2 tariff)</t>
  </si>
  <si>
    <t>Filter / manual brew</t>
  </si>
  <si>
    <t>S04 (UMP 5.73m)</t>
  </si>
  <si>
    <t>kWh × tariff</t>
  </si>
  <si>
    <t>≈ UMP rounded up (5.8m).</t>
  </si>
  <si>
    <t>Head barista</t>
  </si>
  <si>
    <t>Delivery (orders × gross app value)</t>
  </si>
  <si>
    <t>Sub-total utilities</t>
  </si>
  <si>
    <t>Cost 22% vs S49 coffee bev. cost 15–20%; S50 beverage 15–25% → within range. Item cost itself = estimate, recipe costing pending.</t>
  </si>
  <si>
    <t>Functional drinks</t>
  </si>
  <si>
    <t>Matcha / protein shake</t>
  </si>
  <si>
    <t>Occupancy &amp; staff (from other sheets)</t>
  </si>
  <si>
    <t>TOTAL F&amp;B per trading day</t>
  </si>
  <si>
    <t>Rent (rate × m² × GFA factor, incl. gross-up)</t>
  </si>
  <si>
    <t>Blended avg net spend per in-store guest</t>
  </si>
  <si>
    <t>S46: non-coffee drinks in-zone avg ~44k (5 venues); S46 PBTP matcha latte 55k</t>
  </si>
  <si>
    <t>Cost 27% vs S50 beverage 15–25% → ABOVE range. Item cost itself = estimate, recipe costing pending.</t>
  </si>
  <si>
    <t>S06 (head barista 6.5–10m)</t>
  </si>
  <si>
    <t>Kombucha / ginger shot</t>
  </si>
  <si>
    <t>8.5m ≈ mid-point (8.25m) of S06 range.</t>
  </si>
  <si>
    <t>Baristas</t>
  </si>
  <si>
    <t>MATURE MONTHLY REVENUE (year-1 prices)</t>
  </si>
  <si>
    <t>F&amp;B in-store</t>
  </si>
  <si>
    <t>Escalates yearly in PnL_Monthly</t>
  </si>
  <si>
    <t>Service charge / CAM</t>
  </si>
  <si>
    <t>F&amp;B delivery</t>
  </si>
  <si>
    <t>Events &amp; B2B</t>
  </si>
  <si>
    <t>Cost 29% vs S50 beverage 15–25% → ABOVE range. Item cost itself = estimate, recipe costing pending.</t>
  </si>
  <si>
    <t>Breakfast &amp; snacks</t>
  </si>
  <si>
    <t>Croissant / pastry</t>
  </si>
  <si>
    <t>Retail</t>
  </si>
  <si>
    <t>Staff (Staffing sheet)</t>
  </si>
  <si>
    <t>Total monthly revenue</t>
  </si>
  <si>
    <t>Variable cost drivers (% – applied in PnL_Monthly)</t>
  </si>
  <si>
    <t>S06 (barista 3.5–7.5m); S07 (avg 3.21m self-reported); S04 UMP floor</t>
  </si>
  <si>
    <t>6.0m = UMP 5.73m + small premium; S06/S07 values below UMP are not legal for full-time staff.</t>
  </si>
  <si>
    <t>Floor / service staff</t>
  </si>
  <si>
    <t>S31: Common Grounds breakfast 65–95k; S46: dessert in-zone avg ~65k</t>
  </si>
  <si>
    <t>Cost 34% vs S50 food 28–35% → within range. Item cost itself = estimate, recipe costing pending.</t>
  </si>
  <si>
    <t>Focaccia sandwich</t>
  </si>
  <si>
    <t>Annualised revenue</t>
  </si>
  <si>
    <t>Cost 32% vs S50 food 28–35% → within range. Item cost itself = estimate, recipe costing pending.</t>
  </si>
  <si>
    <t>F&amp;B revenue (added to Menu blended cost)</t>
  </si>
  <si>
    <t>Yogurt / oat bowl</t>
  </si>
  <si>
    <t>Capacity check</t>
  </si>
  <si>
    <t>S04 (UMP 5.73m); S74 (waiter ads avg 2.8m – below UMP)</t>
  </si>
  <si>
    <t>5.9m ≈ UMP. Job-ad wages (S74) are below UMP → not usable for full-time compliant staffing.</t>
  </si>
  <si>
    <t>Cashier / host</t>
  </si>
  <si>
    <t>Take-away + delivery revenue</t>
  </si>
  <si>
    <t>Cost 31% vs S50 food 28–35% → within range. Item cost itself = estimate, recipe costing pending.</t>
  </si>
  <si>
    <t>Tiramisu</t>
  </si>
  <si>
    <t>Notes: utilisation = dine-in guests ÷ (seats × hours × 60 / dwell). Real seat occupancy is lower than 100% because party sizes don't fill tables (typically 70–85% max). RevPASH = dine-in revenue per available seat-hour (Kimes, S37).</t>
  </si>
  <si>
    <t>Low utilisation at base demand suggests the 150 m² / 60 seats could be smaller – test 120 m² in Inputs (rent &amp; CAPEX fall).</t>
  </si>
  <si>
    <t>F&amp;B revenue</t>
  </si>
  <si>
    <t>SOURCES &amp; CALCULATION BASIS – Revenue</t>
  </si>
  <si>
    <t>S46: dessert in-zone avg ~65k; bon! dessert 55k</t>
  </si>
  <si>
    <t>Cost 29% vs S50 food 28–35% → within range. Item cost itself = estimate, recipe costing pending.</t>
  </si>
  <si>
    <t>Delivery revenue (+ VAT on fee)</t>
  </si>
  <si>
    <t>Add-ons</t>
  </si>
  <si>
    <t>5.9m ≈ UMP.</t>
  </si>
  <si>
    <t>Extra parmigiano</t>
  </si>
  <si>
    <t>TOTAL</t>
  </si>
  <si>
    <t>Seats (C4)</t>
  </si>
  <si>
    <t>In-store revenue</t>
  </si>
  <si>
    <t>No direct benchmark – priced as % uplift on mains</t>
  </si>
  <si>
    <t>Cost 33% vs S50 food 28–35% → within range. Item cost itself = estimate, recipe costing pending.</t>
  </si>
  <si>
    <t>Burrata add-on</t>
  </si>
  <si>
    <t>Total revenue</t>
  </si>
  <si>
    <t>S35</t>
  </si>
  <si>
    <t>150 m² × 60% dining ÷ 1.5 m²/seat.</t>
  </si>
  <si>
    <t>Helper: Σ headcount × base salary (before level factor) – used by Scenarios</t>
  </si>
  <si>
    <t>Cost 49% vs S50 food 28–35% → ABOVE range. Item cost itself = estimate, recipe costing pending.</t>
  </si>
  <si>
    <t>Daypart hours (B7:B10)</t>
  </si>
  <si>
    <t>Oat milk / extra shot</t>
  </si>
  <si>
    <t>Labour hours check: staff × 173 h ÷ (opening hours × 30)</t>
  </si>
  <si>
    <t>Opening 07:00–22:00 = 15 hours. Assumption.</t>
  </si>
  <si>
    <t>Blended F&amp;B cost % (Menu + adjustment)</t>
  </si>
  <si>
    <t>TOTAL / BLENDED</t>
  </si>
  <si>
    <t>Guests &amp; spend per daypart (C, D)</t>
  </si>
  <si>
    <t>≈ average staff on duty per opening hour (40 h/week contracts)</t>
  </si>
  <si>
    <t>See Inputs rows 31–38 (S46, S43, S31, S33)</t>
  </si>
  <si>
    <t>Blended F&amp;B food &amp; beverage cost % (feeds the model)</t>
  </si>
  <si>
    <t>Notes: Indonesian law (UU 13/2003 as amended) – 40 h/week; overtime premium; THR = 1 month salary before Lebaran; BPJS per S05. Expat GM (KITAS, higher salary) would add ~IDR 40–60m/month – not included.</t>
  </si>
  <si>
    <t>Linked from Inputs – derivations are in Inputs col K.</t>
  </si>
  <si>
    <t>SOURCES &amp; CALCULATION BASIS – Staffing</t>
  </si>
  <si>
    <t>SOURCES &amp; CALCULATION BASIS – OPEX</t>
  </si>
  <si>
    <t>Implied average net spend per guest (menu mix)</t>
  </si>
  <si>
    <t>Dwell times (H7:H10: 30 / 50 / 45 / 75 min)</t>
  </si>
  <si>
    <t>S77 (operators: ~1 hour typical, 30 min for a quarter); S37/S38 (measure duration)</t>
  </si>
  <si>
    <t>vs. revenue model blended spend →</t>
  </si>
  <si>
    <t>Lunch 50 and dinner 75 min bracket the ~1-hour typical stay; morning 30 min matches the café visit. To be measured at comparables (Kimes method).</t>
  </si>
  <si>
    <t>Local management (B6)</t>
  </si>
  <si>
    <t>Headcount B5:B13</t>
  </si>
  <si>
    <t>Delivery orders &amp; value (row 12)</t>
  </si>
  <si>
    <t>S75</t>
  </si>
  <si>
    <t>See Inputs row 65.</t>
  </si>
  <si>
    <t>S30, S46</t>
  </si>
  <si>
    <t>Accounting, insurance, software, cleaning, other (B7:B11)</t>
  </si>
  <si>
    <t>Revenue share</t>
  </si>
  <si>
    <t>Team staffing plan: 2 shifts × ~15 opening hours × 7 days; check J17 (≈ 6.5 staff on duty per opening hour). Validate with 2–3 Jakarta operators.</t>
  </si>
  <si>
    <t>Linked from Inputs rows 39–40.</t>
  </si>
  <si>
    <t>S67 (POS only); S03/S15</t>
  </si>
  <si>
    <t>Mostly assumptions – quotes needed (Inputs rows 66–70).</t>
  </si>
  <si>
    <t>Salary floor (UMP) used in col E</t>
  </si>
  <si>
    <t>Electricity (B15)</t>
  </si>
  <si>
    <t>Capacity threshold 85% (E25)</t>
  </si>
  <si>
    <t>S55, S11</t>
  </si>
  <si>
    <t>≈ 9,000 kWh (S55 benchmark, 70% electric) × IDR 1,444.70/kWh.</t>
  </si>
  <si>
    <t>S04</t>
  </si>
  <si>
    <t>S37 (RevPASH logic)</t>
  </si>
  <si>
    <t>Jakarta UMP 2026 IDR 5,729,876 – every full-time salary must be ≥ this.</t>
  </si>
  <si>
    <t>Peak-daypart seat utilisation above 85% treated as unrealistic – practical rule of thumb.</t>
  </si>
  <si>
    <t>Water &amp; gas (B16)</t>
  </si>
  <si>
    <t>BPJS employer % (col G)</t>
  </si>
  <si>
    <t>S56, S57</t>
  </si>
  <si>
    <t>~120 m³ water + ~15 LPG cylinders per month.</t>
  </si>
  <si>
    <t>Rent &amp; service charge (B20:B21)</t>
  </si>
  <si>
    <t>S05</t>
  </si>
  <si>
    <t>S20–S27, S14</t>
  </si>
  <si>
    <t>Rate × 150 m² × GFA factor (× gross-up) – Location/Rent_Data.</t>
  </si>
  <si>
    <t>3.7 + 2 + 0.3 + 4 = 10% + JKK 0.24–1.74% → 10.2–11.7%; see Inputs row 61.</t>
  </si>
  <si>
    <t>THR accrual (col H)</t>
  </si>
  <si>
    <t>Staff (B22)</t>
  </si>
  <si>
    <t>S04–S09, S73–S76</t>
  </si>
  <si>
    <t>COMPETITOR PRICE BENCHMARKS (collect 10–15 comparables; dine-in prices preferred over delivery-app prices)</t>
  </si>
  <si>
    <t>Staffing sheet total.</t>
  </si>
  <si>
    <t>Venue</t>
  </si>
  <si>
    <t>S76</t>
  </si>
  <si>
    <t>Price (IDR)</t>
  </si>
  <si>
    <t>Channel</t>
  </si>
  <si>
    <t>Area</t>
  </si>
  <si>
    <t>Variable % drivers (B25:B33)</t>
  </si>
  <si>
    <t>Common Grounds</t>
  </si>
  <si>
    <t>Latte</t>
  </si>
  <si>
    <t>S12, S47–S49, S52–S54</t>
  </si>
  <si>
    <t>Dine-in (range 45–52k)</t>
  </si>
  <si>
    <t>Various</t>
  </si>
  <si>
    <t>S31</t>
  </si>
  <si>
    <t>Food-cost adj., packaging, waste, delivery commission, payment fees, marketing, R&amp;M, misc. – see Inputs rows 47–57.</t>
  </si>
  <si>
    <t>Dine-in</t>
  </si>
  <si>
    <t>Tobiko truffle pasta</t>
  </si>
  <si>
    <t>Dine-in (85–110k)</t>
  </si>
  <si>
    <t>Blended F&amp;B cost (B34)</t>
  </si>
  <si>
    <t>Common Grounds Citywalk</t>
  </si>
  <si>
    <t>Café latte</t>
  </si>
  <si>
    <t>1 month wage ÷ 12 months = 8.33%.</t>
  </si>
  <si>
    <t>Delivery app</t>
  </si>
  <si>
    <t>Sudirman</t>
  </si>
  <si>
    <t>S32</t>
  </si>
  <si>
    <t>Mac and cheese</t>
  </si>
  <si>
    <t>Pasta, Bitte!</t>
  </si>
  <si>
    <t>Smoked beef carbonara</t>
  </si>
  <si>
    <t>Meals/uniform/transport (col I)</t>
  </si>
  <si>
    <t>S33</t>
  </si>
  <si>
    <t>Toscana</t>
  </si>
  <si>
    <t>Spaghetti con vongole</t>
  </si>
  <si>
    <t>S49, S50</t>
  </si>
  <si>
    <t>Menu blended cost % + scenario adjustment.</t>
  </si>
  <si>
    <t>Caffè Milano</t>
  </si>
  <si>
    <t>Per person band</t>
  </si>
  <si>
    <t>Mid-point of 50–100k</t>
  </si>
  <si>
    <t>Grand Indonesia</t>
  </si>
  <si>
    <t>S34</t>
  </si>
  <si>
    <t>Warung Pasta</t>
  </si>
  <si>
    <t>Mid-point of 18–47k (value)</t>
  </si>
  <si>
    <t>IDR per head per month – assumption (Inputs row 63).</t>
  </si>
  <si>
    <t>Kasavana–Smith rule: Star = high contribution &amp; popularity ≥ 70% of fair share in its category; Plowhorse = popular/low CM; Puzzle = high CM/unpopular; Dog = both low (S39).</t>
  </si>
  <si>
    <t>Labour-hours check (J17)</t>
  </si>
  <si>
    <t>SOURCES &amp; CALCULATION BASIS – Menu</t>
  </si>
  <si>
    <t>UU 13/2003 (40 h/week ≈ 173 h/month)</t>
  </si>
  <si>
    <t>Staff × 173 h ÷ (15 opening hours × 30 days) = average staff on duty per hour.</t>
  </si>
  <si>
    <t>Net prices C5:C24</t>
  </si>
  <si>
    <t>Benchmark cross-check: staff % revenue</t>
  </si>
  <si>
    <t>S49 (labour 29.4% FSR); S51 (prime ≤60–65%)</t>
  </si>
  <si>
    <t>Model staff cost ÷ revenue at maturity, to compare with the 26.9–29.4% benchmark range.</t>
  </si>
  <si>
    <t>S46, S31, S33, S34</t>
  </si>
  <si>
    <t>Placeholder prices positioned against competitor medians (col O). Typical pasta 98k is ~26% below the in-zone average of ~133k (S46 Price_Summary).</t>
  </si>
  <si>
    <t>Food costs D5:D24</t>
  </si>
  <si>
    <t>Unit costs are estimates; their cost % is checked against category benchmarks (col P). Blended cost % (E27) feeds the model.</t>
  </si>
  <si>
    <t>Units per 100 guests G5:G24</t>
  </si>
  <si>
    <t>Menu mix is an assumption; replace with POS data from the Zurich pop-up.</t>
  </si>
  <si>
    <t>Guest price incl. PBJT (col N)</t>
  </si>
  <si>
    <t>S13</t>
  </si>
  <si>
    <t>Net price × (1 + 10% PBJT).</t>
  </si>
  <si>
    <t>Competitor benchmark table A38:F47</t>
  </si>
  <si>
    <t>S31–S34</t>
  </si>
  <si>
    <t>Prices as published (dine-in or delivery app, marked in col D).</t>
  </si>
  <si>
    <t>Menu-engineering classes (col L)</t>
  </si>
  <si>
    <t>S39</t>
  </si>
  <si>
    <t>Kasavana–Smith: contribution vs category average, popularity vs 70% rule.</t>
  </si>
  <si>
    <t>Investment Requirement (CAPEX &amp; pre-opening)</t>
  </si>
  <si>
    <t>Blue = base quantities/unit costs (get 3 quotes each). Final amount applies the scenario cost factor (hard costs) and non-recoverable VAT.</t>
  </si>
  <si>
    <t xml:space="preserve">This modelling assumes that the material is bought. However I want to consider leasing some materials, which can significantly impact this sheet. </t>
  </si>
  <si>
    <t>I now want to evaluate the tradeoffs of buying/ leasing some of these items, and compare different brands to get the best value for money</t>
  </si>
  <si>
    <t>Seats (from Revenue sheet)</t>
  </si>
  <si>
    <t>Block</t>
  </si>
  <si>
    <t>Quantity</t>
  </si>
  <si>
    <t>Unit cost (IDR)</t>
  </si>
  <si>
    <t>Base amount (IDR)</t>
  </si>
  <si>
    <t>Cost factor? (1/0)</t>
  </si>
  <si>
    <t>VAT? (1/0)</t>
  </si>
  <si>
    <t>Final amount (IDR)</t>
  </si>
  <si>
    <t>Final (CHF)</t>
  </si>
  <si>
    <t>% of total</t>
  </si>
  <si>
    <t>How the amount was derived / check vs source</t>
  </si>
  <si>
    <t>This modelling assumes that the material is leased .</t>
  </si>
  <si>
    <t>A Hard</t>
  </si>
  <si>
    <t>Civil works, MEP, AC, kitchen exhaust &amp; grease trap</t>
  </si>
  <si>
    <t>Funding, Bank Need &amp; PT PMA Capital Check</t>
  </si>
  <si>
    <t>Is CHF 200k enough? Does the bank have to be involved? Compares investment need with equity and Indonesian foreign-investment rules.</t>
  </si>
  <si>
    <t>Jonas note;</t>
  </si>
  <si>
    <t>I had a brief look at what a PT PMA is but have not been into details</t>
  </si>
  <si>
    <t>S10 (premium café fit-out IDR 4.5–6.5m/m²; civil 20–30% + MEP 15–20%)</t>
  </si>
  <si>
    <t>(20–30% + 15–20%) × 4.5–6.5m/m² = 1.6–3.25m/m²; 3.2m/m² = top of range because kitchen exhaust, grease trap and AC are included.</t>
  </si>
  <si>
    <t>Funding is also a questions where I have little information for the moment, and therefore I did not</t>
  </si>
  <si>
    <t>Interior, furniture &amp; decor</t>
  </si>
  <si>
    <t xml:space="preserve">spend much time on. @Sam: What scope is expected from us </t>
  </si>
  <si>
    <t>Total investment requirement (CAPEX sheet)</t>
  </si>
  <si>
    <t>S10 (furniture &amp; fit-out 35–45% of premium budget)</t>
  </si>
  <si>
    <t>35–45% × 4.5–6.5m/m² × 150 m² = IDR 236–439m ÷ 60 seats = 3.9–7.3m/seat → 5.0m/seat mid-range.</t>
  </si>
  <si>
    <t>Design &amp; supervision fee</t>
  </si>
  <si>
    <t>Brief: CHF 200k</t>
  </si>
  <si>
    <t>S10 (design ~10% of build)</t>
  </si>
  <si>
    <t>10% × (civil/MEP + interior).</t>
  </si>
  <si>
    <t>Kitchen: combi oven</t>
  </si>
  <si>
    <t>Bank loan (if switched on)</t>
  </si>
  <si>
    <t>Scenario Comparison – Steady-State Unit Economics (mature month, year-1 prices)</t>
  </si>
  <si>
    <t>Each column reads its own scenario column in Inputs, so all three are always live. Column F = active scenario. Full monthly dynamics → PnL_Monthly.</t>
  </si>
  <si>
    <t xml:space="preserve">As mentionned previously: the scenarios need further refinements and confirmation </t>
  </si>
  <si>
    <t>S68 (iCombi Pro 6-1/1E GBP 5,519 ex VAT); S71 (GBP/IDR 23,680)</t>
  </si>
  <si>
    <t>5,519 × 23,680 = IDR 130.7m UK dealer price; + ~30–40% import duty, freight, local margin &amp; installation ≈ IDR 170–185m. ⚠ v0.1 value (280m) is ~50% above this – review or justify (stand, water softener?).</t>
  </si>
  <si>
    <t>Local banks rarely lend to a new PT PMA without collateral/track record – likely a Swiss loan to the parent or shareholder loan</t>
  </si>
  <si>
    <t>Line</t>
  </si>
  <si>
    <t>Additional equity still required</t>
  </si>
  <si>
    <t>Kitchen: pasta cookers / induction range</t>
  </si>
  <si>
    <t>Volume &amp; revenue</t>
  </si>
  <si>
    <t>Must be zero for the plan to be funded</t>
  </si>
  <si>
    <t>Guests per day (in-store)</t>
  </si>
  <si>
    <t>Cash surplus at opening (equity beyond need)</t>
  </si>
  <si>
    <t>Quote needed (pasta boilers, induction range).</t>
  </si>
  <si>
    <t>Opening cash at month 1 (WC reserve + surplus)</t>
  </si>
  <si>
    <t>Kitchen: refrigeration (reach-in, under-counter, chiller)</t>
  </si>
  <si>
    <t>Feeds PnL_Monthly</t>
  </si>
  <si>
    <t>Loan terms</t>
  </si>
  <si>
    <t>Interest rate p.a.</t>
  </si>
  <si>
    <t>Quote needed.</t>
  </si>
  <si>
    <t>Kitchen: hood, ventilation &amp; fire suppression</t>
  </si>
  <si>
    <t>Tenor (months)</t>
  </si>
  <si>
    <t>Monthly annuity payment</t>
  </si>
  <si>
    <t>In-store revenue per day</t>
  </si>
  <si>
    <t>Quote needed – may be landlord scope.</t>
  </si>
  <si>
    <t>Kitchen: prep tables, sinks, dishwasher</t>
  </si>
  <si>
    <t>Debt service cover (year-2 EBITDA ÷ year-2 debt service)</t>
  </si>
  <si>
    <t>Coffee: espresso machine (2-group, premium)</t>
  </si>
  <si>
    <t>Banks usually want ≥ 1.25–1.5x</t>
  </si>
  <si>
    <t>PT PMA CAPITAL RULES (BKPM Reg. 5/2025 – confirm with Indonesian lawyer)</t>
  </si>
  <si>
    <t>Required minimum paid-up capital (IDR 2.5bn × KBLI codes)</t>
  </si>
  <si>
    <t>S69 (La Marzocco Linea PB 2-group GBP 11,748 ex VAT); S71</t>
  </si>
  <si>
    <t>11,748 × 23,680 = IDR 278m UK dealer price. ⚠ v0.1 value (220m) is ~20% below – OK only with a cheaper model (e.g. Linea Classic) or local distributor price.</t>
  </si>
  <si>
    <t>Founder equity vs paid-up requirement</t>
  </si>
  <si>
    <t>Coffee: grinders (espresso + filter)</t>
  </si>
  <si>
    <t>Avg net spend per guest</t>
  </si>
  <si>
    <t>Required investment plan declared in OSS (IDR 10bn × KBLI)</t>
  </si>
  <si>
    <t>S70 (Mahlkönig E65S USD 2,949; EK43 USD 3,899); S72 (USD/IDR 17,895)</t>
  </si>
  <si>
    <t>E65S 2,949 × 17,895 = IDR 52.8m; EK43 3,899 × 17,895 = 69.8m; average ≈ 61m per grinder before import costs. ⚠ v0.1 (40m each) looks ~35% low.</t>
  </si>
  <si>
    <t>Coffee: brew bar, water filtration</t>
  </si>
  <si>
    <t>Model investment vs. investment plan</t>
  </si>
  <si>
    <t>Delivery revenue per day</t>
  </si>
  <si>
    <t>If &lt;100%: the plan must be realised over time (more outlets) or another structure is needed – key legal question</t>
  </si>
  <si>
    <t>Structuring options to discuss with a lawyer (not verified): local partner PT (PMDN) with licence/franchise from CORSA; JV; master franchise; PT PMA sized for a multi-outlet roll-out.</t>
  </si>
  <si>
    <t>Drinks: blenders, juicer, ice machine</t>
  </si>
  <si>
    <t>SOURCES &amp; CALCULATION BASIS – Funding</t>
  </si>
  <si>
    <t>F&amp;B revenue per month</t>
  </si>
  <si>
    <t>Quote needed (functional-drink equipment).</t>
  </si>
  <si>
    <t>Smallwares, tableware, uniforms</t>
  </si>
  <si>
    <t>Total investment (B5)</t>
  </si>
  <si>
    <t>CAPEX sheet (S10, S64–S70)</t>
  </si>
  <si>
    <t>Linked from CAPEX!H36.</t>
  </si>
  <si>
    <t>Assumption.</t>
  </si>
  <si>
    <t>Branding &amp; signage (facade, menu boards)</t>
  </si>
  <si>
    <t>Founder equity (B6)</t>
  </si>
  <si>
    <t>Brief; S16</t>
  </si>
  <si>
    <t>CHF 200,000 × FX rate.</t>
  </si>
  <si>
    <t>Loan rate &amp; tenor (B14:B15)</t>
  </si>
  <si>
    <t>No source (reklame permit: Jakarta Bapenda)</t>
  </si>
  <si>
    <t>POS &amp; technology (POS, KDS, Wi-Fi, CCTV, sound)</t>
  </si>
  <si>
    <t>S19, S17, S49</t>
  </si>
  <si>
    <t>8.01% SBDK + ~2.5 pp risk premium; tenor 48 months within 3–5 yr benchmark.</t>
  </si>
  <si>
    <t>Debt service cover target (D17: 1.25–1.5x)</t>
  </si>
  <si>
    <t>S67 (Moka POS subscription – opex only)</t>
  </si>
  <si>
    <t>Hardware (POS terminals, KDS, Wi-Fi, CCTV, sound) – quote needed.</t>
  </si>
  <si>
    <t>TOTAL REVENUE / MONTH</t>
  </si>
  <si>
    <t>Sub-total A – hard costs</t>
  </si>
  <si>
    <t>Common bank covenant level – confirm with lender.</t>
  </si>
  <si>
    <t>PT PMA paid-up capital &amp; investment plan (rows 20–23)</t>
  </si>
  <si>
    <t>B Soft</t>
  </si>
  <si>
    <t>Company setup: PT PMA, notary, OSS, consultant</t>
  </si>
  <si>
    <t>Total revenue / year</t>
  </si>
  <si>
    <t>IDR 2.5bn paid-up and IDR 10bn plan per KBLI (BKPM Reg. 5/2025).</t>
  </si>
  <si>
    <t>S65 (PT PMA setup IDR 45.7–113m incl. KITAS)</t>
  </si>
  <si>
    <t>90m = upper-middle of S65 range (incl. one KITAS and consultant).</t>
  </si>
  <si>
    <t>Licences &amp; permits (SLHS, halal, PBG/SLF, fire, reklame)</t>
  </si>
  <si>
    <t>Variable costs</t>
  </si>
  <si>
    <t>S66 (halal: 12.5m registration + 3.68m LPH inspection); S03 (SLHS, PBG/SLF, fire, environment)</t>
  </si>
  <si>
    <t>Halal ≈ 16.2m sourced; remaining ~44m for SLHS, PBG/SLF, fire certificate, reklame is an assumption.</t>
  </si>
  <si>
    <t>Pre-opening marketing &amp; launch</t>
  </si>
  <si>
    <t>COGS (F&amp;B + events + retail)</t>
  </si>
  <si>
    <t>Brief; S52 (marketing 3–6%)</t>
  </si>
  <si>
    <t>180m ≈ 25% of one mature month's revenue (IDR 736m). Launch budget is an assumption.</t>
  </si>
  <si>
    <t>Recruitment &amp; training (incl. trainer travel from CH)</t>
  </si>
  <si>
    <t>Brief</t>
  </si>
  <si>
    <t>Recruitment + trainer flights/stay from Switzerland – assumption.</t>
  </si>
  <si>
    <t>Opening inventory (food, coffee, packaging)</t>
  </si>
  <si>
    <t>Brief; Menu sheet food cost</t>
  </si>
  <si>
    <t>≈ 2–3 weeks of mature COGS (≈ IDR 200m/month) → 120m. Approximation.</t>
  </si>
  <si>
    <t>Pre-opening utilities, deposits &amp; misc.</t>
  </si>
  <si>
    <t>Packaging</t>
  </si>
  <si>
    <t>Pre-opening payroll (months × full staff cost)</t>
  </si>
  <si>
    <t>Staffing sheet; Inputs preopen_pay</t>
  </si>
  <si>
    <t>Months × full monthly staff cost (formula).</t>
  </si>
  <si>
    <t>Sub-total B – soft / pre-opening</t>
  </si>
  <si>
    <t>C Cont.</t>
  </si>
  <si>
    <t>Contingency reserve (% of A + B)</t>
  </si>
  <si>
    <t>Waste &amp; spoilage</t>
  </si>
  <si>
    <t>S64 via Inputs contingency</t>
  </si>
  <si>
    <t>% × (hard + soft) – formula.</t>
  </si>
  <si>
    <t>Delivery commission (+VAT on fee)</t>
  </si>
  <si>
    <t>D Lease</t>
  </si>
  <si>
    <t>Rent during fit-out (before opening)</t>
  </si>
  <si>
    <t>Inputs fitout_m; Rent_Data/Location</t>
  </si>
  <si>
    <t>Formula: months × monthly rent + SC.</t>
  </si>
  <si>
    <t>Payment fees</t>
  </si>
  <si>
    <t>Rent prepayment – first block</t>
  </si>
  <si>
    <t>Inputs prepay_m; S20/S21</t>
  </si>
  <si>
    <t>Formula: months × monthly rent.</t>
  </si>
  <si>
    <t>Security deposit (refundable)</t>
  </si>
  <si>
    <t>Marketing, maintenance, misc., royalty</t>
  </si>
  <si>
    <t>Inputs deposit_m</t>
  </si>
  <si>
    <t>E WC</t>
  </si>
  <si>
    <t>Working-capital reserve (staff + fixed opex + utilities)</t>
  </si>
  <si>
    <t>Total variable costs</t>
  </si>
  <si>
    <t>Inputs wc_months</t>
  </si>
  <si>
    <t>Formula: months × (staff + fixed opex + utilities).</t>
  </si>
  <si>
    <t>TOTAL INVESTMENT REQUIREMENT</t>
  </si>
  <si>
    <t>Contribution margin</t>
  </si>
  <si>
    <t>Helpers for Scenarios / PnL</t>
  </si>
  <si>
    <t>Hard costs before cost factor, incl. VAT</t>
  </si>
  <si>
    <t>Contribution margin %</t>
  </si>
  <si>
    <t>Soft costs excl. pre-opening payroll, incl. VAT</t>
  </si>
  <si>
    <t>Depreciable base (hard costs + their contingency share)</t>
  </si>
  <si>
    <t>Fixed costs</t>
  </si>
  <si>
    <t>Staff (incl. BPJS, THR, benefits)</t>
  </si>
  <si>
    <t>Cash spent before opening (total less WC reserve)</t>
  </si>
  <si>
    <t>Note: pre-opening soft costs are expensed under IFRS; here they are treated as part of the investment (cash view). Only hard costs are depreciated.</t>
  </si>
  <si>
    <t>SOURCES &amp; CALCULATION BASIS – CAPEX (sheet-level parameters)</t>
  </si>
  <si>
    <t>Cost factor applied to hard costs (col F)</t>
  </si>
  <si>
    <t>S64</t>
  </si>
  <si>
    <t>Overrun/savings factor from Inputs row 75.</t>
  </si>
  <si>
    <t>Rent (incl. gross-up)</t>
  </si>
  <si>
    <t>Non-recoverable VAT (col G)</t>
  </si>
  <si>
    <t>S03</t>
  </si>
  <si>
    <t>11% VAT added because restaurants (PBJT regime) cannot reclaim input VAT.</t>
  </si>
  <si>
    <t>Contingency % (row 31)</t>
  </si>
  <si>
    <t>10% = renovation benchmark (5% ground-up).</t>
  </si>
  <si>
    <t>Seats driving interior cost (C4)</t>
  </si>
  <si>
    <t>Dining area ÷ 1.5 m²/seat (Revenue!C4).</t>
  </si>
  <si>
    <t>CHF conversion (col I)</t>
  </si>
  <si>
    <t>S16</t>
  </si>
  <si>
    <t>IDR ÷ FX rate.</t>
  </si>
  <si>
    <t>⚠ Equipment checks vs dealer prices</t>
  </si>
  <si>
    <t>Fixed overheads (mgmt, accounting, insurance…)</t>
  </si>
  <si>
    <t>S68, S69, S70</t>
  </si>
  <si>
    <t>Combi oven looks ~50% high, espresso ~20% low, grinders ~35% low vs converted UK/US dealer prices (rows 10, 15, 16). Net effect small, but get Jakarta distributor quotes before 22 Oct.</t>
  </si>
  <si>
    <t>Total fixed costs</t>
  </si>
  <si>
    <t>Fixed costs excl. rent &amp; service charge</t>
  </si>
  <si>
    <t>Profitability</t>
  </si>
  <si>
    <t>EBITDA / month (steady state)</t>
  </si>
  <si>
    <t>EBITDA / year</t>
  </si>
  <si>
    <t>Food &amp; beverage cost % of revenue</t>
  </si>
  <si>
    <t>Staff cost % of revenue</t>
  </si>
  <si>
    <t>Benchmark ≤ 60–65%</t>
  </si>
  <si>
    <t>Benchmark ≤ 10–12%</t>
  </si>
  <si>
    <t>Break-even</t>
  </si>
  <si>
    <t>Break-even revenue / month</t>
  </si>
  <si>
    <t>Break-even revenue / trading day</t>
  </si>
  <si>
    <t>Break-even guests / day (at current channel mix)</t>
  </si>
  <si>
    <t>Margin of safety (revenue above break-even)</t>
  </si>
  <si>
    <t>Investment &amp; payback</t>
  </si>
  <si>
    <t>Hard costs (incl. VAT, cost factor)</t>
  </si>
  <si>
    <t>Soft costs incl. pre-opening payroll</t>
  </si>
  <si>
    <t>Contingency</t>
  </si>
  <si>
    <t>Monthly P&amp;L and Cash Flow – 13 months (active scenario)</t>
  </si>
  <si>
    <t>Ramp-up, seasonality, price/wage/rent escalation, rent prepayment timing, loan and tax. All formulas – do not type over.</t>
  </si>
  <si>
    <t>Month #</t>
  </si>
  <si>
    <t>Lease (fit-out rent, prepayment, deposit)</t>
  </si>
  <si>
    <t>Month</t>
  </si>
  <si>
    <t>Working-capital reserve</t>
  </si>
  <si>
    <t>TOTAL INVESTMENT</t>
  </si>
  <si>
    <t>Total investment</t>
  </si>
  <si>
    <t>Gap vs founder equity (+ = need bank/extra equity)</t>
  </si>
  <si>
    <t>Annual Summary – Years 1–5 (active scenario)</t>
  </si>
  <si>
    <t>SUMIFS over PnL_Monthly by operating year.</t>
  </si>
  <si>
    <t>Year 1</t>
  </si>
  <si>
    <t>Year 2</t>
  </si>
  <si>
    <t>Year 3</t>
  </si>
  <si>
    <t>Year 4</t>
  </si>
  <si>
    <t>Simple payback (years) = investment ÷ annual EBITDA after tax</t>
  </si>
  <si>
    <t>Year 5</t>
  </si>
  <si>
    <t>Total</t>
  </si>
  <si>
    <t>Operating year</t>
  </si>
  <si>
    <t>Steady state – ignores ramp-up; see Dashboard for full-model payback</t>
  </si>
  <si>
    <t>Check: ACTIVE investment equals CAPEX sheet total</t>
  </si>
  <si>
    <t>Ramp-up %</t>
  </si>
  <si>
    <t>Check: ACTIVE revenue equals Revenue sheet total</t>
  </si>
  <si>
    <t>SOURCES &amp; CALCULATION BASIS – Scenarios</t>
  </si>
  <si>
    <t>Food &amp; beverage cost</t>
  </si>
  <si>
    <t>Scenario columns C/D/E</t>
  </si>
  <si>
    <t>Inputs cols E/F/G</t>
  </si>
  <si>
    <t>Each column reads its own scenario column in Inputs – every number traces back to Inputs col I/K.</t>
  </si>
  <si>
    <t>Revenue lines (rows 6–14)</t>
  </si>
  <si>
    <t>S31, S33, S43, S46</t>
  </si>
  <si>
    <t>Guests × spend per daypart + delivery + events + retail (Inputs rows 31–43).</t>
  </si>
  <si>
    <t>Variable costs (rows 16–22)</t>
  </si>
  <si>
    <t>Contribution after variable costs</t>
  </si>
  <si>
    <t>S12, S47–S54</t>
  </si>
  <si>
    <t>% drivers from Inputs rows 47–57 × relevant revenue base.</t>
  </si>
  <si>
    <t>Fixed costs (rows 26–31)</t>
  </si>
  <si>
    <t>S04–S11, S20–S27, S55–S57, S73–S76</t>
  </si>
  <si>
    <t>Staffing, rent, utilities, overheads.</t>
  </si>
  <si>
    <t>Break-even (rows 42–46)</t>
  </si>
  <si>
    <t>Methods sheet</t>
  </si>
  <si>
    <t>Fixed costs ÷ contribution margin % ÷ 30 days; guests = revenue ÷ blended spend.</t>
  </si>
  <si>
    <t>Benchmarks for KPI rows 37–40</t>
  </si>
  <si>
    <t>S49 (food 28.5–30.3%, labour 26.9–29.4%, prime 55–60%); S51 (prime ≤60–65%, occupancy ≤8–10%)</t>
  </si>
  <si>
    <t>Use these ranges to judge the model's food %, staff %, prime cost % and occupancy %.</t>
  </si>
  <si>
    <t>Payback after tax (row 56)</t>
  </si>
  <si>
    <t>Sensitivity Analysis – One-at-a-time (tornado) &amp; Two-way Grids</t>
  </si>
  <si>
    <t>Flexes the ACTIVE steady-state month (Scenarios col F). Change the flex % (blue). Which assumptions matter most?</t>
  </si>
  <si>
    <t>S15 (CIT 22%)</t>
  </si>
  <si>
    <t>Steady-state components (active scenario)</t>
  </si>
  <si>
    <t>Flex ±</t>
  </si>
  <si>
    <t>Investment ÷ (annual EBITDA × (1 − 22%)).</t>
  </si>
  <si>
    <t>Seasonality index</t>
  </si>
  <si>
    <t>Revenue (R)</t>
  </si>
  <si>
    <t>Delivery commission</t>
  </si>
  <si>
    <t>Other variable (packaging, waste, fees, % costs)</t>
  </si>
  <si>
    <t>Rent + service charge</t>
  </si>
  <si>
    <t>Other fixed (utilities + overheads)</t>
  </si>
  <si>
    <t>Utilities + overheads + service charge</t>
  </si>
  <si>
    <t>Base EBITDA / month</t>
  </si>
  <si>
    <t>Low factor</t>
  </si>
  <si>
    <t>High factor</t>
  </si>
  <si>
    <t>EBITDA @ low</t>
  </si>
  <si>
    <t>EBITDA @ high</t>
  </si>
  <si>
    <t>Δ low vs base</t>
  </si>
  <si>
    <t>Δ high vs base</t>
  </si>
  <si>
    <t>Swing (abs)</t>
  </si>
  <si>
    <t>Rank helper</t>
  </si>
  <si>
    <t>Guest volume (all channels)</t>
  </si>
  <si>
    <t>Volume factor (ramp × season)</t>
  </si>
  <si>
    <t>Average spend / menu prices</t>
  </si>
  <si>
    <t>EBITDA</t>
  </si>
  <si>
    <t>Price index</t>
  </si>
  <si>
    <t>Food &amp; beverage cost %</t>
  </si>
  <si>
    <t>Depreciation</t>
  </si>
  <si>
    <t>Staff cost</t>
  </si>
  <si>
    <t>Wage index</t>
  </si>
  <si>
    <t>Interest</t>
  </si>
  <si>
    <t>Other fixed costs</t>
  </si>
  <si>
    <t>TORNADO (sorted by swing – largest first)</t>
  </si>
  <si>
    <t>Δ EBITDA @ −flex</t>
  </si>
  <si>
    <t>Δ EBITDA @ +flex</t>
  </si>
  <si>
    <t>Swing</t>
  </si>
  <si>
    <t>Net income</t>
  </si>
  <si>
    <t>Project free cash flow</t>
  </si>
  <si>
    <t>Opex inflation index</t>
  </si>
  <si>
    <t>Net cash flow (after debt service)</t>
  </si>
  <si>
    <t>Closing cash (end of year)</t>
  </si>
  <si>
    <t>Revenue (CHF)</t>
  </si>
  <si>
    <t>REVENUE</t>
  </si>
  <si>
    <t>EBITDA (CHF)</t>
  </si>
  <si>
    <t>Food &amp; beverage cost % revenue</t>
  </si>
  <si>
    <t>Staff % revenue</t>
  </si>
  <si>
    <t>TWO-WAY GRID 1: monthly EBITDA (IDR) – guest volume (rows) × average spend (columns)</t>
  </si>
  <si>
    <t>Rent % revenue</t>
  </si>
  <si>
    <t>VALUATION (project view)</t>
  </si>
  <si>
    <t>Year-0 investment</t>
  </si>
  <si>
    <t>Project FCF years 1–5 (+ deposit back &amp; terminal value in Y5)</t>
  </si>
  <si>
    <t>F&amp;B delivery (gross)</t>
  </si>
  <si>
    <t>IRR (5 years)</t>
  </si>
  <si>
    <t>NPV at discount rate</t>
  </si>
  <si>
    <t>IRR helper cash-flow row (Y0…Y5)</t>
  </si>
  <si>
    <t>SOURCES &amp; CALCULATION BASIS – Annual</t>
  </si>
  <si>
    <t>Years 1–5 lines</t>
  </si>
  <si>
    <t>PnL_Monthly</t>
  </si>
  <si>
    <t>SUMIFS by operating year – no new hardcoded inputs.</t>
  </si>
  <si>
    <t>Monte Carlo Simulation – 1,000 draws of steady-state EBITDA &amp; payback (BASE scenario centre)</t>
  </si>
  <si>
    <t>Discount rate for NPV</t>
  </si>
  <si>
    <t>Each driver drawn from a triangular distribution (min = worst scenario, mode = Base, max = best). Press F9 to redraw. Independent draws (no correlation) – a simplification.</t>
  </si>
  <si>
    <t>SOURCES &amp; CALCULATION BASIS – MonteCarlo</t>
  </si>
  <si>
    <t>S62, S63</t>
  </si>
  <si>
    <t>7.17% 10Y SBN + 6.69% Indonesia ERP ≈ 14% + 1 pp unlisted-outlet premium = 15%.</t>
  </si>
  <si>
    <t>Terminal value multiple</t>
  </si>
  <si>
    <t>Base components (Scenarios col D)</t>
  </si>
  <si>
    <t>Base components (rows 5–12)</t>
  </si>
  <si>
    <t>2× year-5 EBITDA – assumption.</t>
  </si>
  <si>
    <t>Benchmarks for % rows (food, staff, rent)</t>
  </si>
  <si>
    <t>Scenarios col D</t>
  </si>
  <si>
    <t>S49, S51</t>
  </si>
  <si>
    <t>Base scenario steady state – sources as in Scenarios.</t>
  </si>
  <si>
    <t>Food 28.5–30.3%, labour 26.9–29.4%, occupancy 6–10% of sales.</t>
  </si>
  <si>
    <t>Triangular ranges (rows 16–21)</t>
  </si>
  <si>
    <t>Inputs cols E/G</t>
  </si>
  <si>
    <t>Min = conservative, mode = base, max = optimistic factor for each driver.</t>
  </si>
  <si>
    <t>Method: 1,000 draws, triangular</t>
  </si>
  <si>
    <t>S42 (IMA – Monte Carlo for capital budgeting)</t>
  </si>
  <si>
    <t>RAND() inverse-triangular draws; payback = investment ÷ after-tax EBITDA.</t>
  </si>
  <si>
    <t>Correlation switch (B33)</t>
  </si>
  <si>
    <t>1 = volume &amp; spend drawn together (same demand shock). Choice.</t>
  </si>
  <si>
    <t>TWO-WAY GRID 2: monthly EBITDA (IDR) – guest volume (rows) × rent level (columns)</t>
  </si>
  <si>
    <t>Other variable</t>
  </si>
  <si>
    <t>Rent + SC</t>
  </si>
  <si>
    <t>Other fixed</t>
  </si>
  <si>
    <t>Investment</t>
  </si>
  <si>
    <t>Driver factor distributions (relative to Base)</t>
  </si>
  <si>
    <t>TOTAL REVENUE</t>
  </si>
  <si>
    <t>Min</t>
  </si>
  <si>
    <t>Mode</t>
  </si>
  <si>
    <t>Max</t>
  </si>
  <si>
    <t>Cons ratio</t>
  </si>
  <si>
    <t>Opt ratio</t>
  </si>
  <si>
    <t>Guest volume</t>
  </si>
  <si>
    <t>VARIABLE COSTS</t>
  </si>
  <si>
    <t>Average spend</t>
  </si>
  <si>
    <t>Food cost %</t>
  </si>
  <si>
    <t>RESULTS</t>
  </si>
  <si>
    <t>Histogram of monthly EBITDA</t>
  </si>
  <si>
    <t>Mean monthly EBITDA (IDR)</t>
  </si>
  <si>
    <t>Bin upper (IDR)</t>
  </si>
  <si>
    <t>Count</t>
  </si>
  <si>
    <t>Bin width</t>
  </si>
  <si>
    <t>PAYBACK GRID (years, after 22% tax, steady state): investment factor (rows) × EBITDA factor (columns)</t>
  </si>
  <si>
    <t>P10 monthly EBITDA</t>
  </si>
  <si>
    <t>P50 monthly EBITDA</t>
  </si>
  <si>
    <t>P90 monthly EBITDA</t>
  </si>
  <si>
    <t>Probability EBITDA &lt; 0</t>
  </si>
  <si>
    <t>Probability payback ≤ 3 years</t>
  </si>
  <si>
    <t>Probability payback ≤ 5 years</t>
  </si>
  <si>
    <t>Median payback (years, 99 = never)</t>
  </si>
  <si>
    <t>Correlate volume &amp; spend (same demand shock)? 1 = yes</t>
  </si>
  <si>
    <t>Independent draws understate joint downside: the Conservative case combines all worst values at once, which the simulation treats as very unlikely.</t>
  </si>
  <si>
    <t>Draw #</t>
  </si>
  <si>
    <t>u Vol</t>
  </si>
  <si>
    <t>u Spend</t>
  </si>
  <si>
    <t>u Food</t>
  </si>
  <si>
    <t>u Staff</t>
  </si>
  <si>
    <t>u Rent</t>
  </si>
  <si>
    <t>u Inv</t>
  </si>
  <si>
    <t>EBITDA / month</t>
  </si>
  <si>
    <t>Payback (yrs)</t>
  </si>
  <si>
    <t>Vol f</t>
  </si>
  <si>
    <t>Spend f</t>
  </si>
  <si>
    <t>Food f</t>
  </si>
  <si>
    <t>Staff f</t>
  </si>
  <si>
    <t>Rent f</t>
  </si>
  <si>
    <t>Inv f</t>
  </si>
  <si>
    <t>Delivery commission (+VAT)</t>
  </si>
  <si>
    <t>Method: one-at-a-time sensitivity (F1F9/Bodmer tornado practice). Limitation: ignores interactions – see two-way grids and MonteCarlo sheet.</t>
  </si>
  <si>
    <t>SOURCES &amp; CALCULATION BASIS – Sensitivity</t>
  </si>
  <si>
    <t>Flex ±20% (E4)</t>
  </si>
  <si>
    <t>Uniform test range – choice, not a forecast. Evidence-based ranges are in the Scenario columns of Inputs.</t>
  </si>
  <si>
    <t>Steady-state components (rows 5–13)</t>
  </si>
  <si>
    <t>Scenarios col F</t>
  </si>
  <si>
    <t>Linked – sources as in Scenarios.</t>
  </si>
  <si>
    <t>Grid steps (0.7–1.3; 0.85–1.15; 0.6–1.3)</t>
  </si>
  <si>
    <t>Display ranges for two-way grids.</t>
  </si>
  <si>
    <t>Method</t>
  </si>
  <si>
    <t>Methods sheet (one-at-a-time tornado)</t>
  </si>
  <si>
    <t>Each driver flexed alone; interactions in two-way grids and MonteCarlo.</t>
  </si>
  <si>
    <t>Marketing</t>
  </si>
  <si>
    <t>Source Log</t>
  </si>
  <si>
    <t>Every hardcoded number in the model cites an ID below. Each sheet also has a 'Sources &amp; calculation basis' table showing how its figures were calculated from these sources (v0.2, 8 Oct 2026). Column G lists where each source is used.</t>
  </si>
  <si>
    <t>ID</t>
  </si>
  <si>
    <t>Topic</t>
  </si>
  <si>
    <t>URL</t>
  </si>
  <si>
    <t>What it gives the model</t>
  </si>
  <si>
    <t>Reliability / next step</t>
  </si>
  <si>
    <t>Used on sheets</t>
  </si>
  <si>
    <t>S01</t>
  </si>
  <si>
    <t>Legal / PMA</t>
  </si>
  <si>
    <t>ASEAN Briefing – Indonesia minimum investment requirements (IDR 10bn rule)</t>
  </si>
  <si>
    <t>https://www.aseanbriefing.com/news/indonesias-minimum-investment-requirements-what-foreign-investors-need-to-plan-before-entry/</t>
  </si>
  <si>
    <t>Repairs &amp; maintenance</t>
  </si>
  <si>
    <t>IDR 10bn investment plan per KBLI &amp; location (excl. land/buildings); ~IDR 2.5bn paid-up</t>
  </si>
  <si>
    <t>Consultancy news (Dezan Shira) – good; confirm with lawyer</t>
  </si>
  <si>
    <t>Dashboard, Inputs, Funding, Research_Tracker</t>
  </si>
  <si>
    <t>S02</t>
  </si>
  <si>
    <t>XPND – BKPM Regulation 5/2025 capital implications</t>
  </si>
  <si>
    <t>https://xpnd.co.id/regulatory/bkpm-regulation-5-2025-pt-pma-capital-implications/</t>
  </si>
  <si>
    <t>Paid-up capital cut to IDR 2.5bn per KBLI; investment value still &gt;IDR 10bn per KBLI</t>
  </si>
  <si>
    <t>Consultancy blog – confirm with lawyer</t>
  </si>
  <si>
    <t>XPND – Requirements for PT PMA restaurant 2025–2026</t>
  </si>
  <si>
    <t>https://xpnd.co.id/guides/requirements-for-pt-pma-restaurant/</t>
  </si>
  <si>
    <t>Miscellaneous + royalty</t>
  </si>
  <si>
    <t>KBLI 56101 100% foreign-owned allowed; licences (NIB, SLHS, halal, env.); PBJT 10%; input VAT not recoverable</t>
  </si>
  <si>
    <t>Consultancy blog – confirm</t>
  </si>
  <si>
    <t>Inputs, OPEX, CAPEX</t>
  </si>
  <si>
    <t>Wages</t>
  </si>
  <si>
    <t>Databoks/Katadata – 2026 provincial minimum wage</t>
  </si>
  <si>
    <t>https://databoks.katadata.co.id/en/employment/statistics/695206d6675b6/indonesias-2026-provincial-minimum-wage-highest-in-jakarta</t>
  </si>
  <si>
    <t>Jakarta UMP 2026 = IDR 5,729,876/month (+6.17%)</t>
  </si>
  <si>
    <t>Statistics portal – high</t>
  </si>
  <si>
    <t>Inputs, Staffing, OPEX, Scenarios, PnL_Monthly, Research_Tracker</t>
  </si>
  <si>
    <t>Employsome – BPJS contribution rates 2026</t>
  </si>
  <si>
    <t>https://employsome.com/hire/indonesia/bpjs-indonesia/</t>
  </si>
  <si>
    <t>Employer BPJS ≈10.2–11.7% of salary (JHT 3.7, JP 2, JKK 0.24–1.74, JKM 0.3, Health 4)</t>
  </si>
  <si>
    <t>HR provider – medium/high</t>
  </si>
  <si>
    <t>Inputs, Staffing, OPEX, Scenarios, Research_Tracker</t>
  </si>
  <si>
    <t>S06</t>
  </si>
  <si>
    <t>KantorKu – barista salaries 2026</t>
  </si>
  <si>
    <t>https://kantorku.id/blog/gaji-barista/</t>
  </si>
  <si>
    <t>CONTRIBUTION AFTER VARIABLE COSTS</t>
  </si>
  <si>
    <t>Jakarta barista IDR 3.5–7.5m; head barista IDR 6.5–10m+</t>
  </si>
  <si>
    <t>HR blog – medium</t>
  </si>
  <si>
    <t>Staffing, OPEX, Scenarios, Research_Tracker</t>
  </si>
  <si>
    <t>S07</t>
  </si>
  <si>
    <t>Indeed – barista salary Jakarta</t>
  </si>
  <si>
    <t>https://id.indeed.com/career/barista/salaries/Jakarta</t>
  </si>
  <si>
    <t>Avg IDR 3.21m (range 1.97–5.73m) – below UMP, so self-reported data skews low</t>
  </si>
  <si>
    <t>Self-reported – low/medium</t>
  </si>
  <si>
    <t>S08</t>
  </si>
  <si>
    <t>Indeed – head chef salary Jakarta</t>
  </si>
  <si>
    <t>https://id.indeed.com/career/head-chef/salaries/Jakarta</t>
  </si>
  <si>
    <t>FIXED COSTS</t>
  </si>
  <si>
    <t>Avg IDR 7.3m (range 4.4–12.1m), n=11</t>
  </si>
  <si>
    <t>Self-reported, small n – low</t>
  </si>
  <si>
    <t>S09</t>
  </si>
  <si>
    <t>NCSA Indonesia – chef salary levels</t>
  </si>
  <si>
    <t>https://ncsaindonesia.com/web/gaji-chef-di-indonesia-dari-daily-worker-hingga-executive-chef-hotel/</t>
  </si>
  <si>
    <t>Commis 3.1–3.6m; CDP 3–6m; sous 5–9m; exec chef 11–14m (up to 20m)</t>
  </si>
  <si>
    <t>Culinary school blog – medium</t>
  </si>
  <si>
    <t>S10</t>
  </si>
  <si>
    <t>SPlusA – café interior cost 2026</t>
  </si>
  <si>
    <t>https://splusa.id/biaya-desain-interior-cafe/</t>
  </si>
  <si>
    <t>Café fit-out IDR 3.5–4.5m/m² (standard), 4.5–6.5m (premium), 7m+ (luxury); split civil 20–30%, MEP 15–20%, furniture 35–45%, design 10%</t>
  </si>
  <si>
    <t>Contractor marketing – treat as range; get 3 quotes</t>
  </si>
  <si>
    <t>Dashboard, Inputs, CAPEX, Funding, Scenarios, Research_Tracker</t>
  </si>
  <si>
    <t>S11</t>
  </si>
  <si>
    <t>CNBC Indonesia – PLN tariffs from 1 Sep 2026</t>
  </si>
  <si>
    <t>https://www.cnbcindonesia.com/news/20260901103232-4-763915/daftar-resmi-tarif-listrik-per-kwh-pelanggan-pln-per-1-september-2026</t>
  </si>
  <si>
    <t>Rent (P&amp;L, escalates yearly)</t>
  </si>
  <si>
    <t>Business B-2 (6.6–200 kVA) IDR 1,444.70/kWh; B-3 IDR 1,114.74/kWh</t>
  </si>
  <si>
    <t>News, official tariff – high</t>
  </si>
  <si>
    <t>Inputs, OPEX, Scenarios, Research_Tracker</t>
  </si>
  <si>
    <t>S12</t>
  </si>
  <si>
    <t>Delivery</t>
  </si>
  <si>
    <t>Menuthere – GrabFood commission Indonesia</t>
  </si>
  <si>
    <t>https://menuthere.com/delivery-app-commission/grabfood-indonesia</t>
  </si>
  <si>
    <t>GrabFood ~20–30% (30% common for new merchants); GoFood ~20%; ShopeeFood ~15–25%; VAT 11% on fee</t>
  </si>
  <si>
    <t>Aggregator – medium; confirm with platform</t>
  </si>
  <si>
    <t>Inputs, OPEX, Scenarios</t>
  </si>
  <si>
    <t>BFI Finance – restaurant tax by province</t>
  </si>
  <si>
    <t>https://www.bfi.co.id/en/blog/pajak-makan-di-restoran-berdasarkan-provinsi</t>
  </si>
  <si>
    <t>Jakarta restaurant tax (now PBJT F&amp;B) 10% of bill incl. service charge</t>
  </si>
  <si>
    <t>Finance company blog – medium/high</t>
  </si>
  <si>
    <t>Inputs, Menu</t>
  </si>
  <si>
    <t>S14</t>
  </si>
  <si>
    <t>Online-Pajak – PPh 4(2) building rental</t>
  </si>
  <si>
    <t>https://www.online-pajak.com/pajak/pph-sewa-bangunan/</t>
  </si>
  <si>
    <t>Final tax 10% of gross rent; corporate tenant must withhold</t>
  </si>
  <si>
    <t>Tax software provider – high</t>
  </si>
  <si>
    <t>Inputs, OPEX</t>
  </si>
  <si>
    <t>S15</t>
  </si>
  <si>
    <t>Seven Stones Indonesia – small business tax rules (PP 20/2026)</t>
  </si>
  <si>
    <t>Research Tracker – Brief Questions → Model → Evidence</t>
  </si>
  <si>
    <t>https://sevenstonesindonesia.com/blog/indonesia-quietly-rewrites-the-rules-for-small-business-taxation-and-pt-pma-owners-need-to-pay-attention/</t>
  </si>
  <si>
    <t>Where in model</t>
  </si>
  <si>
    <t>Next research step</t>
  </si>
  <si>
    <t>Who / how</t>
  </si>
  <si>
    <t>Sources found so far (IDs)</t>
  </si>
  <si>
    <t>Realistic investment requirement?</t>
  </si>
  <si>
    <t>CAPEX, Scenarios</t>
  </si>
  <si>
    <t>Placeholder</t>
  </si>
  <si>
    <t>3 fit-out quotes for a 150 m² F&amp;B shell; equipment quotes from distributors (combi oven, espresso machine)</t>
  </si>
  <si>
    <t>Contractors, distributors</t>
  </si>
  <si>
    <t>S10, S64–S70 (equipment prices converted, 3 items flagged)</t>
  </si>
  <si>
    <t>Is CHF 200k enough? Does the bank have to be involved?</t>
  </si>
  <si>
    <t>Funding, Dashboard</t>
  </si>
  <si>
    <t>Desk</t>
  </si>
  <si>
    <t>Confirm PT PMA capital rules (IDR 2.5bn paid-up, IDR 10bn plan) and alternatives; ask a Swiss bank about parent-level financing</t>
  </si>
  <si>
    <t>Indonesian lawyer, Swiss bank</t>
  </si>
  <si>
    <t>S01, S02, S19, S65</t>
  </si>
  <si>
    <t>Main CAPEX blocks?</t>
  </si>
  <si>
    <t>Validate split hard/soft/lease/WC with 2 Jakarta operators</t>
  </si>
  <si>
    <t>Operator interviews</t>
  </si>
  <si>
    <t>S10, S64</t>
  </si>
  <si>
    <t>Monthly operating costs?</t>
  </si>
  <si>
    <t>OPEX, Staffing</t>
  </si>
  <si>
    <t>Get insurance, accounting, POS quotes; PLN load (kVA) estimate</t>
  </si>
  <si>
    <t>Quotes</t>
  </si>
  <si>
    <t>S11, S55–S57, S67 (insurance, accounting still open)</t>
  </si>
  <si>
    <t>Realistic rent levels by district?</t>
  </si>
  <si>
    <t>Rent_Data, Location</t>
  </si>
  <si>
    <t>Add 10+ ground-floor listings per district; ask 2 brokers for deal (not asking) rents &amp; lease terms; get JLL/Colliers PDF</t>
  </si>
  <si>
    <t>Brokers, uni portal</t>
  </si>
  <si>
    <t>S20–S29</t>
  </si>
  <si>
    <t>Staff structure &amp; salaries?</t>
  </si>
  <si>
    <t>PT PMA not eligible for 0.5% final MSME tax; standard corporate regime</t>
  </si>
  <si>
    <t>Staffing</t>
  </si>
  <si>
    <t>Inputs, OPEX, Scenarios, PnL_Monthly</t>
  </si>
  <si>
    <t>Check salaries with 2–3 F&amp;B recruiters / job ads (JobStreet) for premium cafés</t>
  </si>
  <si>
    <t>Recruiters, job ads</t>
  </si>
  <si>
    <t>Food cost &amp; gross margin?</t>
  </si>
  <si>
    <t>Wise – CHF/IDR mid-market rate</t>
  </si>
  <si>
    <t>Menu</t>
  </si>
  <si>
    <t>https://wise.com/us/currency-converter/chf-to-idr-rate</t>
  </si>
  <si>
    <t>Recipe-cost 6 pastas + 5 coffees with Jakarta supplier prices (imported durum pasta, parmigiano, local alternatives)</t>
  </si>
  <si>
    <t>Suppliers</t>
  </si>
  <si>
    <t>S49, S50 (benchmarks only – recipe costing open)</t>
  </si>
  <si>
    <t>Pricing that works in Jakarta?</t>
  </si>
  <si>
    <t>Menu (benchmarks), Inputs</t>
  </si>
  <si>
    <t>Collect 15 comparables (dine-in prices) in Senopati/SCBD; position price ladder</t>
  </si>
  <si>
    <t>Menus, store visits, GoFood</t>
  </si>
  <si>
    <t>S31–S34, S46</t>
  </si>
  <si>
    <t>Daily revenue to break even?</t>
  </si>
  <si>
    <t>Scenarios, Dashboard</t>
  </si>
  <si>
    <t>Model ready</t>
  </si>
  <si>
    <t>Refine once fixed costs validated</t>
  </si>
  <si>
    <t>–</t>
  </si>
  <si>
    <t>Payback period?</t>
  </si>
  <si>
    <t>Annual, Dashboard, Sensitivity</t>
  </si>
  <si>
    <t>Refine ramp-up with operator interviews</t>
  </si>
  <si>
    <t>Operators</t>
  </si>
  <si>
    <t>S60, S62, S63</t>
  </si>
  <si>
    <t>Conservative / base / optimistic?</t>
  </si>
  <si>
    <t>Inputs, Scenarios</t>
  </si>
  <si>
    <t>Agree scenario logic with CORSA</t>
  </si>
  <si>
    <t>CORSA team</t>
  </si>
  <si>
    <t>S58, S59</t>
  </si>
  <si>
    <t>Biggest financial risks &amp; sensitive assumptions?</t>
  </si>
  <si>
    <t>Sensitivity, MonteCarlo</t>
  </si>
  <si>
    <t>Interpret tornado; focus research on top 3 drivers</t>
  </si>
  <si>
    <t>S42</t>
  </si>
  <si>
    <t>Footfall &amp; customer profile by district?</t>
  </si>
  <si>
    <t>Count passers-by &amp; guests at 3 comparables per district (weekday lunch, weekend); map competitors on Google Maps</t>
  </si>
  <si>
    <t>Field work</t>
  </si>
  <si>
    <t>S46 (review velocity proxy)</t>
  </si>
  <si>
    <t>~21,580 IDR per CHF (Oct 2026); 30-day avg 21,640; 90-day range 21,423–22,518</t>
  </si>
  <si>
    <t>Market data – high</t>
  </si>
  <si>
    <t>Dashboard, Inputs, CAPEX, Funding</t>
  </si>
  <si>
    <t>S17</t>
  </si>
  <si>
    <t>Bisnis.com – BI holds rate at 5.75% (23 Sep 2026)</t>
  </si>
  <si>
    <t>https://finansial.bisnis.com/read/20260923/11/2006538/alasan-bank-indonesia-tahan-bi-rate-september-2026-di-575</t>
  </si>
  <si>
    <t>BI-Rate 5.75%; Aug CPI 3.19%</t>
  </si>
  <si>
    <t>News – high</t>
  </si>
  <si>
    <t>Inputs, Funding</t>
  </si>
  <si>
    <t>S18</t>
  </si>
  <si>
    <t>Rancak Media – Indonesia CPI Sep 2026</t>
  </si>
  <si>
    <t>https://www.rancakmedia.com/finance/101033/indonesias-september-2026-inflation-3-28-stays-within-bi-target/</t>
  </si>
  <si>
    <t>Headline 3.28% yoy; core 2.84%; volatile food 5.03%</t>
  </si>
  <si>
    <t>News citing BPS – high</t>
  </si>
  <si>
    <t>Inputs, PnL_Monthly</t>
  </si>
  <si>
    <t>S19</t>
  </si>
  <si>
    <t>Financing</t>
  </si>
  <si>
    <t>BCA – Prime lending rates (SBDK), eff. 30 Sep 2026</t>
  </si>
  <si>
    <t>https://www.bca.co.id/en/informasi/Suku-Bunga-Dasar-Kredit</t>
  </si>
  <si>
    <t>SBDK small business 8.01%, medium 8.04% – excl. risk premium</t>
  </si>
  <si>
    <t>Bank – high (but excludes risk premium)</t>
  </si>
  <si>
    <t>Inputs, Funding, PnL_Monthly, Research_Tracker</t>
  </si>
  <si>
    <t>Flokq – ruko for rent, Senopati area</t>
  </si>
  <si>
    <t>https://www.flokq.com/ruko-sewa-senopati</t>
  </si>
  <si>
    <t>22 asking rents (monthly) with GFA</t>
  </si>
  <si>
    <t>Listing portal – asking prices, not deals</t>
  </si>
  <si>
    <t>Inputs, Rent_Data, Location, OPEX, CAPEX, Scenarios, PnL_Monthly, Research_Tracker, Methods</t>
  </si>
  <si>
    <t>S21</t>
  </si>
  <si>
    <t>Pinhome – ruko for rent, Jl. Senopati</t>
  </si>
  <si>
    <t>https://www.pinhome.id/sewa/ruko/area/jalan-senopati-jakarta-selatan/properti</t>
  </si>
  <si>
    <t>Main-road Senopati ruko IDR 1.0–1.7bn/yr for 300–500 m²</t>
  </si>
  <si>
    <t>Listing portal – asking prices</t>
  </si>
  <si>
    <t>Rumah123 – commercial space SCBD</t>
  </si>
  <si>
    <t>https://www.rumah123.com/en/rent/jakarta-selatan/scbd/commercial-space/</t>
  </si>
  <si>
    <t>SCBD units IDR 320–500k/m²/month (many office podium)</t>
  </si>
  <si>
    <t>Inputs, Rent_Data, Location, OPEX, Scenarios, Research_Tracker, Methods</t>
  </si>
  <si>
    <t>Rumah123 – F&amp;B space Pacific Century Tower SCBD</t>
  </si>
  <si>
    <t>https://www.rumah123.com/en/property/jakarta-selatan-scbd/disewakan-space-utk-resto-bar-rooftop-di-pacific-century-tower-scbd-csr3740301/</t>
  </si>
  <si>
    <t>IDR 500k/m²/month excl. VAT &amp; service charge</t>
  </si>
  <si>
    <t>Listing – asking</t>
  </si>
  <si>
    <t>Flokq – ruko for rent, Kuningan</t>
  </si>
  <si>
    <t>https://www.flokq.com/ruko-sewa-kuningan</t>
  </si>
  <si>
    <t>Only 3 usable listings – very thin sample</t>
  </si>
  <si>
    <t>Listing – low</t>
  </si>
  <si>
    <t>Flokq – ruko for rent, Kemang</t>
  </si>
  <si>
    <t>https://www.flokq.com/ruko-sewa-kemang</t>
  </si>
  <si>
    <t>~20 asking rents with GFA</t>
  </si>
  <si>
    <t>Brighton – ruko for rent, PIK</t>
  </si>
  <si>
    <t>12 asking rents (yearly) PIK 1 &amp; PIK 2</t>
  </si>
  <si>
    <t>Real Estate Asia citing Colliers – Jakarta mall rents Q4 2024</t>
  </si>
  <si>
    <t>https://realestateasia.com/commercial-retail/news/will-jakarta-retail-rents-increase-year</t>
  </si>
  <si>
    <t>Methods &amp; Research Techniques Used in This Model</t>
  </si>
  <si>
    <t>Short reference for the team and for the interim presentation.</t>
  </si>
  <si>
    <t>Source IDs</t>
  </si>
  <si>
    <t>Driver-based model</t>
  </si>
  <si>
    <t>One Inputs sheet, three scenario columns and a switch. Every output is a formula, so new evidence updates everything.</t>
  </si>
  <si>
    <t>Daypart revenue build</t>
  </si>
  <si>
    <t>Jakarta mall avg rent IDR 564,400/m²/mo + service charge IDR 154,035/m²/mo</t>
  </si>
  <si>
    <t>Guests × spend per daypart (morning/lunch/afternoon/dinner) + delivery + events + retail. More defensible than a single 'covers per day' number.</t>
  </si>
  <si>
    <t>Broker data via trade press – high (dated)</t>
  </si>
  <si>
    <t>Capacity / RevPASH (Kimes S37, S38)</t>
  </si>
  <si>
    <t>S28</t>
  </si>
  <si>
    <t>Demand is tested against seats × hours ÷ dwell time. RevPASH = revenue per available seat-hour; benchmark it against observed venues.</t>
  </si>
  <si>
    <t>JLL – Jakarta retail market dynamics Q2 2026</t>
  </si>
  <si>
    <t>S37, S38, S77</t>
  </si>
  <si>
    <t>Ramp-up &amp; seasonality</t>
  </si>
  <si>
    <t>https://www.jll.com/en-sea/insights/market-dynamics/jakarta-retail</t>
  </si>
  <si>
    <t>Linear ramp from month-1 % to 100% at maturity; Ramadan/Lebaran &amp; December indices. Parsa (S36): early months are where most restaurants fail – fund them.</t>
  </si>
  <si>
    <t>S36, S58, S59, S60</t>
  </si>
  <si>
    <t>Menu engineering (Kasavana–Smith, S39)</t>
  </si>
  <si>
    <t>Items classed by contribution margin vs popularity to set prices and the blended food-cost %.</t>
  </si>
  <si>
    <t>S39, S49, S50</t>
  </si>
  <si>
    <t>Fixed costs ÷ contribution-margin % → revenue/day and guests/day. Margin of safety = how far revenue can fall before losses.</t>
  </si>
  <si>
    <t>Payback, NPV, IRR</t>
  </si>
  <si>
    <t>Unlevered project cash flows incl. rent prepayment timing; payback month from the cumulative line; 5-year IRR with optional terminal value.</t>
  </si>
  <si>
    <t>S61, S62, S63</t>
  </si>
  <si>
    <t>Location economics</t>
  </si>
  <si>
    <t>District rents from asking-price evidence (P25/median/P75), service charges, weighted scoring, and occupancy-cost % vs revenue. Upgrade: Huff gravity model (S40, S41).</t>
  </si>
  <si>
    <t>S20–S27, S40, S41, S46</t>
  </si>
  <si>
    <t>Sensitivity / tornado</t>
  </si>
  <si>
    <t>Each driver ±flex while others stay at base; sorted by EBITDA swing. Two-way grids show interactions (volume × price, volume × rent).</t>
  </si>
  <si>
    <t>Monte Carlo (S42)</t>
  </si>
  <si>
    <t>1,000 triangular draws per driver between conservative and optimistic values → probability of loss and of payback within 3/5 years.</t>
  </si>
  <si>
    <t>Evidence triangulation</t>
  </si>
  <si>
    <t>For each key input: desk source + listing/quote + interview. Disagreement between sources becomes the scenario range.</t>
  </si>
  <si>
    <t>S46</t>
  </si>
  <si>
    <t>Field techniques</t>
  </si>
  <si>
    <t>Footfall counts (15-min samples × dayparts), seat-occupancy and dwell timing at comparables, menu-price scraping (dine-in &amp; GoFood), broker &amp; operator interviews (5–8), supplier quotes.</t>
  </si>
  <si>
    <t>S37, S46</t>
  </si>
  <si>
    <t>Limitations (v0.1)</t>
  </si>
  <si>
    <t>Asking rents ≠ deal rents; menu and food costs are illustrative; tax simplified; no VAT/PBJT cash timing; independent Monte Carlo draws; legal structure unverified.</t>
  </si>
  <si>
    <t>Prime mall rents stable, vacancy tightening, F&amp;B brands expanding (full PDF has numbers)</t>
  </si>
  <si>
    <t>Broker – high; get full PDF via uni portal</t>
  </si>
  <si>
    <t>Inputs, Rent_Data, Location, Research_Tracker</t>
  </si>
  <si>
    <t>S29</t>
  </si>
  <si>
    <t>CBRE – Jakarta retail outlook Q1 2026</t>
  </si>
  <si>
    <t>https://www.cbre.com/insights/reports/jakarta-retail-market-outlook-q1-2026</t>
  </si>
  <si>
    <t>Occupancy heading to ~88%; F&amp;B and lifestyle driving demand</t>
  </si>
  <si>
    <t>Broker – high</t>
  </si>
  <si>
    <t>S30</t>
  </si>
  <si>
    <t>Market</t>
  </si>
  <si>
    <t>USDA FAS GAIN – Indonesia Food Service HRI Annual 2025</t>
  </si>
  <si>
    <t>https://apps.fas.usda.gov/newgainapi/api/Report/DownloadReportByFileName?fileName=Food+Service+-+Hotel+Restaurant+Institutional+Annual_Jakarta_Indonesia_ID2025-0049.pdf</t>
  </si>
  <si>
    <t>HRI USD 29bn (2024); 10,867 cafés/bars; delivery USD 5.4bn (Grab 47%, Gojek 35%, Shopee 18%); halal for processed food from 17 Oct 2026</t>
  </si>
  <si>
    <t>Government report – high</t>
  </si>
  <si>
    <t>Inputs, Location, Revenue</t>
  </si>
  <si>
    <t>Pricing</t>
  </si>
  <si>
    <t>HargaMenu – Common Grounds menu prices</t>
  </si>
  <si>
    <t>https://hargamenu.net/common-grounds-menu-daftar-menu-harga-dan-lokasi-kedai-kopi-juara-dunia-di-indonesia/</t>
  </si>
  <si>
    <t>Latte 45–52k; espresso 32k; truffle pasta 85–110k; breakfast 65–95k (dine-in)</t>
  </si>
  <si>
    <t>Aggregator – medium</t>
  </si>
  <si>
    <t>Dashboard, Inputs, Menu, Revenue, Scenarios, Research_Tracker</t>
  </si>
  <si>
    <t>MenuKuliner – Common Grounds Citywalk delivery prices</t>
  </si>
  <si>
    <t>https://menukuliner.net/menu/286760/common-grounds-citywalk</t>
  </si>
  <si>
    <t>Latte 61k; mac &amp; cheese 114k; breakfast 121–170k (delivery app prices, inflated vs dine-in)</t>
  </si>
  <si>
    <t>Inputs, Menu, Research_Tracker</t>
  </si>
  <si>
    <t>IDN Times – pasta spots South Jakarta</t>
  </si>
  <si>
    <t>https://www.idntimes.com/food/dining-guide/perfecto-ini-5-spot-makan-pasta-rasa-autentik-di-jakarta-selatan-01-3ln1w-37jgyf</t>
  </si>
  <si>
    <t>Pasta, Bitte! carbonara 86k; Toscana vongole 155k</t>
  </si>
  <si>
    <t>Media – medium</t>
  </si>
  <si>
    <t>Cove blog – pasta in Jakarta</t>
  </si>
  <si>
    <t>https://blog.cove.id/pasta-jakarta/</t>
  </si>
  <si>
    <t>Price bands per person: most Italian 100–200k; Caffè Milano 50–100k; Warung Pasta 18–47k</t>
  </si>
  <si>
    <t>Blog – medium</t>
  </si>
  <si>
    <t>Toast – average restaurant square footage</t>
  </si>
  <si>
    <t>https://pos.toasttab.com/blog/on-the-line/average-restaurant-square-footage</t>
  </si>
  <si>
    <t>12–15 sq ft/seat (≈1.1–1.4 m²) full-service; 60/40 dining/kitchen split</t>
  </si>
  <si>
    <t>Industry guide – medium</t>
  </si>
  <si>
    <t>Inputs, Revenue, CAPEX</t>
  </si>
  <si>
    <t>S36</t>
  </si>
  <si>
    <t>Academic</t>
  </si>
  <si>
    <t>Parsa et al. (2005) Why Restaurants Fail, Cornell HRA Quarterly 46(3)</t>
  </si>
  <si>
    <t>https://daniels.du.edu/assets/research-hg-parsa-part-1-2015.pdf</t>
  </si>
  <si>
    <t>1st-year failure 26%, 3-yr ~60%; management/concept clarity &gt; capital</t>
  </si>
  <si>
    <t>Peer-reviewed – high</t>
  </si>
  <si>
    <t>Inputs, PnL_Monthly, Methods</t>
  </si>
  <si>
    <t>S37</t>
  </si>
  <si>
    <t>Kimes (2004) Restaurant Revenue Management, Cornell CHR Report</t>
  </si>
  <si>
    <t>https://ecommons.cornell.edu/entities/publication/779ca191-03a2-4abe-8e4b-2de7fdd4f7ff</t>
  </si>
  <si>
    <t>RevPASH, capacity- and time-based revenue logic</t>
  </si>
  <si>
    <t>Peer-reviewed/CHR – high</t>
  </si>
  <si>
    <t>Revenue, Methods</t>
  </si>
  <si>
    <t>S38</t>
  </si>
  <si>
    <t>Kimes et al. (1999) Implementing Restaurant Revenue Management, Cornell HRA Quarterly</t>
  </si>
  <si>
    <t>https://journals.sagepub.com/doi/10.1177/001088049904000315</t>
  </si>
  <si>
    <t>Five-step approach; seat-occupancy and duration measurement</t>
  </si>
  <si>
    <t>Application of Kasavana &amp; Smith menu engineering model</t>
  </si>
  <si>
    <t>http://www.publishingindia.com/GetBrochure.aspx?query=UERGQnJvY2h1cmVzfC82NC5wZGZ8LzY0LnBkZg%3D%3D</t>
  </si>
  <si>
    <t>Star/Plowhorse/Puzzle/Dog classification (CM vs 70% popularity rule)</t>
  </si>
  <si>
    <t>Journal article – medium; original: Kasavana &amp; Smith 1982 book</t>
  </si>
  <si>
    <t>Menu, Methods</t>
  </si>
  <si>
    <t>S40</t>
  </si>
  <si>
    <t>Gravity modeling of dine-in restaurant location, Jefferson County (Applied Geography)</t>
  </si>
  <si>
    <t>https://www.sciencedirect.com/science/article/abs/pii/S014362281400263X</t>
  </si>
  <si>
    <t>Huff-type gravity model to estimate restaurant market share</t>
  </si>
  <si>
    <t>Location, Methods</t>
  </si>
  <si>
    <t>S41</t>
  </si>
  <si>
    <t>Evaluation of trade area models for QSR site selection</t>
  </si>
  <si>
    <t>https://www.researchgate.net/publication/325974971_The_Evaluation_of_Trade_Area_Models_and_Analysis_Methods_for_Site_Selection_from_International_Quick_Service_Restaurants_Perspective</t>
  </si>
  <si>
    <t>Profit before tax</t>
  </si>
  <si>
    <t>Cumulative profit before tax (loss carry-forward helper)</t>
  </si>
  <si>
    <t>Overview of analog, regression, gravity methods</t>
  </si>
  <si>
    <t>Peer-reviewed – medium/high</t>
  </si>
  <si>
    <t>IMA – Using Monte Carlo simulation for a capital budgeting project</t>
  </si>
  <si>
    <t>https://www.imanet.org/-/media/125d2e3fa1434a2ca33a95520d373e39.ashx</t>
  </si>
  <si>
    <t>Corporate income tax (on cumulative profit)</t>
  </si>
  <si>
    <t>Monte Carlo in Excel for NPV/payback distributions</t>
  </si>
  <si>
    <t>Professional body – high</t>
  </si>
  <si>
    <t>MonteCarlo, Research_Tracker, Methods</t>
  </si>
  <si>
    <t>S43</t>
  </si>
  <si>
    <t>Benchmark</t>
  </si>
  <si>
    <t>World Coffee Portal – Fore Coffee after IPO year</t>
  </si>
  <si>
    <t>https://www.worldcoffeeportal.com/news/fore-coffee-hits-its-stride-after-significant-ipo-year/</t>
  </si>
  <si>
    <t>316 stores, revenue IDR 1.5tn (2025) ≈ IDR 4.7bn/store/yr; EBITDA IDR 300bn</t>
  </si>
  <si>
    <t>Trade press – high; IDX prospectus has store data</t>
  </si>
  <si>
    <t>Dashboard, Inputs, Revenue, Scenarios</t>
  </si>
  <si>
    <t>S44</t>
  </si>
  <si>
    <t>Perfect Daily Grind – Indonesia specialty coffee 2026</t>
  </si>
  <si>
    <t>https://perfectdailygrind.com/2026/03/indonesia-specialty-coffee-market-growth/</t>
  </si>
  <si>
    <t>Consumption ~4.8m bags; ~5% p.a. growth</t>
  </si>
  <si>
    <t>Trade press – medium</t>
  </si>
  <si>
    <t>– (background reference)</t>
  </si>
  <si>
    <t>S45</t>
  </si>
  <si>
    <t>Restaurant revenue management: systematic literature review (British Food Journal 2025)</t>
  </si>
  <si>
    <t>https://www.sciencedirect.com/org/science/article/pii/S0007070X25000291</t>
  </si>
  <si>
    <t>Literature map for RRM methods</t>
  </si>
  <si>
    <t>NET INCOME</t>
  </si>
  <si>
    <t>Pricing / volume</t>
  </si>
  <si>
    <t>CORSA team – Competitor Price &amp; Volume Evidence workbook v0.2 (8 Oct 2026): Menu_Prices, Price_Summary, Volume_Proxy, Weekday_Pattern (36 Italian/pasta venues, 3,061 Google reviews + menus from own sites, GrabFood web, menukuliner.net)</t>
  </si>
  <si>
    <t>Local file: CORSA_Competitor_Price_Volume_Evidence_v0.2.xlsx (CAPSTONE / Corsa-reviews dataset)</t>
  </si>
  <si>
    <t>In-zone pasta venue medians avg ~133k net (9 venues); latte 27–30k casual, 38–48k smart-casual, 55–60k mall; delivery prices ~15.6% above dine-in; review-velocity guest proxy; weekend ≈1.45× weekday</t>
  </si>
  <si>
    <t>Own primary data – medium (menus partly via delivery-app mirrors; velocity proxy needs Zurich calibration)</t>
  </si>
  <si>
    <t>README, Dashboard, Inputs, Location, Menu, Revenue, Scenarios, Research_Tracker, Methods</t>
  </si>
  <si>
    <t>S47</t>
  </si>
  <si>
    <t>Bank Indonesia – MDR QRIS (Cerita BI), rates effective 15 Mar 2025</t>
  </si>
  <si>
    <t>https://www.bi.go.id/id/publikasi/ruang-media/cerita-bi/Pages/mdr-qris.aspx</t>
  </si>
  <si>
    <t>QRIS MDR for micro merchants: 0% up to IDR 500k, 0.3% above</t>
  </si>
  <si>
    <t>Central bank – high (micro rate; CORSA as PT PMA is a regular merchant, see S48)</t>
  </si>
  <si>
    <t>README, Inputs, OPEX, Scenarios</t>
  </si>
  <si>
    <t>S48</t>
  </si>
  <si>
    <t>Midtrans docs – Applicable transaction fee for QRIS</t>
  </si>
  <si>
    <t>CASH FLOW</t>
  </si>
  <si>
    <t>https://docs.midtrans.com/docs/what-is-the-applicable-transaction-fee-for-qris</t>
  </si>
  <si>
    <t>Rent paid in cash (prepaid blocks; first block in CAPEX)</t>
  </si>
  <si>
    <t>QRIS MDR for regular merchants 0.7% per transaction (BI rate)</t>
  </si>
  <si>
    <t>Payment gateway docs – high</t>
  </si>
  <si>
    <t>S49</t>
  </si>
  <si>
    <t>Cost benchmarks</t>
  </si>
  <si>
    <t>Restaurant Benchmarks 2021 (webinar deck hosted by Bruce County Economic Development, Ontario)</t>
  </si>
  <si>
    <t>https://business.brucecounty.on.ca/hubfs/Fall%202021%20Webinars/Oct%209th-%202021%20Restaurant%20Benchmarks.pdf</t>
  </si>
  <si>
    <t>Food cost max 30.3% (FSR) / 28.5% (QSR); labour 29.4%; prime 59.7%; coffee bev. cost 15–20%; packaging 1–2% FSR, 3–4% limited service; benefits 12–15% of payroll; occupancy 10% (ideal 6–7%); debt service ≤12% of sales over 3–5 yrs</t>
  </si>
  <si>
    <t>North-American benchmarks, author not named – medium; use as range, not Jakarta-specific</t>
  </si>
  <si>
    <t>README, Dashboard, Inputs, Location, Menu, Staffing, OPEX, Funding, Scenarios, Annual, Research_Tracker, Methods</t>
  </si>
  <si>
    <t>S50</t>
  </si>
  <si>
    <t>Vanta Insights – Restaurant food cost percentage: 2024 benchmarks</t>
  </si>
  <si>
    <t>https://vantainsights.com/insights/restaurant-food-cost-percentage</t>
  </si>
  <si>
    <t>Average food cost 28–35%; beverage COGS typically 15–25% vs 30–40% for food</t>
  </si>
  <si>
    <t>Industry analytics blog – medium</t>
  </si>
  <si>
    <t>README, Dashboard, Inputs, Menu, OPEX, Scenarios, Research_Tracker, Methods</t>
  </si>
  <si>
    <t>S51</t>
  </si>
  <si>
    <t>Restaurant Business Online – How to figure out prime cost and occupancy percentages</t>
  </si>
  <si>
    <t>https://restaurantbusinessonline.com/advice-guy/how-figure-out-prime-cost-occupancy-percentages</t>
  </si>
  <si>
    <t>Prime cost ≤60–65% of sales; occupancy ≤8–10% of sales</t>
  </si>
  <si>
    <t>Trade press – medium/high</t>
  </si>
  <si>
    <t>README, Dashboard, Location, Staffing, Scenarios, Annual, Research_Tracker, Methods</t>
  </si>
  <si>
    <t>S52</t>
  </si>
  <si>
    <t>Toast – Restaurant marketing budget guide</t>
  </si>
  <si>
    <t>https://pos.toasttab.com/vi-us/blog/on-the-line/restaurant-marketing-budget</t>
  </si>
  <si>
    <t>Allocate 3–6% of revenue to marketing</t>
  </si>
  <si>
    <t>POS vendor guide – medium</t>
  </si>
  <si>
    <t>README, Dashboard, Inputs, OPEX, CAPEX, Scenarios</t>
  </si>
  <si>
    <t>S53</t>
  </si>
  <si>
    <t>Maintenance</t>
  </si>
  <si>
    <t>ResQ – Understanding restaurant maintenance cost</t>
  </si>
  <si>
    <t>https://www.getresq.com/blog/restaurant-maintenance-costs</t>
  </si>
  <si>
    <t>Reserve 1–3% of annual revenue for repairs</t>
  </si>
  <si>
    <t>Maintenance vendor blog – medium</t>
  </si>
  <si>
    <t>README, Dashboard, Inputs, OPEX, Scenarios</t>
  </si>
  <si>
    <t>S54</t>
  </si>
  <si>
    <t>Waste</t>
  </si>
  <si>
    <t>Gitnux – Food waste in restaurants statistics 2026 (aggregates ReFED/LeanPath/WRAP)</t>
  </si>
  <si>
    <t>https://gitnux.org/food-waste-in-restaurants-statistics/</t>
  </si>
  <si>
    <t>US full-service restaurants waste 4–10% of food purchased; 70% of FSR waste is back-of-house trimming &amp; spoilage</t>
  </si>
  <si>
    <t>Statistics aggregator – low/medium; check ReFED original</t>
  </si>
  <si>
    <t>S55</t>
  </si>
  <si>
    <t>ENERGY STAR Portfolio Manager – US National Median EUI table (Aug 2024, CBECS)</t>
  </si>
  <si>
    <t>https://portfoliomanager.energystar.gov/pdf/reference/US%20National%20Median%20Table.pdf</t>
  </si>
  <si>
    <t>Rent timing adjustment (P&amp;L rent − cash rent)</t>
  </si>
  <si>
    <t>Restaurant median site EUI 325.6 kBtu/ft²/yr (≈1,027 kWh/m²/yr, all fuels); fast food 402.7</t>
  </si>
  <si>
    <t>US government benchmark – high (US climate/fuel mix)</t>
  </si>
  <si>
    <t>README, Dashboard, Inputs, OPEX, Scenarios, Research_Tracker</t>
  </si>
  <si>
    <t>S56</t>
  </si>
  <si>
    <t>CNBC Indonesia – PAM Jaya tariffs (2 May 2025)</t>
  </si>
  <si>
    <t>https://www.cnbcindonesia.com/news/20250502131201-4-630428/pam-jaya-pasang-tarif-air-terjangkau-rp-1000-per-meter-kubik</t>
  </si>
  <si>
    <t>Loan principal repaid</t>
  </si>
  <si>
    <t>Commercial (niaga, Kelompok 3) water IDR 4,900–21,500 per m³</t>
  </si>
  <si>
    <t>News citing utility – high</t>
  </si>
  <si>
    <t>S57</t>
  </si>
  <si>
    <t>Bisnis.com – Bright Gas price list (Jakarta, effective 14 Jul 2026)</t>
  </si>
  <si>
    <t>https://ekonomi.bisnis.com/read/20260719/44/1989129/turun-cek-daftar-harga-bright-gas-pertamina-terbaru-19-juli-2026</t>
  </si>
  <si>
    <t>LPG 12 kg cylinder IDR 220,000; 5.5 kg IDR 103,000</t>
  </si>
  <si>
    <t>News citing Pertamina – high</t>
  </si>
  <si>
    <t>S58</t>
  </si>
  <si>
    <t>Seasonality</t>
  </si>
  <si>
    <t>Bloomberg Technoz – Prediction of Ramadan &amp; Idul Fitri 2027 (1448 H)</t>
  </si>
  <si>
    <t>https://www.bloombergtechnoz.com/detail-news/115267/kapan-lebaran-2027-ini-prediksi-awal-ramadan-dan-idulfitri</t>
  </si>
  <si>
    <t>1 Ramadan ≈ Mon 8 Feb 2027; Idul Fitri ≈ Wed 10 Mar 2027 (not yet official – Kemenag isbat)</t>
  </si>
  <si>
    <t>News – medium (prediction)</t>
  </si>
  <si>
    <t>README, Inputs, PnL_Monthly, Research_Tracker, Methods</t>
  </si>
  <si>
    <t>S59</t>
  </si>
  <si>
    <t>The Jakarta Post – F&amp;B players gear up for Ramadhan (13 May 2018)</t>
  </si>
  <si>
    <t>https://www.thejakartapost.com/news/2018/05/13/fb-players-gear-up-for-ramadhan.html</t>
  </si>
  <si>
    <t>A&amp;W: Ramadan sales up to +30%; Pioneerindo target +15%; MAPB (Starbucks etc.): slight dip in week 1, flat week 2, growth to Idul Fitri, +10% the week after</t>
  </si>
  <si>
    <t>News – medium (dated, chain operators)</t>
  </si>
  <si>
    <t>S60</t>
  </si>
  <si>
    <t>Habit Restaurants, Inc. – Form 10-K FY2018 (SEC EDGAR), Item 1A</t>
  </si>
  <si>
    <t>https://www.sec.gov/Archives/edgar/data/1617977/000156459019005749/habt-10k_20181225.htm</t>
  </si>
  <si>
    <t>New restaurants often open with higher-than-normal sales, then stabilise after ~13–26 weeks; new-market timing less predictable</t>
  </si>
  <si>
    <t>Audited filing – high (US chain, not Jakarta)</t>
  </si>
  <si>
    <t>S61</t>
  </si>
  <si>
    <t>Tax / depreciation</t>
  </si>
  <si>
    <t>Direktorat Jenderal Pajak – PMK 72/2023 on depreciation &amp; amortisation</t>
  </si>
  <si>
    <t>https://www.pajak.go.id/id/artikel/membangun-keadilan-dan-kemudahan-dalam-penghitungan-penyusutan-dan-amortisasi</t>
  </si>
  <si>
    <t>Tax useful lives: non-building groups 4 / 8 / 16 / 20 yrs; non-permanent building 10 yrs; permanent 20 yrs</t>
  </si>
  <si>
    <t>Tax authority – high</t>
  </si>
  <si>
    <t>README, Inputs, PnL_Monthly, Methods</t>
  </si>
  <si>
    <t>S62</t>
  </si>
  <si>
    <t>Macro / valuation</t>
  </si>
  <si>
    <t>Trading Economics – Indonesia 10-year government bond yield</t>
  </si>
  <si>
    <t>https://tradingeconomics.com/indonesia/government-bond-yield</t>
  </si>
  <si>
    <t>Net cash flow</t>
  </si>
  <si>
    <t>10Y SBN yield 7.17% (7 Oct 2026)</t>
  </si>
  <si>
    <t>README, Dashboard, Inputs, Annual, Research_Tracker, Methods</t>
  </si>
  <si>
    <t>S63</t>
  </si>
  <si>
    <t>Damodaran Online – Country default spreads and risk premiums (update 5 Jan 2026)</t>
  </si>
  <si>
    <t>https://pages.stern.nyu.edu/~adamodar/New_Home_Page/datafile/ctryprem.html</t>
  </si>
  <si>
    <t>Indonesia (Baa2): total equity risk premium 6.69% = mature 4.23% + country risk 2.46%</t>
  </si>
  <si>
    <t>Academic dataset – high</t>
  </si>
  <si>
    <t>Rabbet – Real estate development: how much contingency do I need?</t>
  </si>
  <si>
    <t>https://rabbet.com/blog/real-estate-development-how-much-contingency-do-i-need</t>
  </si>
  <si>
    <t>Opening cash</t>
  </si>
  <si>
    <t>Traditional contingency 5% ground-up, 10% for renovation projects</t>
  </si>
  <si>
    <t>Construction-finance vendor – medium</t>
  </si>
  <si>
    <t>README, Dashboard, Inputs, CAPEX, Funding, Research_Tracker</t>
  </si>
  <si>
    <t>S65</t>
  </si>
  <si>
    <t>Legal / setup</t>
  </si>
  <si>
    <t>XPND – PT PMA establishment cost 2026</t>
  </si>
  <si>
    <t>https://xpnd.co.id/blogs/pt-pma-establishment-cost-2026/</t>
  </si>
  <si>
    <t>Total PT PMA setup IDR 45.7–113m excl. paid-up capital (notary 5–15m, consulting 25–50m, KITAS 10–25m, SPPL 2–5m, virtual office 2–15m)</t>
  </si>
  <si>
    <t>Consultancy – medium; get 2 quotes</t>
  </si>
  <si>
    <t>S66</t>
  </si>
  <si>
    <t>Licences</t>
  </si>
  <si>
    <t>CNN Indonesia – BPJPH halal certification tariff list</t>
  </si>
  <si>
    <t>https://www.cnnindonesia.com/ekonomi/20220316194306-92-772301/daftar-tarif-sertifikasi-halal-kemenag</t>
  </si>
  <si>
    <t>CLOSING CASH</t>
  </si>
  <si>
    <t>Halal registration IDR 12.5m for large/foreign businesses; LPH inspection max IDR 3.68m for restaurants (tariffs from 1 Dec 2021)</t>
  </si>
  <si>
    <t>News citing BPJPH tariff rule – high; check for 2026 update</t>
  </si>
  <si>
    <t>README, Dashboard, CAPEX, Funding, Research_Tracker</t>
  </si>
  <si>
    <t>S67</t>
  </si>
  <si>
    <t>Technology</t>
  </si>
  <si>
    <t>HashMicro – Moka POS review &amp; 2026 prices</t>
  </si>
  <si>
    <t>https://www.hashmicro.com/id/blog/review-aplikasi-moka-pos/</t>
  </si>
  <si>
    <t>PROJECT VIEW (unlevered, for payback &amp; IRR)</t>
  </si>
  <si>
    <t>Project free cash flow (EBITDA + rent timing − tax)</t>
  </si>
  <si>
    <t>Moka POS IDR 299k / 499k / 799k per outlet per month (Basic / Pro / Enterprise)</t>
  </si>
  <si>
    <t>Competitor blog – medium; confirm with Moka/ESB</t>
  </si>
  <si>
    <t>README, Dashboard, Inputs, OPEX, CAPEX, Funding, Research_Tracker</t>
  </si>
  <si>
    <t>S68</t>
  </si>
  <si>
    <t>Equipment</t>
  </si>
  <si>
    <t>Caterkwik (UK dealer) – Rational iCombi Pro range</t>
  </si>
  <si>
    <t>https://www.caterkwik.co.uk/shop/shop-by-brand/rational/rational-icombi-pro/</t>
  </si>
  <si>
    <t>Cumulative FCF less total investment</t>
  </si>
  <si>
    <t>Rational iCombi Pro 6-1/1 electric GBP 5,518.99 ex VAT</t>
  </si>
  <si>
    <t>UK dealer price – medium; Jakarta distributor quote needed</t>
  </si>
  <si>
    <t>S69</t>
  </si>
  <si>
    <t>eTail/Sitegems (UK) – La Marzocco Linea PB 2-group AV</t>
  </si>
  <si>
    <t>https://www.sitegems.etailsystems.com/buy/la-marzocco-linea-pb-2-group-av_1571.htm</t>
  </si>
  <si>
    <t>La Marzocco Linea PB 2-group GBP 11,748 ex VAT</t>
  </si>
  <si>
    <t>S70</t>
  </si>
  <si>
    <t>Majesty Coffee – Mahlkönig grinders</t>
  </si>
  <si>
    <t>https://majestycoffee.com/collections/mahlkonig</t>
  </si>
  <si>
    <t>Mahlkönig E65S GbW USD 2,949 (sale; list 3,350); EK43 USD 3,899; EK Omnia USD 4,199</t>
  </si>
  <si>
    <t>US dealer price – medium</t>
  </si>
  <si>
    <t>S71</t>
  </si>
  <si>
    <t>Wise – GBP/IDR mid-market rate</t>
  </si>
  <si>
    <t>https://wise.com/gb/currency-converter/gbp-to-idr-rate</t>
  </si>
  <si>
    <t>≈ 23,680 IDR per GBP (Oct 2026)</t>
  </si>
  <si>
    <t>README, CAPEX</t>
  </si>
  <si>
    <t>S72</t>
  </si>
  <si>
    <t>LongForecast – USD/IDR today</t>
  </si>
  <si>
    <t>https://longforecast.com/usd-to-idr-forecast-today</t>
  </si>
  <si>
    <t>Payback month flag</t>
  </si>
  <si>
    <t>17,895 IDR per USD (8 Oct 2026)</t>
  </si>
  <si>
    <t>Market data – medium/high</t>
  </si>
  <si>
    <t>S73</t>
  </si>
  <si>
    <t>LokerID – Restaurant management salaries, Jakarta Selatan</t>
  </si>
  <si>
    <t>https://www.loker.id/gaji/restaurant/manajemen/jakarta-selatan</t>
  </si>
  <si>
    <t>Avg IDR 6.3m/month (range 4.9–7.7m), n = 12 job ads – supervisor-level postings</t>
  </si>
  <si>
    <t>Job board – medium; small n</t>
  </si>
  <si>
    <t>README, Inputs, Staffing, OPEX, Scenarios, Research_Tracker</t>
  </si>
  <si>
    <t>S74</t>
  </si>
  <si>
    <t>LokerID – Waiter/waitress salaries, Jakarta Selatan</t>
  </si>
  <si>
    <t>https://www.loker.id/gaji/restaurant/waitress/jakarta-selatan</t>
  </si>
  <si>
    <t>Avg IDR 2.8m/month (2.4–3.2m), n = 21 – BELOW Jakarta UMP, so many ads are part-time/non-compliant</t>
  </si>
  <si>
    <t>Job board – low/medium</t>
  </si>
  <si>
    <t>README, Staffing, OPEX, Scenarios, Research_Tracker</t>
  </si>
  <si>
    <t>KantorKu – Manager salaries 2026</t>
  </si>
  <si>
    <t>Tax note: simplified – tax on cumulative profit (loss carry-forward, Indonesia allows 5 yrs). Instalments (PPh 25), withholding and fiscal corrections ignored.</t>
  </si>
  <si>
    <t>https://kantorku.id/blog/gaji-manajer/</t>
  </si>
  <si>
    <t>SOURCES &amp; CALCULATION BASIS – PnL_Monthly</t>
  </si>
  <si>
    <t>Store manager IDR 10–20m/month; F&amp;B manager (hotel) 12–25m; Jakarta manager roles 15–35m</t>
  </si>
  <si>
    <t>Ramp-up % (row 7)</t>
  </si>
  <si>
    <t>Sekretariat Kabinet – Permenaker 6/2016 on THR</t>
  </si>
  <si>
    <t>https://setkab.go.id/pekerja-dengan-masa-kerja-1-bulan-kini-berhak-dapat-thr/</t>
  </si>
  <si>
    <t>S60, S36</t>
  </si>
  <si>
    <t>Linear from month-1 % to 100% over ramp months (Inputs rows 44–45).</t>
  </si>
  <si>
    <t>THR = 1 month wage after 12 months' service; pro-rata from 1 month</t>
  </si>
  <si>
    <t>Government – high</t>
  </si>
  <si>
    <t>Seasonality (row 8)</t>
  </si>
  <si>
    <t>S77</t>
  </si>
  <si>
    <t>Operations</t>
  </si>
  <si>
    <t>SmartBrief – Poll: most diners stay about an hour (26 May 2016)</t>
  </si>
  <si>
    <t>https://www.smartbrief.com/original/poll-most-diners-stay-about-hour</t>
  </si>
  <si>
    <t>Calendar-month index from Inputs rows 90–101 (Ramadan Feb–Mar 2027).</t>
  </si>
  <si>
    <t>Price, wage, opex indices (rows 10–12)</t>
  </si>
  <si>
    <t>Operators' estimate of dining time: ~1 hour 49%, 30 min 25%, &gt;1 hour 23%</t>
  </si>
  <si>
    <t>Industry poll – low/medium</t>
  </si>
  <si>
    <t>README, Revenue, Methods</t>
  </si>
  <si>
    <t>S18, S04</t>
  </si>
  <si>
    <t>Rumah123 – shophouse for rent, Senopati (results page)</t>
  </si>
  <si>
    <t>Compounded yearly by price increase, wage growth, opex inflation.</t>
  </si>
  <si>
    <t>https://www.rumah123.com/en/rent/jakarta-selatan/senopati/shophouse/</t>
  </si>
  <si>
    <t>Jl. Suryo 3rd-floor unit 150 m², IDR 520m/yr; main-road units otherwise 225–976 m²</t>
  </si>
  <si>
    <t>Listing portal – asking; individual ads would not open (results page only)</t>
  </si>
  <si>
    <t>Rumah123 – shophouse for rent, Kuningan (results page)</t>
  </si>
  <si>
    <t>https://www.rumah123.com/en/rent/jakarta-selatan/kuningan/shophouse/</t>
  </si>
  <si>
    <t>Epiwalk ex-resto 110 m², IDR 330m/yr (shr9910999); most Kuningan ruko 420 m²</t>
  </si>
  <si>
    <t>Rent escalation &amp; prepayment timing</t>
  </si>
  <si>
    <t>Listing portal – asking; results page only</t>
  </si>
  <si>
    <t>Pinhome – ruko for rent, Jl. Kemang Raya</t>
  </si>
  <si>
    <t>Kemang Raya ruko 200 m², 2 floors, IDR 23.33m/month (I-78337)</t>
  </si>
  <si>
    <t>Listing – asking; ad may be stale</t>
  </si>
  <si>
    <t>kiosrumah.com – 1-floor F&amp;B ruko, Bangka (Kemang)</t>
  </si>
  <si>
    <t>S20/S21; assumption</t>
  </si>
  <si>
    <t>200 m² single-level F&amp;B unit, IDR 350m/yr, min. 2 years (TRK173)</t>
  </si>
  <si>
    <t>Listing – asking; confirm availability</t>
  </si>
  <si>
    <t>Rent rises yearly; cash paid in prepaid blocks (Inputs rows 26–27).</t>
  </si>
  <si>
    <t>Rumah123 – commercial space for rent, Kemang (results page)</t>
  </si>
  <si>
    <t>'Business Space Kemang Raya 10' 130 m², IDR 30m/month</t>
  </si>
  <si>
    <t>S83+</t>
  </si>
  <si>
    <t>Your additions: broker quotes, operator interviews, supplier quotes (combi oven, espresso, grinders), insurance &amp; accounting quotes, JLL/Colliers PDFs, Fore Coffee IDX prospectus…</t>
  </si>
  <si>
    <t>Depreciable CAPEX ÷ 5 years straight-line.</t>
  </si>
  <si>
    <t>Interest &amp; principal</t>
  </si>
  <si>
    <t>Annuity loan from Funding sheet.</t>
  </si>
  <si>
    <t>Corporate tax</t>
  </si>
  <si>
    <t>S15; UU PPh art. 6(2) (5-year loss carry-forward)</t>
  </si>
  <si>
    <t>22% on cumulative positive profit (simplified).</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</si>
</sst>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
    <numFmt numFmtId="165" formatCode="mmm\ yyyy"/>
    <numFmt numFmtId="166" formatCode="0.0%;\(0.0%\);\-"/>
    <numFmt numFmtId="167" formatCode="0.#"/>
    <numFmt numFmtId="168" formatCode="0.00\x"/>
    <numFmt numFmtId="169" formatCode="0.0"/>
    <numFmt numFmtId="170" formatCode="&quot;CHF &quot;#,##0;&quot;(CHF &quot;#,##0\);\-"/>
    <numFmt numFmtId="171" formatCode="0.0%"/>
    <numFmt numFmtId="172" formatCode="0.000"/>
    <numFmt numFmtId="173" formatCode="#,##0,,\m"/>
  </numFmts>
  <fonts count="28">
    <font>
      <sz val="11.0"/>
      <color theme="1"/>
      <name val="Calibri"/>
      <scheme val="minor"/>
    </font>
    <font>
      <b/>
      <sz val="14.0"/>
      <color rgb="FFC00000"/>
      <name val="Arial"/>
    </font>
    <font>
      <i/>
      <sz val="10.0"/>
      <color rgb="FF595959"/>
      <name val="Arial"/>
    </font>
    <font>
      <b/>
      <sz val="10.0"/>
      <color rgb="FF000000"/>
      <name val="Arial"/>
    </font>
    <font>
      <b/>
      <sz val="11.0"/>
      <color theme="1"/>
      <name val="Calibri"/>
    </font>
    <font>
      <sz val="10.0"/>
      <color rgb="FF0000FF"/>
      <name val="Arial"/>
    </font>
    <font>
      <sz val="11.0"/>
      <color theme="1"/>
      <name val="Calibri"/>
    </font>
    <font>
      <sz val="10.0"/>
      <color rgb="FF000000"/>
      <name val="Arial"/>
    </font>
    <font>
      <b/>
      <sz val="10.0"/>
      <color theme="1"/>
      <name val="Arial"/>
    </font>
    <font>
      <color theme="1"/>
      <name val="Calibri"/>
      <scheme val="minor"/>
    </font>
    <font>
      <b/>
      <sz val="10.0"/>
      <color rgb="FFFFFFFF"/>
      <name val="Arial"/>
    </font>
    <font>
      <sz val="8.0"/>
      <color rgb="FF808080"/>
      <name val="Arial"/>
    </font>
    <font>
      <u/>
      <sz val="10.0"/>
      <color rgb="FF000000"/>
      <name val="Arial"/>
    </font>
    <font>
      <u/>
      <sz val="11.0"/>
      <color theme="10"/>
      <name val="Calibri"/>
    </font>
    <font>
      <sz val="10.0"/>
      <color rgb="FF008000"/>
      <name val="Arial"/>
    </font>
    <font>
      <b/>
      <sz val="10.0"/>
      <color rgb="FF008000"/>
      <name val="Arial"/>
    </font>
    <font>
      <b/>
      <sz val="12.0"/>
      <color rgb="FFC00000"/>
      <name val="Arial"/>
    </font>
    <font/>
    <font>
      <b/>
      <sz val="10.0"/>
      <color rgb="FFC00000"/>
      <name val="Arial"/>
    </font>
    <font>
      <b/>
      <sz val="12.0"/>
      <color theme="1"/>
      <name val="Calibri"/>
    </font>
    <font>
      <sz val="12.0"/>
      <color theme="1"/>
      <name val="Calibri"/>
    </font>
    <font>
      <sz val="10.0"/>
      <color rgb="FFC00000"/>
      <name val="Arial"/>
    </font>
    <font>
      <u/>
      <sz val="9.0"/>
      <color rgb="FF0563C1"/>
      <name val="Arial"/>
    </font>
    <font>
      <sz val="9.0"/>
      <color theme="1"/>
      <name val="Arial"/>
    </font>
    <font>
      <sz val="10.0"/>
      <color theme="1"/>
      <name val="Arial"/>
    </font>
    <font>
      <i/>
      <sz val="9.0"/>
      <color theme="1"/>
      <name val="Arial"/>
    </font>
    <font>
      <u/>
      <sz val="9.0"/>
      <color rgb="FF0563C1"/>
      <name val="Arial"/>
    </font>
    <font>
      <i/>
      <sz val="10.0"/>
      <color theme="1"/>
      <name val="Arial"/>
    </font>
  </fonts>
  <fills count="13">
    <fill>
      <patternFill patternType="none"/>
    </fill>
    <fill>
      <patternFill patternType="lightGray"/>
    </fill>
    <fill>
      <patternFill patternType="solid">
        <fgColor rgb="FFFFFF00"/>
        <bgColor rgb="FFFFFF00"/>
      </patternFill>
    </fill>
    <fill>
      <patternFill patternType="solid">
        <fgColor rgb="FFC00000"/>
        <bgColor rgb="FFC00000"/>
      </patternFill>
    </fill>
    <fill>
      <patternFill patternType="solid">
        <fgColor rgb="FFFFC000"/>
        <bgColor rgb="FFFFC000"/>
      </patternFill>
    </fill>
    <fill>
      <patternFill patternType="solid">
        <fgColor rgb="FFE5B8B7"/>
        <bgColor rgb="FFE5B8B7"/>
      </patternFill>
    </fill>
    <fill>
      <patternFill patternType="solid">
        <fgColor rgb="FFE2EFDA"/>
        <bgColor rgb="FFE2EFDA"/>
      </patternFill>
    </fill>
    <fill>
      <patternFill patternType="solid">
        <fgColor rgb="FFFCE4D6"/>
        <bgColor rgb="FFFCE4D6"/>
      </patternFill>
    </fill>
    <fill>
      <patternFill patternType="solid">
        <fgColor rgb="FFEDEDED"/>
        <bgColor rgb="FFEDEDED"/>
      </patternFill>
    </fill>
    <fill>
      <patternFill patternType="solid">
        <fgColor rgb="FFFFF2CC"/>
        <bgColor rgb="FFFFF2CC"/>
      </patternFill>
    </fill>
    <fill>
      <patternFill patternType="solid">
        <fgColor rgb="FFFF0000"/>
        <bgColor rgb="FFFF0000"/>
      </patternFill>
    </fill>
    <fill>
      <patternFill patternType="solid">
        <fgColor theme="0"/>
        <bgColor theme="0"/>
      </patternFill>
    </fill>
    <fill>
      <patternFill patternType="solid">
        <fgColor rgb="FF1F3864"/>
        <bgColor rgb="FF1F3864"/>
      </patternFill>
    </fill>
  </fills>
  <borders count="9">
    <border/>
    <border>
      <left/>
      <right/>
      <top/>
      <bottom/>
    </border>
    <border>
      <left/>
      <top/>
      <bottom/>
    </border>
    <border>
      <top/>
      <bottom/>
    </border>
    <border>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4" numFmtId="0" xfId="0" applyAlignment="1" applyBorder="1" applyFill="1" applyFont="1">
      <alignment shrinkToFit="0" wrapText="1"/>
    </xf>
    <xf borderId="1" fillId="2" fontId="5" numFmtId="3" xfId="0" applyBorder="1" applyFill="1" applyFont="1" applyNumberFormat="1"/>
    <xf borderId="0" fillId="0" fontId="6" numFmtId="0" xfId="0" applyAlignment="1" applyFont="1">
      <alignment shrinkToFit="0" wrapText="1"/>
    </xf>
    <xf borderId="1" fillId="2" fontId="6" numFmtId="0" xfId="0" applyBorder="1" applyFill="1" applyFont="1"/>
    <xf borderId="0" fillId="0" fontId="7" numFmtId="0" xfId="0" applyAlignment="1" applyFont="1">
      <alignment shrinkToFit="0" vertical="top" wrapText="1"/>
    </xf>
    <xf borderId="0" fillId="0" fontId="8" numFmtId="0" xfId="0" applyFont="1"/>
    <xf borderId="0" fillId="0" fontId="9" numFmtId="0" xfId="0" applyFont="1"/>
    <xf borderId="1" fillId="3" fontId="10" numFmtId="0" xfId="0" applyAlignment="1" applyBorder="1" applyFill="1" applyFont="1">
      <alignment shrinkToFit="0" vertical="center" wrapText="1"/>
    </xf>
    <xf borderId="0" fillId="0" fontId="7" numFmtId="0" xfId="0" applyFont="1"/>
    <xf borderId="1" fillId="4" fontId="7" numFmtId="0" xfId="0" applyBorder="1" applyFill="1" applyFont="1"/>
    <xf borderId="1" fillId="3" fontId="10" numFmtId="0" xfId="0" applyAlignment="1" applyBorder="1" applyFill="1" applyFont="1">
      <alignment shrinkToFit="0" vertical="top" wrapText="1"/>
    </xf>
    <xf borderId="0" fillId="0" fontId="5" numFmtId="164" xfId="0" applyFont="1" applyNumberFormat="1"/>
    <xf borderId="0" fillId="0" fontId="5" numFmtId="0" xfId="0" applyFont="1"/>
    <xf borderId="1" fillId="5" fontId="8" numFmtId="0" xfId="0" applyBorder="1" applyFill="1" applyFont="1"/>
    <xf borderId="1" fillId="5" fontId="6" numFmtId="0" xfId="0" applyBorder="1" applyFill="1" applyFont="1"/>
    <xf borderId="0" fillId="0" fontId="11" numFmtId="0" xfId="0" applyFont="1"/>
    <xf borderId="0" fillId="0" fontId="5" numFmtId="3" xfId="0" applyFont="1" applyNumberFormat="1"/>
    <xf borderId="0" fillId="0" fontId="7" numFmtId="164" xfId="0" applyFont="1" applyNumberFormat="1"/>
    <xf borderId="1" fillId="6" fontId="3" numFmtId="3" xfId="0" applyBorder="1" applyFill="1" applyFont="1" applyNumberFormat="1"/>
    <xf borderId="0" fillId="0" fontId="7" numFmtId="0" xfId="0" applyAlignment="1" applyFont="1">
      <alignment horizontal="center" vertical="top"/>
    </xf>
    <xf borderId="1" fillId="6" fontId="7" numFmtId="0" xfId="0" applyAlignment="1" applyBorder="1" applyFill="1" applyFont="1">
      <alignment shrinkToFit="0" vertical="top" wrapText="1"/>
    </xf>
    <xf borderId="0" fillId="0" fontId="12" numFmtId="0" xfId="0" applyFont="1"/>
    <xf borderId="0" fillId="0" fontId="5" numFmtId="165" xfId="0" applyFont="1" applyNumberFormat="1"/>
    <xf borderId="1" fillId="6" fontId="3" numFmtId="165" xfId="0" applyBorder="1" applyFill="1" applyFont="1" applyNumberFormat="1"/>
    <xf borderId="1" fillId="7" fontId="7" numFmtId="0" xfId="0" applyAlignment="1" applyBorder="1" applyFill="1" applyFont="1">
      <alignment shrinkToFit="0" vertical="top" wrapText="1"/>
    </xf>
    <xf borderId="0" fillId="0" fontId="5" numFmtId="166" xfId="0" applyFont="1" applyNumberFormat="1"/>
    <xf borderId="0" fillId="0" fontId="13" numFmtId="0" xfId="0" applyFont="1"/>
    <xf borderId="1" fillId="6" fontId="3" numFmtId="166" xfId="0" applyBorder="1" applyFill="1" applyFont="1" applyNumberFormat="1"/>
    <xf borderId="0" fillId="0" fontId="5" numFmtId="167" xfId="0" applyFont="1" applyNumberFormat="1"/>
    <xf borderId="1" fillId="8" fontId="7" numFmtId="0" xfId="0" applyAlignment="1" applyBorder="1" applyFill="1" applyFont="1">
      <alignment shrinkToFit="0" vertical="top" wrapText="1"/>
    </xf>
    <xf borderId="1" fillId="2" fontId="5" numFmtId="168" xfId="0" applyBorder="1" applyFill="1" applyFont="1" applyNumberFormat="1"/>
    <xf borderId="0" fillId="0" fontId="7" numFmtId="166" xfId="0" applyFont="1" applyNumberFormat="1"/>
    <xf borderId="1" fillId="6" fontId="3" numFmtId="168" xfId="0" applyBorder="1" applyFill="1" applyFont="1" applyNumberFormat="1"/>
    <xf borderId="1" fillId="9" fontId="7" numFmtId="0" xfId="0" applyAlignment="1" applyBorder="1" applyFill="1" applyFont="1">
      <alignment shrinkToFit="0" vertical="top" wrapText="1"/>
    </xf>
    <xf borderId="0" fillId="0" fontId="5" numFmtId="169" xfId="0" applyFont="1" applyNumberFormat="1"/>
    <xf borderId="1" fillId="6" fontId="3" numFmtId="169" xfId="0" applyBorder="1" applyFill="1" applyFont="1" applyNumberFormat="1"/>
    <xf borderId="0" fillId="0" fontId="14" numFmtId="164" xfId="0" applyFont="1" applyNumberFormat="1"/>
    <xf borderId="1" fillId="2" fontId="14" numFmtId="164" xfId="0" applyBorder="1" applyFill="1" applyFont="1" applyNumberFormat="1"/>
    <xf borderId="0" fillId="0" fontId="14" numFmtId="3" xfId="0" applyFont="1" applyNumberFormat="1"/>
    <xf borderId="1" fillId="10" fontId="5" numFmtId="2" xfId="0" applyBorder="1" applyFill="1" applyFont="1" applyNumberFormat="1"/>
    <xf borderId="1" fillId="10" fontId="5" numFmtId="3" xfId="0" applyBorder="1" applyFill="1" applyFont="1" applyNumberFormat="1"/>
    <xf borderId="1" fillId="6" fontId="3" numFmtId="164" xfId="0" applyBorder="1" applyFill="1" applyFont="1" applyNumberFormat="1"/>
    <xf borderId="0" fillId="0" fontId="7" numFmtId="2" xfId="0" applyFont="1" applyNumberFormat="1"/>
    <xf borderId="1" fillId="2" fontId="5" numFmtId="164" xfId="0" applyBorder="1" applyFill="1" applyFont="1" applyNumberFormat="1"/>
    <xf borderId="0" fillId="0" fontId="5" numFmtId="2" xfId="0" applyFont="1" applyNumberFormat="1"/>
    <xf borderId="1" fillId="2" fontId="5" numFmtId="166" xfId="0" applyBorder="1" applyFill="1" applyFont="1" applyNumberFormat="1"/>
    <xf borderId="1" fillId="11" fontId="15" numFmtId="0" xfId="0" applyBorder="1" applyFill="1" applyFont="1"/>
    <xf borderId="0" fillId="0" fontId="14" numFmtId="170" xfId="0" applyFont="1" applyNumberFormat="1"/>
    <xf borderId="0" fillId="0" fontId="5" numFmtId="4" xfId="0" applyFont="1" applyNumberFormat="1"/>
    <xf borderId="1" fillId="6" fontId="3" numFmtId="4" xfId="0" applyBorder="1" applyFill="1" applyFont="1" applyNumberFormat="1"/>
    <xf borderId="0" fillId="0" fontId="5" numFmtId="168" xfId="0" applyFont="1" applyNumberFormat="1"/>
    <xf borderId="0" fillId="0" fontId="14" numFmtId="166" xfId="0" applyFont="1" applyNumberFormat="1"/>
    <xf borderId="0" fillId="0" fontId="5" numFmtId="170" xfId="0" applyFont="1" applyNumberFormat="1"/>
    <xf borderId="0" fillId="0" fontId="14" numFmtId="0" xfId="0" applyFont="1"/>
    <xf borderId="1" fillId="6" fontId="3" numFmtId="170" xfId="0" applyBorder="1" applyFill="1" applyFont="1" applyNumberFormat="1"/>
    <xf borderId="0" fillId="0" fontId="16" numFmtId="0" xfId="0" applyFont="1"/>
    <xf borderId="2" fillId="3" fontId="10" numFmtId="0" xfId="0" applyAlignment="1" applyBorder="1" applyFill="1" applyFont="1">
      <alignment shrinkToFit="0" vertical="top" wrapText="1"/>
    </xf>
    <xf borderId="3" fillId="0" fontId="17" numFmtId="0" xfId="0" applyBorder="1" applyFont="1"/>
    <xf borderId="4" fillId="0" fontId="17" numFmtId="0" xfId="0" applyBorder="1" applyFont="1"/>
    <xf borderId="5" fillId="0" fontId="7" numFmtId="0" xfId="0" applyAlignment="1" applyBorder="1" applyFont="1">
      <alignment shrinkToFit="0" vertical="top" wrapText="1"/>
    </xf>
    <xf borderId="6" fillId="0" fontId="17" numFmtId="0" xfId="0" applyBorder="1" applyFont="1"/>
    <xf borderId="7" fillId="0" fontId="17" numFmtId="0" xfId="0" applyBorder="1" applyFont="1"/>
    <xf borderId="5" fillId="0" fontId="14" numFmtId="164" xfId="0" applyAlignment="1" applyBorder="1" applyFont="1" applyNumberFormat="1">
      <alignment horizontal="right" shrinkToFit="0" vertical="top" wrapText="1"/>
    </xf>
    <xf borderId="8" fillId="0" fontId="7" numFmtId="0" xfId="0" applyAlignment="1" applyBorder="1" applyFont="1">
      <alignment horizontal="right" shrinkToFit="0" vertical="top" wrapText="1"/>
    </xf>
    <xf borderId="5" fillId="6" fontId="7" numFmtId="0" xfId="0" applyAlignment="1" applyBorder="1" applyFill="1" applyFont="1">
      <alignment shrinkToFit="0" vertical="top" wrapText="1"/>
    </xf>
    <xf borderId="8" fillId="6" fontId="7" numFmtId="0" xfId="0" applyAlignment="1" applyBorder="1" applyFill="1" applyFont="1">
      <alignment shrinkToFit="0" vertical="top" wrapText="1"/>
    </xf>
    <xf borderId="1" fillId="6" fontId="3" numFmtId="2" xfId="0" applyBorder="1" applyFill="1" applyFont="1" applyNumberFormat="1"/>
    <xf borderId="5" fillId="9" fontId="7" numFmtId="0" xfId="0" applyAlignment="1" applyBorder="1" applyFill="1" applyFont="1">
      <alignment shrinkToFit="0" vertical="top" wrapText="1"/>
    </xf>
    <xf borderId="8" fillId="8" fontId="7" numFmtId="0" xfId="0" applyAlignment="1" applyBorder="1" applyFill="1" applyFont="1">
      <alignment shrinkToFit="0" vertical="top" wrapText="1"/>
    </xf>
    <xf borderId="0" fillId="0" fontId="14" numFmtId="169" xfId="0" applyFont="1" applyNumberFormat="1"/>
    <xf borderId="5" fillId="7" fontId="7" numFmtId="0" xfId="0" applyAlignment="1" applyBorder="1" applyFill="1" applyFont="1">
      <alignment shrinkToFit="0" vertical="top" wrapText="1"/>
    </xf>
    <xf borderId="5" fillId="0" fontId="7" numFmtId="0" xfId="0" applyAlignment="1" applyBorder="1" applyFont="1">
      <alignment horizontal="right" shrinkToFit="0" vertical="top" wrapText="1"/>
    </xf>
    <xf borderId="8" fillId="9" fontId="7" numFmtId="0" xfId="0" applyAlignment="1" applyBorder="1" applyFill="1" applyFont="1">
      <alignment shrinkToFit="0" vertical="top" wrapText="1"/>
    </xf>
    <xf borderId="5" fillId="8" fontId="7" numFmtId="0" xfId="0" applyAlignment="1" applyBorder="1" applyFill="1" applyFont="1">
      <alignment shrinkToFit="0" vertical="top" wrapText="1"/>
    </xf>
    <xf borderId="5" fillId="0" fontId="14" numFmtId="171" xfId="0" applyAlignment="1" applyBorder="1" applyFont="1" applyNumberFormat="1">
      <alignment horizontal="right" shrinkToFit="0" vertical="top" wrapText="1"/>
    </xf>
    <xf borderId="8" fillId="0" fontId="7" numFmtId="0" xfId="0" applyAlignment="1" applyBorder="1" applyFont="1">
      <alignment shrinkToFit="0" vertical="top" wrapText="1"/>
    </xf>
    <xf borderId="8" fillId="0" fontId="14" numFmtId="164" xfId="0" applyAlignment="1" applyBorder="1" applyFont="1" applyNumberFormat="1">
      <alignment horizontal="right" shrinkToFit="0" vertical="top" wrapText="1"/>
    </xf>
    <xf borderId="8" fillId="0" fontId="14" numFmtId="0" xfId="0" applyAlignment="1" applyBorder="1" applyFont="1">
      <alignment horizontal="right" shrinkToFit="0" vertical="top" wrapText="1"/>
    </xf>
    <xf borderId="1" fillId="3" fontId="10" numFmtId="0" xfId="0" applyAlignment="1" applyBorder="1" applyFill="1" applyFont="1">
      <alignment readingOrder="0" shrinkToFit="0" vertical="center" wrapText="1"/>
    </xf>
    <xf borderId="1" fillId="9" fontId="7" numFmtId="0" xfId="0" applyBorder="1" applyFill="1" applyFont="1"/>
    <xf borderId="1" fillId="6" fontId="14" numFmtId="3" xfId="0" applyBorder="1" applyFill="1" applyFont="1" applyNumberFormat="1"/>
    <xf borderId="1" fillId="10" fontId="5" numFmtId="164" xfId="0" applyBorder="1" applyFill="1" applyFont="1" applyNumberFormat="1"/>
    <xf borderId="0" fillId="0" fontId="7" numFmtId="3" xfId="0" applyFont="1" applyNumberFormat="1"/>
    <xf borderId="1" fillId="11" fontId="1" numFmtId="0" xfId="0" applyBorder="1" applyFill="1" applyFont="1"/>
    <xf borderId="1" fillId="6" fontId="7" numFmtId="0" xfId="0" applyBorder="1" applyFill="1" applyFont="1"/>
    <xf borderId="1" fillId="10" fontId="14" numFmtId="164" xfId="0" applyBorder="1" applyFill="1" applyFont="1" applyNumberFormat="1"/>
    <xf borderId="0" fillId="0" fontId="3" numFmtId="3" xfId="0" applyFont="1" applyNumberFormat="1"/>
    <xf borderId="1" fillId="10" fontId="3" numFmtId="164" xfId="0" applyBorder="1" applyFill="1" applyFont="1" applyNumberFormat="1"/>
    <xf borderId="0" fillId="0" fontId="3" numFmtId="164" xfId="0" applyFont="1" applyNumberFormat="1"/>
    <xf borderId="1" fillId="10" fontId="6" numFmtId="0" xfId="0" applyBorder="1" applyFill="1" applyFont="1"/>
    <xf borderId="1" fillId="10" fontId="14" numFmtId="166" xfId="0" applyBorder="1" applyFill="1" applyFont="1" applyNumberFormat="1"/>
    <xf borderId="0" fillId="0" fontId="7" numFmtId="169" xfId="0" applyFont="1" applyNumberFormat="1"/>
    <xf borderId="1" fillId="10" fontId="15" numFmtId="166" xfId="0" applyBorder="1" applyFill="1" applyFont="1" applyNumberFormat="1"/>
    <xf borderId="1" fillId="6" fontId="7" numFmtId="164" xfId="0" applyBorder="1" applyFill="1" applyFont="1" applyNumberFormat="1"/>
    <xf borderId="8" fillId="7" fontId="7" numFmtId="0" xfId="0" applyAlignment="1" applyBorder="1" applyFill="1" applyFont="1">
      <alignment shrinkToFit="0" vertical="top" wrapText="1"/>
    </xf>
    <xf borderId="0" fillId="0" fontId="18" numFmtId="0" xfId="0" applyFont="1"/>
    <xf borderId="8" fillId="0" fontId="14" numFmtId="171" xfId="0" applyAlignment="1" applyBorder="1" applyFont="1" applyNumberFormat="1">
      <alignment horizontal="right" shrinkToFit="0" vertical="top" wrapText="1"/>
    </xf>
    <xf borderId="5" fillId="0" fontId="14" numFmtId="169" xfId="0" applyAlignment="1" applyBorder="1" applyFont="1" applyNumberFormat="1">
      <alignment horizontal="right" shrinkToFit="0" vertical="top" wrapText="1"/>
    </xf>
    <xf borderId="1" fillId="2" fontId="19" numFmtId="0" xfId="0" applyBorder="1" applyFill="1" applyFont="1"/>
    <xf borderId="1" fillId="2" fontId="20" numFmtId="0" xfId="0" applyBorder="1" applyFill="1" applyFont="1"/>
    <xf borderId="1" fillId="12" fontId="10" numFmtId="0" xfId="0" applyAlignment="1" applyBorder="1" applyFill="1" applyFont="1">
      <alignment shrinkToFit="0" vertical="top" wrapText="1"/>
    </xf>
    <xf borderId="0" fillId="0" fontId="5" numFmtId="3" xfId="0" applyAlignment="1" applyFont="1" applyNumberFormat="1">
      <alignment readingOrder="0"/>
    </xf>
    <xf borderId="1" fillId="10" fontId="14" numFmtId="170" xfId="0" applyBorder="1" applyFill="1" applyFont="1" applyNumberFormat="1"/>
    <xf borderId="1" fillId="10" fontId="7" numFmtId="164" xfId="0" applyBorder="1" applyFill="1" applyFont="1" applyNumberFormat="1"/>
    <xf borderId="0" fillId="0" fontId="21" numFmtId="0" xfId="0" applyAlignment="1" applyFont="1">
      <alignment shrinkToFit="0" vertical="top" wrapText="1"/>
    </xf>
    <xf borderId="1" fillId="7" fontId="7" numFmtId="0" xfId="0" applyBorder="1" applyFill="1" applyFont="1"/>
    <xf borderId="1" fillId="10" fontId="14" numFmtId="3" xfId="0" applyBorder="1" applyFill="1" applyFont="1" applyNumberFormat="1"/>
    <xf borderId="1" fillId="6" fontId="15" numFmtId="3" xfId="0" applyBorder="1" applyFill="1" applyFont="1" applyNumberFormat="1"/>
    <xf borderId="1" fillId="10" fontId="14" numFmtId="168" xfId="0" applyBorder="1" applyFill="1" applyFont="1" applyNumberFormat="1"/>
    <xf borderId="1" fillId="6" fontId="15" numFmtId="164" xfId="0" applyBorder="1" applyFill="1" applyFont="1" applyNumberFormat="1"/>
    <xf borderId="1" fillId="10" fontId="7" numFmtId="0" xfId="0" applyBorder="1" applyFill="1" applyFont="1"/>
    <xf borderId="1" fillId="10" fontId="7" numFmtId="166" xfId="0" applyBorder="1" applyFill="1" applyFont="1" applyNumberFormat="1"/>
    <xf borderId="8" fillId="0" fontId="14" numFmtId="169" xfId="0" applyAlignment="1" applyBorder="1" applyFont="1" applyNumberFormat="1">
      <alignment horizontal="right" shrinkToFit="0" vertical="top" wrapText="1"/>
    </xf>
    <xf borderId="1" fillId="6" fontId="15" numFmtId="170" xfId="0" applyBorder="1" applyFill="1" applyFont="1" applyNumberFormat="1"/>
    <xf borderId="1" fillId="6" fontId="14" numFmtId="170" xfId="0" applyBorder="1" applyFill="1" applyFont="1" applyNumberFormat="1"/>
    <xf borderId="1" fillId="6" fontId="15" numFmtId="166" xfId="0" applyBorder="1" applyFill="1" applyFont="1" applyNumberFormat="1"/>
    <xf borderId="0" fillId="0" fontId="15" numFmtId="164" xfId="0" applyFont="1" applyNumberFormat="1"/>
    <xf borderId="0" fillId="0" fontId="8" numFmtId="3" xfId="0" applyFont="1" applyNumberFormat="1"/>
    <xf borderId="0" fillId="0" fontId="14" numFmtId="165" xfId="0" applyFont="1" applyNumberFormat="1"/>
    <xf borderId="0" fillId="0" fontId="15" numFmtId="170" xfId="0" applyFont="1" applyNumberFormat="1"/>
    <xf borderId="1" fillId="6" fontId="15" numFmtId="169" xfId="0" applyBorder="1" applyFill="1" applyFont="1" applyNumberFormat="1"/>
    <xf borderId="2" fillId="12" fontId="10" numFmtId="0" xfId="0" applyAlignment="1" applyBorder="1" applyFill="1" applyFont="1">
      <alignment shrinkToFit="0" vertical="top" wrapText="1"/>
    </xf>
    <xf borderId="0" fillId="0" fontId="14" numFmtId="2" xfId="0" applyFont="1" applyNumberFormat="1"/>
    <xf borderId="0" fillId="0" fontId="14" numFmtId="172" xfId="0" applyFont="1" applyNumberFormat="1"/>
    <xf borderId="0" fillId="0" fontId="7" numFmtId="172" xfId="0" applyFont="1" applyNumberFormat="1"/>
    <xf borderId="0" fillId="0" fontId="5" numFmtId="172" xfId="0" applyFont="1" applyNumberFormat="1"/>
    <xf borderId="0" fillId="0" fontId="7" numFmtId="173" xfId="0" applyFont="1" applyNumberFormat="1"/>
    <xf borderId="1" fillId="6" fontId="7" numFmtId="166" xfId="0" applyBorder="1" applyFill="1" applyFont="1" applyNumberFormat="1"/>
    <xf borderId="1" fillId="6" fontId="7" numFmtId="169" xfId="0" applyBorder="1" applyFill="1" applyFont="1" applyNumberFormat="1"/>
    <xf borderId="0" fillId="0" fontId="6" numFmtId="172" xfId="0" applyFont="1" applyNumberFormat="1"/>
    <xf borderId="0" fillId="0" fontId="6" numFmtId="164" xfId="0" applyFont="1" applyNumberFormat="1"/>
    <xf borderId="0" fillId="0" fontId="6" numFmtId="169" xfId="0" applyFont="1" applyNumberFormat="1"/>
    <xf borderId="0" fillId="0" fontId="22" numFmtId="0" xfId="0" applyFont="1"/>
    <xf borderId="0" fillId="0" fontId="23" numFmtId="0" xfId="0" applyAlignment="1" applyFont="1">
      <alignment shrinkToFit="0" vertical="top" wrapText="1"/>
    </xf>
    <xf borderId="0" fillId="0" fontId="24" numFmtId="0" xfId="0" applyAlignment="1" applyFont="1">
      <alignment shrinkToFit="0" vertical="top" wrapText="1"/>
    </xf>
    <xf borderId="0" fillId="0" fontId="25" numFmtId="0" xfId="0" applyAlignment="1" applyFont="1">
      <alignment shrinkToFit="0" vertical="top" wrapText="1"/>
    </xf>
    <xf borderId="0" fillId="0" fontId="26" numFmtId="0" xfId="0" applyAlignment="1" applyFont="1">
      <alignment shrinkToFit="0" vertical="top" wrapText="1"/>
    </xf>
    <xf borderId="0" fillId="0" fontId="27"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customschemas.google.com/relationships/workbookmetadata" Target="metadata"/><Relationship Id="rId23" Type="http://schemas.openxmlformats.org/officeDocument/2006/relationships/worksheet" Target="worksheets/sheet20.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Monthly revenue vs EBITDA (IDR)</a:t>
            </a:r>
          </a:p>
        </c:rich>
      </c:tx>
      <c:overlay val="0"/>
    </c:title>
    <c:plotArea>
      <c:layout/>
      <c:lineChart>
        <c:ser>
          <c:idx val="0"/>
          <c:order val="0"/>
          <c:tx>
            <c:v>TOTAL REVENUE</c:v>
          </c:tx>
          <c:spPr>
            <a:ln cmpd="sng" w="19050">
              <a:solidFill>
                <a:srgbClr val="4A7EBB">
                  <a:alpha val="100000"/>
                </a:srgbClr>
              </a:solidFill>
            </a:ln>
          </c:spPr>
          <c:marker>
            <c:symbol val="none"/>
          </c:marker>
          <c:cat>
            <c:strRef>
              <c:f>PnL_Monthly!$C$4:$BJ$4</c:f>
            </c:strRef>
          </c:cat>
          <c:val>
            <c:numRef>
              <c:f>PnL_Monthly!$C$18:$BJ$18</c:f>
              <c:numCache/>
            </c:numRef>
          </c:val>
          <c:smooth val="1"/>
        </c:ser>
        <c:ser>
          <c:idx val="1"/>
          <c:order val="1"/>
          <c:tx>
            <c:v>EBITDA</c:v>
          </c:tx>
          <c:spPr>
            <a:ln cmpd="sng" w="19050">
              <a:solidFill>
                <a:srgbClr val="BE4B48">
                  <a:alpha val="100000"/>
                </a:srgbClr>
              </a:solidFill>
            </a:ln>
          </c:spPr>
          <c:marker>
            <c:symbol val="none"/>
          </c:marker>
          <c:cat>
            <c:strRef>
              <c:f>PnL_Monthly!$C$4:$BJ$4</c:f>
            </c:strRef>
          </c:cat>
          <c:val>
            <c:numRef>
              <c:f>PnL_Monthly!$C$35:$BJ$35</c:f>
              <c:numCache/>
            </c:numRef>
          </c:val>
          <c:smooth val="1"/>
        </c:ser>
        <c:axId val="1165913079"/>
        <c:axId val="198671038"/>
      </c:lineChart>
      <c:catAx>
        <c:axId val="11659130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spPr>
          <a:ln>
            <a:noFill/>
          </a:ln>
        </c:spPr>
        <c:txPr>
          <a:bodyPr/>
          <a:lstStyle/>
          <a:p>
            <a:pPr lvl="0">
              <a:defRPr b="0" i="0" sz="1000">
                <a:solidFill>
                  <a:srgbClr val="000000"/>
                </a:solidFill>
                <a:latin typeface="Calibri"/>
              </a:defRPr>
            </a:pPr>
          </a:p>
        </c:txPr>
        <c:crossAx val="198671038"/>
      </c:catAx>
      <c:valAx>
        <c:axId val="1986710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none"/>
        <c:minorTickMark val="none"/>
        <c:tickLblPos val="nextTo"/>
        <c:spPr>
          <a:ln>
            <a:noFill/>
          </a:ln>
        </c:spPr>
        <c:txPr>
          <a:bodyPr/>
          <a:lstStyle/>
          <a:p>
            <a:pPr lvl="0">
              <a:defRPr b="0" i="0" sz="1000">
                <a:solidFill>
                  <a:srgbClr val="000000"/>
                </a:solidFill>
                <a:latin typeface="Calibri"/>
              </a:defRPr>
            </a:pPr>
          </a:p>
        </c:txPr>
        <c:crossAx val="1165913079"/>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Cumulative project cash vs investment (payback when &gt; 0)</a:t>
            </a:r>
          </a:p>
        </c:rich>
      </c:tx>
      <c:overlay val="0"/>
    </c:title>
    <c:plotArea>
      <c:layout/>
      <c:lineChart>
        <c:varyColors val="0"/>
        <c:ser>
          <c:idx val="0"/>
          <c:order val="0"/>
          <c:tx>
            <c:v>Cumulative FCF less total investment</c:v>
          </c:tx>
          <c:spPr>
            <a:ln cmpd="sng" w="19050">
              <a:solidFill>
                <a:srgbClr val="4A7EBB">
                  <a:alpha val="100000"/>
                </a:srgbClr>
              </a:solidFill>
            </a:ln>
          </c:spPr>
          <c:marker>
            <c:symbol val="none"/>
          </c:marker>
          <c:cat>
            <c:strRef>
              <c:f>PnL_Monthly!$C$4:$BJ$4</c:f>
            </c:strRef>
          </c:cat>
          <c:val>
            <c:numRef>
              <c:f>PnL_Monthly!$C$52:$BJ$52</c:f>
              <c:numCache/>
            </c:numRef>
          </c:val>
          <c:smooth val="1"/>
        </c:ser>
        <c:axId val="452582074"/>
        <c:axId val="1885092503"/>
      </c:lineChart>
      <c:catAx>
        <c:axId val="4525820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spPr>
          <a:ln>
            <a:noFill/>
          </a:ln>
        </c:spPr>
        <c:txPr>
          <a:bodyPr/>
          <a:lstStyle/>
          <a:p>
            <a:pPr lvl="0">
              <a:defRPr b="0" i="0" sz="1000">
                <a:solidFill>
                  <a:srgbClr val="000000"/>
                </a:solidFill>
                <a:latin typeface="Calibri"/>
              </a:defRPr>
            </a:pPr>
          </a:p>
        </c:txPr>
        <c:crossAx val="1885092503"/>
      </c:catAx>
      <c:valAx>
        <c:axId val="188509250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none"/>
        <c:minorTickMark val="none"/>
        <c:tickLblPos val="nextTo"/>
        <c:spPr>
          <a:ln>
            <a:noFill/>
          </a:ln>
        </c:spPr>
        <c:txPr>
          <a:bodyPr/>
          <a:lstStyle/>
          <a:p>
            <a:pPr lvl="0">
              <a:defRPr b="0" i="0" sz="1000">
                <a:solidFill>
                  <a:srgbClr val="000000"/>
                </a:solidFill>
                <a:latin typeface="Calibri"/>
              </a:defRPr>
            </a:pPr>
          </a:p>
        </c:txPr>
        <c:crossAx val="452582074"/>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Tornado – Δ monthly EBITDA (IDR) for ±flex</a:t>
            </a:r>
          </a:p>
        </c:rich>
      </c:tx>
      <c:overlay val="0"/>
    </c:title>
    <c:plotArea>
      <c:layout/>
      <c:barChart>
        <c:barDir val="bar"/>
        <c:ser>
          <c:idx val="0"/>
          <c:order val="0"/>
          <c:tx>
            <c:v>Δ EBITDA @ −flex</c:v>
          </c:tx>
          <c:spPr>
            <a:solidFill>
              <a:srgbClr val="4F81BD"/>
            </a:solidFill>
            <a:ln cmpd="sng">
              <a:noFill/>
            </a:ln>
          </c:spPr>
          <c:invertIfNegative val="0"/>
          <c:cat>
            <c:strRef>
              <c:f>Sensitivity!$A$28:$A$34</c:f>
            </c:strRef>
          </c:cat>
          <c:val>
            <c:numRef>
              <c:f>Sensitivity!$B$28:$B$34</c:f>
              <c:numCache/>
            </c:numRef>
          </c:val>
        </c:ser>
        <c:ser>
          <c:idx val="1"/>
          <c:order val="1"/>
          <c:tx>
            <c:v>Δ EBITDA @ +flex</c:v>
          </c:tx>
          <c:spPr>
            <a:solidFill>
              <a:srgbClr val="C0504D"/>
            </a:solidFill>
            <a:ln cmpd="sng">
              <a:noFill/>
            </a:ln>
          </c:spPr>
          <c:invertIfNegative val="0"/>
          <c:cat>
            <c:strRef>
              <c:f>Sensitivity!$A$28:$A$34</c:f>
            </c:strRef>
          </c:cat>
          <c:val>
            <c:numRef>
              <c:f>Sensitivity!$C$28:$C$34</c:f>
              <c:numCache/>
            </c:numRef>
          </c:val>
        </c:ser>
        <c:axId val="1086215176"/>
        <c:axId val="571788523"/>
      </c:barChart>
      <c:catAx>
        <c:axId val="108621517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571788523"/>
      </c:catAx>
      <c:valAx>
        <c:axId val="5717885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none"/>
        <c:minorTickMark val="none"/>
        <c:tickLblPos val="nextTo"/>
        <c:spPr>
          <a:ln>
            <a:noFill/>
          </a:ln>
        </c:spPr>
        <c:txPr>
          <a:bodyPr/>
          <a:lstStyle/>
          <a:p>
            <a:pPr lvl="0">
              <a:defRPr b="0" i="0" sz="1000">
                <a:solidFill>
                  <a:srgbClr val="000000"/>
                </a:solidFill>
                <a:latin typeface="Calibri"/>
              </a:defRPr>
            </a:pPr>
          </a:p>
        </c:txPr>
        <c:crossAx val="1086215176"/>
        <c:crosses val="max"/>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Distribution of steady-state monthly EBITDA (IDR m)</a:t>
            </a:r>
          </a:p>
        </c:rich>
      </c:tx>
      <c:overlay val="0"/>
    </c:title>
    <c:plotArea>
      <c:layout/>
      <c:barChart>
        <c:barDir val="col"/>
        <c:varyColors val="0"/>
        <c:ser>
          <c:idx val="0"/>
          <c:order val="0"/>
          <c:tx>
            <c:v>Count</c:v>
          </c:tx>
          <c:spPr>
            <a:solidFill>
              <a:schemeClr val="accent2"/>
            </a:solidFill>
            <a:ln cmpd="sng">
              <a:noFill/>
            </a:ln>
          </c:spPr>
          <c:invertIfNegative val="0"/>
          <c:cat>
            <c:strRef>
              <c:f>MonteCarlo!$D$25:$D$36</c:f>
            </c:strRef>
          </c:cat>
          <c:val>
            <c:numRef>
              <c:f>MonteCarlo!$F$25:$F$36</c:f>
              <c:numCache/>
            </c:numRef>
          </c:val>
        </c:ser>
        <c:axId val="409079468"/>
        <c:axId val="660330084"/>
      </c:barChart>
      <c:catAx>
        <c:axId val="4090794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m" sourceLinked="0"/>
        <c:majorTickMark val="none"/>
        <c:minorTickMark val="none"/>
        <c:spPr>
          <a:ln>
            <a:noFill/>
          </a:ln>
        </c:spPr>
        <c:txPr>
          <a:bodyPr/>
          <a:lstStyle/>
          <a:p>
            <a:pPr lvl="0">
              <a:defRPr b="0" i="0" sz="1000">
                <a:solidFill>
                  <a:srgbClr val="000000"/>
                </a:solidFill>
                <a:latin typeface="Calibri"/>
              </a:defRPr>
            </a:pPr>
          </a:p>
        </c:txPr>
        <c:crossAx val="660330084"/>
      </c:catAx>
      <c:valAx>
        <c:axId val="66033008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409079468"/>
      </c:valAx>
    </c:plotArea>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952500</xdr:colOff>
      <xdr:row>5</xdr:row>
      <xdr:rowOff>133350</xdr:rowOff>
    </xdr:from>
    <xdr:ext cx="5800725" cy="2705100"/>
    <xdr:graphicFrame>
      <xdr:nvGraphicFramePr>
        <xdr:cNvPr id="2134341517"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981075</xdr:colOff>
      <xdr:row>22</xdr:row>
      <xdr:rowOff>161925</xdr:rowOff>
    </xdr:from>
    <xdr:ext cx="5810250" cy="2695575"/>
    <xdr:graphicFrame>
      <xdr:nvGraphicFramePr>
        <xdr:cNvPr id="2139688287"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361950</xdr:colOff>
      <xdr:row>24</xdr:row>
      <xdr:rowOff>123825</xdr:rowOff>
    </xdr:from>
    <xdr:ext cx="6162675" cy="2914650"/>
    <xdr:graphicFrame>
      <xdr:nvGraphicFramePr>
        <xdr:cNvPr id="640382934"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152400</xdr:rowOff>
    </xdr:from>
    <xdr:ext cx="5486400" cy="2828925"/>
    <xdr:graphicFrame>
      <xdr:nvGraphicFramePr>
        <xdr:cNvPr id="392128329"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rumah123.com/en/property/jakarta-selatan-scbd/disewakan-space-utk-resto-bar-rooftop-di-pacific-century-tower-scbd-csr3740301/" TargetMode="External"/><Relationship Id="rId2" Type="http://schemas.openxmlformats.org/officeDocument/2006/relationships/hyperlink" Target="https://www.rumah123.com/en/rent/jakarta-selatan/scbd/commercial-space/" TargetMode="External"/><Relationship Id="rId3" Type="http://schemas.openxmlformats.org/officeDocument/2006/relationships/hyperlink" Target="https://www.rumah123.com/en/rent/jakarta-selatan/senopati/shophouse/"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3.xml"/><Relationship Id="rId3"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40" Type="http://schemas.openxmlformats.org/officeDocument/2006/relationships/hyperlink" Target="https://www.sciencedirect.com/science/article/abs/pii/S014362281400263X" TargetMode="External"/><Relationship Id="rId42" Type="http://schemas.openxmlformats.org/officeDocument/2006/relationships/hyperlink" Target="https://www.imanet.org/-/media/125d2e3fa1434a2ca33a95520d373e39.ashx" TargetMode="External"/><Relationship Id="rId41" Type="http://schemas.openxmlformats.org/officeDocument/2006/relationships/hyperlink" Target="https://www.researchgate.net/publication/325974971_The_Evaluation_of_Trade_Area_Models_and_Analysis_Methods_for_Site_Selection_from_International_Quick_Service_Restaurants_Perspective" TargetMode="External"/><Relationship Id="rId44" Type="http://schemas.openxmlformats.org/officeDocument/2006/relationships/hyperlink" Target="https://perfectdailygrind.com/2026/03/indonesia-specialty-coffee-market-growth/" TargetMode="External"/><Relationship Id="rId43" Type="http://schemas.openxmlformats.org/officeDocument/2006/relationships/hyperlink" Target="https://www.worldcoffeeportal.com/news/fore-coffee-hits-its-stride-after-significant-ipo-year/" TargetMode="External"/><Relationship Id="rId46" Type="http://schemas.openxmlformats.org/officeDocument/2006/relationships/hyperlink" Target="https://www.bi.go.id/id/publikasi/ruang-media/cerita-bi/Pages/mdr-qris.aspx" TargetMode="External"/><Relationship Id="rId45" Type="http://schemas.openxmlformats.org/officeDocument/2006/relationships/hyperlink" Target="https://www.sciencedirect.com/org/science/article/pii/S0007070X25000291" TargetMode="External"/><Relationship Id="rId1" Type="http://schemas.openxmlformats.org/officeDocument/2006/relationships/hyperlink" Target="https://www.aseanbriefing.com/news/indonesias-minimum-investment-requirements-what-foreign-investors-need-to-plan-before-entry/" TargetMode="External"/><Relationship Id="rId2" Type="http://schemas.openxmlformats.org/officeDocument/2006/relationships/hyperlink" Target="https://xpnd.co.id/regulatory/bkpm-regulation-5-2025-pt-pma-capital-implications/" TargetMode="External"/><Relationship Id="rId3" Type="http://schemas.openxmlformats.org/officeDocument/2006/relationships/hyperlink" Target="https://xpnd.co.id/guides/requirements-for-pt-pma-restaurant/" TargetMode="External"/><Relationship Id="rId4" Type="http://schemas.openxmlformats.org/officeDocument/2006/relationships/hyperlink" Target="https://databoks.katadata.co.id/en/employment/statistics/695206d6675b6/indonesias-2026-provincial-minimum-wage-highest-in-jakarta" TargetMode="External"/><Relationship Id="rId9" Type="http://schemas.openxmlformats.org/officeDocument/2006/relationships/hyperlink" Target="https://ncsaindonesia.com/web/gaji-chef-di-indonesia-dari-daily-worker-hingga-executive-chef-hotel/" TargetMode="External"/><Relationship Id="rId48" Type="http://schemas.openxmlformats.org/officeDocument/2006/relationships/hyperlink" Target="https://business.brucecounty.on.ca/hubfs/Fall%202021%20Webinars/Oct%209th-%202021%20Restaurant%20Benchmarks.pdf" TargetMode="External"/><Relationship Id="rId47" Type="http://schemas.openxmlformats.org/officeDocument/2006/relationships/hyperlink" Target="https://docs.midtrans.com/docs/what-is-the-applicable-transaction-fee-for-qris" TargetMode="External"/><Relationship Id="rId49" Type="http://schemas.openxmlformats.org/officeDocument/2006/relationships/hyperlink" Target="https://vantainsights.com/insights/restaurant-food-cost-percentage" TargetMode="External"/><Relationship Id="rId5" Type="http://schemas.openxmlformats.org/officeDocument/2006/relationships/hyperlink" Target="https://employsome.com/hire/indonesia/bpjs-indonesia/" TargetMode="External"/><Relationship Id="rId6" Type="http://schemas.openxmlformats.org/officeDocument/2006/relationships/hyperlink" Target="https://kantorku.id/blog/gaji-barista/" TargetMode="External"/><Relationship Id="rId7" Type="http://schemas.openxmlformats.org/officeDocument/2006/relationships/hyperlink" Target="https://id.indeed.com/career/barista/salaries/Jakarta" TargetMode="External"/><Relationship Id="rId8" Type="http://schemas.openxmlformats.org/officeDocument/2006/relationships/hyperlink" Target="https://id.indeed.com/career/head-chef/salaries/Jakarta" TargetMode="External"/><Relationship Id="rId73" Type="http://schemas.openxmlformats.org/officeDocument/2006/relationships/hyperlink" Target="https://www.loker.id/gaji/restaurant/waitress/jakarta-selatan" TargetMode="External"/><Relationship Id="rId72" Type="http://schemas.openxmlformats.org/officeDocument/2006/relationships/hyperlink" Target="https://www.loker.id/gaji/restaurant/manajemen/jakarta-selatan" TargetMode="External"/><Relationship Id="rId31" Type="http://schemas.openxmlformats.org/officeDocument/2006/relationships/hyperlink" Target="https://hargamenu.net/common-grounds-menu-daftar-menu-harga-dan-lokasi-kedai-kopi-juara-dunia-di-indonesia/" TargetMode="External"/><Relationship Id="rId75" Type="http://schemas.openxmlformats.org/officeDocument/2006/relationships/hyperlink" Target="https://setkab.go.id/pekerja-dengan-masa-kerja-1-bulan-kini-berhak-dapat-thr/" TargetMode="External"/><Relationship Id="rId30" Type="http://schemas.openxmlformats.org/officeDocument/2006/relationships/hyperlink" Target="https://apps.fas.usda.gov/newgainapi/api/Report/DownloadReportByFileName?fileName=Food+Service+-+Hotel+Restaurant+Institutional+Annual_Jakarta_Indonesia_ID2025-0049.pdf" TargetMode="External"/><Relationship Id="rId74" Type="http://schemas.openxmlformats.org/officeDocument/2006/relationships/hyperlink" Target="https://kantorku.id/blog/gaji-manajer/" TargetMode="External"/><Relationship Id="rId33" Type="http://schemas.openxmlformats.org/officeDocument/2006/relationships/hyperlink" Target="https://www.idntimes.com/food/dining-guide/perfecto-ini-5-spot-makan-pasta-rasa-autentik-di-jakarta-selatan-01-3ln1w-37jgyf" TargetMode="External"/><Relationship Id="rId77" Type="http://schemas.openxmlformats.org/officeDocument/2006/relationships/drawing" Target="../drawings/drawing18.xml"/><Relationship Id="rId32" Type="http://schemas.openxmlformats.org/officeDocument/2006/relationships/hyperlink" Target="https://menukuliner.net/menu/286760/common-grounds-citywalk" TargetMode="External"/><Relationship Id="rId76" Type="http://schemas.openxmlformats.org/officeDocument/2006/relationships/hyperlink" Target="https://www.smartbrief.com/original/poll-most-diners-stay-about-hour" TargetMode="External"/><Relationship Id="rId35" Type="http://schemas.openxmlformats.org/officeDocument/2006/relationships/hyperlink" Target="https://pos.toasttab.com/blog/on-the-line/average-restaurant-square-footage" TargetMode="External"/><Relationship Id="rId34" Type="http://schemas.openxmlformats.org/officeDocument/2006/relationships/hyperlink" Target="https://blog.cove.id/pasta-jakarta/" TargetMode="External"/><Relationship Id="rId71" Type="http://schemas.openxmlformats.org/officeDocument/2006/relationships/hyperlink" Target="https://longforecast.com/usd-to-idr-forecast-today" TargetMode="External"/><Relationship Id="rId70" Type="http://schemas.openxmlformats.org/officeDocument/2006/relationships/hyperlink" Target="https://wise.com/gb/currency-converter/gbp-to-idr-rate" TargetMode="External"/><Relationship Id="rId37" Type="http://schemas.openxmlformats.org/officeDocument/2006/relationships/hyperlink" Target="https://ecommons.cornell.edu/entities/publication/779ca191-03a2-4abe-8e4b-2de7fdd4f7ff" TargetMode="External"/><Relationship Id="rId36" Type="http://schemas.openxmlformats.org/officeDocument/2006/relationships/hyperlink" Target="https://daniels.du.edu/assets/research-hg-parsa-part-1-2015.pdf" TargetMode="External"/><Relationship Id="rId39" Type="http://schemas.openxmlformats.org/officeDocument/2006/relationships/hyperlink" Target="http://www.publishingindia.com/GetBrochure.aspx?query=UERGQnJvY2h1cmVzfC82NC5wZGZ8LzY0LnBkZg%3D%3D" TargetMode="External"/><Relationship Id="rId38" Type="http://schemas.openxmlformats.org/officeDocument/2006/relationships/hyperlink" Target="https://journals.sagepub.com/doi/10.1177/001088049904000315" TargetMode="External"/><Relationship Id="rId62" Type="http://schemas.openxmlformats.org/officeDocument/2006/relationships/hyperlink" Target="https://pages.stern.nyu.edu/~adamodar/New_Home_Page/datafile/ctryprem.html" TargetMode="External"/><Relationship Id="rId61" Type="http://schemas.openxmlformats.org/officeDocument/2006/relationships/hyperlink" Target="https://tradingeconomics.com/indonesia/government-bond-yield" TargetMode="External"/><Relationship Id="rId20" Type="http://schemas.openxmlformats.org/officeDocument/2006/relationships/hyperlink" Target="https://www.flokq.com/ruko-sewa-senopati" TargetMode="External"/><Relationship Id="rId64" Type="http://schemas.openxmlformats.org/officeDocument/2006/relationships/hyperlink" Target="https://xpnd.co.id/blogs/pt-pma-establishment-cost-2026/" TargetMode="External"/><Relationship Id="rId63" Type="http://schemas.openxmlformats.org/officeDocument/2006/relationships/hyperlink" Target="https://rabbet.com/blog/real-estate-development-how-much-contingency-do-i-need" TargetMode="External"/><Relationship Id="rId22" Type="http://schemas.openxmlformats.org/officeDocument/2006/relationships/hyperlink" Target="https://www.rumah123.com/en/rent/jakarta-selatan/scbd/commercial-space/" TargetMode="External"/><Relationship Id="rId66" Type="http://schemas.openxmlformats.org/officeDocument/2006/relationships/hyperlink" Target="https://www.hashmicro.com/id/blog/review-aplikasi-moka-pos/" TargetMode="External"/><Relationship Id="rId21" Type="http://schemas.openxmlformats.org/officeDocument/2006/relationships/hyperlink" Target="https://www.pinhome.id/sewa/ruko/area/jalan-senopati-jakarta-selatan/properti" TargetMode="External"/><Relationship Id="rId65" Type="http://schemas.openxmlformats.org/officeDocument/2006/relationships/hyperlink" Target="https://www.cnnindonesia.com/ekonomi/20220316194306-92-772301/daftar-tarif-sertifikasi-halal-kemenag" TargetMode="External"/><Relationship Id="rId24" Type="http://schemas.openxmlformats.org/officeDocument/2006/relationships/hyperlink" Target="https://www.flokq.com/ruko-sewa-kuningan" TargetMode="External"/><Relationship Id="rId68" Type="http://schemas.openxmlformats.org/officeDocument/2006/relationships/hyperlink" Target="https://www.sitegems.etailsystems.com/buy/la-marzocco-linea-pb-2-group-av_1571.htm" TargetMode="External"/><Relationship Id="rId23" Type="http://schemas.openxmlformats.org/officeDocument/2006/relationships/hyperlink" Target="https://www.rumah123.com/en/property/jakarta-selatan-scbd/disewakan-space-utk-resto-bar-rooftop-di-pacific-century-tower-scbd-csr3740301/" TargetMode="External"/><Relationship Id="rId67" Type="http://schemas.openxmlformats.org/officeDocument/2006/relationships/hyperlink" Target="https://www.caterkwik.co.uk/shop/shop-by-brand/rational/rational-icombi-pro/" TargetMode="External"/><Relationship Id="rId60" Type="http://schemas.openxmlformats.org/officeDocument/2006/relationships/hyperlink" Target="https://www.pajak.go.id/id/artikel/membangun-keadilan-dan-kemudahan-dalam-penghitungan-penyusutan-dan-amortisasi" TargetMode="External"/><Relationship Id="rId26" Type="http://schemas.openxmlformats.org/officeDocument/2006/relationships/hyperlink" Target="https://www.brighton.co.id/disewa/ruko/jakarta-utara/pantai-indah-kapuk" TargetMode="External"/><Relationship Id="rId25" Type="http://schemas.openxmlformats.org/officeDocument/2006/relationships/hyperlink" Target="https://www.flokq.com/ruko-sewa-kemang" TargetMode="External"/><Relationship Id="rId69" Type="http://schemas.openxmlformats.org/officeDocument/2006/relationships/hyperlink" Target="https://majestycoffee.com/collections/mahlkonig" TargetMode="External"/><Relationship Id="rId28" Type="http://schemas.openxmlformats.org/officeDocument/2006/relationships/hyperlink" Target="https://www.jll.com/en-sea/insights/market-dynamics/jakarta-retail" TargetMode="External"/><Relationship Id="rId27" Type="http://schemas.openxmlformats.org/officeDocument/2006/relationships/hyperlink" Target="https://realestateasia.com/commercial-retail/news/will-jakarta-retail-rents-increase-year" TargetMode="External"/><Relationship Id="rId29" Type="http://schemas.openxmlformats.org/officeDocument/2006/relationships/hyperlink" Target="https://www.cbre.com/insights/reports/jakarta-retail-market-outlook-q1-2026" TargetMode="External"/><Relationship Id="rId51" Type="http://schemas.openxmlformats.org/officeDocument/2006/relationships/hyperlink" Target="https://pos.toasttab.com/vi-us/blog/on-the-line/restaurant-marketing-budget" TargetMode="External"/><Relationship Id="rId50" Type="http://schemas.openxmlformats.org/officeDocument/2006/relationships/hyperlink" Target="https://restaurantbusinessonline.com/advice-guy/how-figure-out-prime-cost-occupancy-percentages" TargetMode="External"/><Relationship Id="rId53" Type="http://schemas.openxmlformats.org/officeDocument/2006/relationships/hyperlink" Target="https://gitnux.org/food-waste-in-restaurants-statistics/" TargetMode="External"/><Relationship Id="rId52" Type="http://schemas.openxmlformats.org/officeDocument/2006/relationships/hyperlink" Target="https://www.getresq.com/blog/restaurant-maintenance-costs" TargetMode="External"/><Relationship Id="rId11" Type="http://schemas.openxmlformats.org/officeDocument/2006/relationships/hyperlink" Target="https://www.cnbcindonesia.com/news/20260901103232-4-763915/daftar-resmi-tarif-listrik-per-kwh-pelanggan-pln-per-1-september-2026" TargetMode="External"/><Relationship Id="rId55" Type="http://schemas.openxmlformats.org/officeDocument/2006/relationships/hyperlink" Target="https://www.cnbcindonesia.com/news/20250502131201-4-630428/pam-jaya-pasang-tarif-air-terjangkau-rp-1000-per-meter-kubik" TargetMode="External"/><Relationship Id="rId10" Type="http://schemas.openxmlformats.org/officeDocument/2006/relationships/hyperlink" Target="https://splusa.id/biaya-desain-interior-cafe/" TargetMode="External"/><Relationship Id="rId54" Type="http://schemas.openxmlformats.org/officeDocument/2006/relationships/hyperlink" Target="https://portfoliomanager.energystar.gov/pdf/reference/US%20National%20Median%20Table.pdf" TargetMode="External"/><Relationship Id="rId13" Type="http://schemas.openxmlformats.org/officeDocument/2006/relationships/hyperlink" Target="https://www.bfi.co.id/en/blog/pajak-makan-di-restoran-berdasarkan-provinsi" TargetMode="External"/><Relationship Id="rId57" Type="http://schemas.openxmlformats.org/officeDocument/2006/relationships/hyperlink" Target="https://www.bloombergtechnoz.com/detail-news/115267/kapan-lebaran-2027-ini-prediksi-awal-ramadan-dan-idulfitri" TargetMode="External"/><Relationship Id="rId12" Type="http://schemas.openxmlformats.org/officeDocument/2006/relationships/hyperlink" Target="https://menuthere.com/delivery-app-commission/grabfood-indonesia" TargetMode="External"/><Relationship Id="rId56" Type="http://schemas.openxmlformats.org/officeDocument/2006/relationships/hyperlink" Target="https://ekonomi.bisnis.com/read/20260719/44/1989129/turun-cek-daftar-harga-bright-gas-pertamina-terbaru-19-juli-2026" TargetMode="External"/><Relationship Id="rId15" Type="http://schemas.openxmlformats.org/officeDocument/2006/relationships/hyperlink" Target="https://sevenstonesindonesia.com/blog/indonesia-quietly-rewrites-the-rules-for-small-business-taxation-and-pt-pma-owners-need-to-pay-attention/" TargetMode="External"/><Relationship Id="rId59" Type="http://schemas.openxmlformats.org/officeDocument/2006/relationships/hyperlink" Target="https://www.sec.gov/Archives/edgar/data/1617977/000156459019005749/habt-10k_20181225.htm" TargetMode="External"/><Relationship Id="rId14" Type="http://schemas.openxmlformats.org/officeDocument/2006/relationships/hyperlink" Target="https://www.online-pajak.com/pajak/pph-sewa-bangunan/" TargetMode="External"/><Relationship Id="rId58" Type="http://schemas.openxmlformats.org/officeDocument/2006/relationships/hyperlink" Target="https://www.thejakartapost.com/news/2018/05/13/fb-players-gear-up-for-ramadhan.html" TargetMode="External"/><Relationship Id="rId17" Type="http://schemas.openxmlformats.org/officeDocument/2006/relationships/hyperlink" Target="https://finansial.bisnis.com/read/20260923/11/2006538/alasan-bank-indonesia-tahan-bi-rate-september-2026-di-575" TargetMode="External"/><Relationship Id="rId16" Type="http://schemas.openxmlformats.org/officeDocument/2006/relationships/hyperlink" Target="https://wise.com/us/currency-converter/chf-to-idr-rate" TargetMode="External"/><Relationship Id="rId19" Type="http://schemas.openxmlformats.org/officeDocument/2006/relationships/hyperlink" Target="https://www.bca.co.id/en/informasi/Suku-Bunga-Dasar-Kredit" TargetMode="External"/><Relationship Id="rId18" Type="http://schemas.openxmlformats.org/officeDocument/2006/relationships/hyperlink" Target="https://www.rancakmedia.com/finance/101033/indonesias-september-2026-inflation-3-28-stays-within-bi-target/"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110.0"/>
    <col customWidth="1" min="3" max="26" width="8.71"/>
  </cols>
  <sheetData>
    <row r="1">
      <c r="A1" s="1" t="s">
        <v>0</v>
      </c>
    </row>
    <row r="2">
      <c r="A2" s="2" t="s">
        <v>2</v>
      </c>
    </row>
    <row r="4">
      <c r="A4" s="3" t="s">
        <v>4</v>
      </c>
      <c r="B4" s="5" t="s">
        <v>6</v>
      </c>
    </row>
    <row r="5">
      <c r="A5" s="3"/>
      <c r="B5" s="7"/>
    </row>
    <row r="6" ht="31.5" customHeight="1">
      <c r="A6" s="3" t="s">
        <v>11</v>
      </c>
      <c r="B6" s="9" t="s">
        <v>12</v>
      </c>
    </row>
    <row r="7" ht="31.5" customHeight="1">
      <c r="A7" s="3" t="s">
        <v>13</v>
      </c>
      <c r="B7" s="9" t="s">
        <v>14</v>
      </c>
    </row>
    <row r="8" ht="31.5" customHeight="1">
      <c r="A8" s="3" t="s">
        <v>15</v>
      </c>
      <c r="B8" s="9" t="s">
        <v>16</v>
      </c>
    </row>
    <row r="9" ht="31.5" customHeight="1">
      <c r="A9" s="3" t="s">
        <v>17</v>
      </c>
      <c r="B9" s="9" t="s">
        <v>18</v>
      </c>
    </row>
    <row r="10" ht="31.5" customHeight="1">
      <c r="A10" s="3" t="s">
        <v>19</v>
      </c>
      <c r="B10" s="9" t="s">
        <v>20</v>
      </c>
    </row>
    <row r="11" ht="31.5" customHeight="1">
      <c r="A11" s="3" t="s">
        <v>21</v>
      </c>
      <c r="B11" s="9" t="s">
        <v>22</v>
      </c>
    </row>
    <row r="12" ht="31.5" customHeight="1">
      <c r="A12" s="3" t="s">
        <v>23</v>
      </c>
      <c r="B12" s="9" t="s">
        <v>24</v>
      </c>
    </row>
    <row r="13" ht="31.5" customHeight="1">
      <c r="A13" s="3" t="s">
        <v>25</v>
      </c>
      <c r="B13" s="9" t="s">
        <v>27</v>
      </c>
    </row>
    <row r="14" ht="66.0" customHeight="1">
      <c r="A14" s="10" t="s">
        <v>29</v>
      </c>
      <c r="B14" s="9" t="s">
        <v>30</v>
      </c>
    </row>
    <row r="15">
      <c r="B15" s="7"/>
    </row>
    <row r="16">
      <c r="B16" s="7"/>
    </row>
    <row r="17">
      <c r="B17" s="7"/>
    </row>
    <row r="18">
      <c r="B18" s="7"/>
    </row>
    <row r="19">
      <c r="B19" s="7"/>
    </row>
    <row r="20">
      <c r="B20" s="7"/>
    </row>
    <row r="21" ht="15.75" customHeight="1">
      <c r="B21" s="7"/>
    </row>
    <row r="22" ht="15.75" customHeight="1">
      <c r="B22" s="7"/>
    </row>
    <row r="23" ht="15.75" customHeight="1">
      <c r="B23" s="7"/>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sheetViews>
  <sheetFormatPr customHeight="1" defaultColWidth="14.43" defaultRowHeight="15.0"/>
  <cols>
    <col customWidth="1" min="1" max="1" width="50.0"/>
    <col customWidth="1" min="2" max="2" width="18.0"/>
    <col customWidth="1" min="3" max="3" width="16.0"/>
    <col customWidth="1" min="4" max="4" width="7.14"/>
    <col customWidth="1" min="5" max="5" width="36.0"/>
    <col customWidth="1" min="6" max="8" width="16.0"/>
    <col customWidth="1" min="9" max="26" width="8.71"/>
  </cols>
  <sheetData>
    <row r="1" ht="17.25" customHeight="1">
      <c r="A1" s="1" t="s">
        <v>355</v>
      </c>
    </row>
    <row r="2" ht="15.0" customHeight="1">
      <c r="A2" s="2" t="s">
        <v>360</v>
      </c>
    </row>
    <row r="3">
      <c r="A3" s="11" t="s">
        <v>362</v>
      </c>
      <c r="B3" s="8" t="s">
        <v>367</v>
      </c>
      <c r="C3" s="8"/>
      <c r="D3" s="8"/>
      <c r="E3" s="8"/>
      <c r="F3" s="8"/>
    </row>
    <row r="4">
      <c r="B4" s="8" t="s">
        <v>370</v>
      </c>
      <c r="C4" s="8"/>
      <c r="D4" s="8"/>
      <c r="E4" s="8"/>
      <c r="F4" s="8"/>
    </row>
    <row r="5" ht="15.0" customHeight="1">
      <c r="A5" s="3" t="s">
        <v>373</v>
      </c>
      <c r="B5" s="51" t="str">
        <f>Inputs!$E$4</f>
        <v>Base</v>
      </c>
    </row>
    <row r="7" ht="15.0" customHeight="1">
      <c r="A7" s="12" t="s">
        <v>383</v>
      </c>
      <c r="B7" s="12" t="s">
        <v>210</v>
      </c>
      <c r="C7" s="12" t="s">
        <v>388</v>
      </c>
    </row>
    <row r="8" ht="15.0" customHeight="1">
      <c r="A8" s="13" t="s">
        <v>390</v>
      </c>
      <c r="B8" s="41">
        <f>'CAPEX (Buy)'!$H$37</f>
        <v>5092222453</v>
      </c>
      <c r="C8" s="52">
        <f>B8/Inputs!$H$10</f>
        <v>235751.0395</v>
      </c>
    </row>
    <row r="9" ht="15.0" customHeight="1">
      <c r="A9" s="13" t="s">
        <v>404</v>
      </c>
      <c r="B9" s="41">
        <f>Funding!$B$8</f>
        <v>4320000000</v>
      </c>
      <c r="C9" s="52">
        <f>B9/Inputs!$H$10</f>
        <v>200000</v>
      </c>
    </row>
    <row r="10" ht="15.0" customHeight="1">
      <c r="A10" s="13" t="s">
        <v>413</v>
      </c>
      <c r="B10" s="41">
        <f>Funding!$B$9</f>
        <v>772222453</v>
      </c>
      <c r="C10" s="52">
        <f>B10/Inputs!$H$10</f>
        <v>35751.03949</v>
      </c>
    </row>
    <row r="11" ht="15.0" customHeight="1">
      <c r="A11" s="13" t="s">
        <v>437</v>
      </c>
      <c r="B11" s="41">
        <f>Funding!$B$10</f>
        <v>772222453</v>
      </c>
      <c r="C11" s="52">
        <f>B11/Inputs!$H$10</f>
        <v>35751.03949</v>
      </c>
    </row>
    <row r="12" ht="15.0" customHeight="1">
      <c r="A12" s="13" t="s">
        <v>447</v>
      </c>
      <c r="B12" s="41">
        <f>Scenarios!$F$13</f>
        <v>735630000</v>
      </c>
      <c r="C12" s="52">
        <f>B12/Inputs!$H$10</f>
        <v>34056.94444</v>
      </c>
    </row>
    <row r="13" ht="15.0" customHeight="1">
      <c r="A13" s="13" t="s">
        <v>493</v>
      </c>
      <c r="B13" s="41">
        <f>Scenarios!$F$34</f>
        <v>153269419.8</v>
      </c>
      <c r="C13" s="52">
        <f>B13/Inputs!$H$10</f>
        <v>7095.806473</v>
      </c>
    </row>
    <row r="14" ht="15.0" customHeight="1">
      <c r="A14" s="13" t="s">
        <v>497</v>
      </c>
      <c r="B14" s="41">
        <f>Scenarios!$F$43</f>
        <v>15697685.99</v>
      </c>
      <c r="C14" s="52">
        <f>B14/Inputs!$H$10</f>
        <v>726.7447216</v>
      </c>
    </row>
    <row r="15" ht="15.0" customHeight="1">
      <c r="A15" s="13" t="s">
        <v>506</v>
      </c>
      <c r="B15" s="41">
        <f>Annual!$C$5</f>
        <v>7295392080</v>
      </c>
      <c r="C15" s="52">
        <f>B15/Inputs!$H$10</f>
        <v>337749.6333</v>
      </c>
    </row>
    <row r="16" ht="15.0" customHeight="1">
      <c r="A16" s="13" t="s">
        <v>513</v>
      </c>
      <c r="B16" s="41">
        <f>Annual!$C$11</f>
        <v>952062381.2</v>
      </c>
      <c r="C16" s="52">
        <f>B16/Inputs!$H$10</f>
        <v>44076.96209</v>
      </c>
    </row>
    <row r="17" ht="15.0" customHeight="1">
      <c r="A17" s="13" t="s">
        <v>522</v>
      </c>
      <c r="B17" s="41">
        <f>Annual!$E$11</f>
        <v>0</v>
      </c>
      <c r="C17" s="52">
        <f>B17/Inputs!$H$10</f>
        <v>0</v>
      </c>
    </row>
    <row r="18" ht="15.0" customHeight="1">
      <c r="A18" s="13" t="s">
        <v>525</v>
      </c>
      <c r="B18" s="41">
        <f>MIN(PnL_Monthly!$C$49:$BJ$49)</f>
        <v>684322053</v>
      </c>
      <c r="C18" s="52">
        <f>B18/Inputs!$H$10</f>
        <v>31681.57653</v>
      </c>
    </row>
    <row r="19" ht="15.0" customHeight="1">
      <c r="A19" s="13" t="s">
        <v>538</v>
      </c>
      <c r="B19" s="41">
        <f>Annual!$C$31</f>
        <v>-3791092481</v>
      </c>
      <c r="C19" s="52">
        <f>B19/Inputs!$H$10</f>
        <v>-175513.5408</v>
      </c>
    </row>
    <row r="20" ht="15.0" customHeight="1">
      <c r="A20" s="13" t="s">
        <v>551</v>
      </c>
      <c r="B20" s="43">
        <f>Scenarios!$F$45</f>
        <v>128.0346314</v>
      </c>
    </row>
    <row r="21" ht="15.0" customHeight="1">
      <c r="A21" s="13" t="s">
        <v>555</v>
      </c>
      <c r="B21" s="43">
        <f>Scenarios!$F$6</f>
        <v>200</v>
      </c>
    </row>
    <row r="22" ht="15.0" customHeight="1">
      <c r="A22" s="13" t="s">
        <v>559</v>
      </c>
      <c r="B22" s="56">
        <f>Scenarios!$F$35</f>
        <v>0.2083512361</v>
      </c>
    </row>
    <row r="23" ht="15.0" customHeight="1">
      <c r="A23" s="13" t="s">
        <v>564</v>
      </c>
      <c r="B23" s="56">
        <f>Scenarios!$F$39</f>
        <v>0.5194166584</v>
      </c>
    </row>
    <row r="24" ht="15.0" customHeight="1">
      <c r="A24" s="13" t="s">
        <v>570</v>
      </c>
      <c r="B24" s="56">
        <f>Scenarios!$F$40</f>
        <v>0.05134948106</v>
      </c>
    </row>
    <row r="25" ht="15.0" customHeight="1">
      <c r="A25" s="13" t="s">
        <v>575</v>
      </c>
      <c r="B25" s="43" t="str">
        <f>IF(MIN(PnL_Monthly!$C$53:$BJ$53)=0,"&gt; 60 months",MIN(PnL_Monthly!$C$53:$BJ$53))</f>
        <v>&gt; 60 months</v>
      </c>
    </row>
    <row r="26" ht="15.0" customHeight="1">
      <c r="A26" s="13" t="s">
        <v>584</v>
      </c>
      <c r="B26" s="56">
        <f>Annual!$C$30</f>
        <v>-0.4815960856</v>
      </c>
    </row>
    <row r="27" ht="15.0" customHeight="1">
      <c r="A27" s="13" t="s">
        <v>589</v>
      </c>
      <c r="B27" s="58" t="str">
        <f>Funding!$B$23</f>
        <v>OK – equity covers paid-up capital</v>
      </c>
    </row>
    <row r="28" ht="15.0" customHeight="1">
      <c r="A28" s="13" t="s">
        <v>596</v>
      </c>
      <c r="B28" s="43">
        <f>Revenue!$C$5</f>
        <v>60</v>
      </c>
    </row>
    <row r="29" ht="15.75" customHeight="1"/>
    <row r="30" ht="34.5" customHeight="1">
      <c r="B30" s="12" t="s">
        <v>604</v>
      </c>
      <c r="C30" s="12" t="s">
        <v>59</v>
      </c>
      <c r="D30" s="12" t="s">
        <v>60</v>
      </c>
      <c r="E30" s="12" t="s">
        <v>61</v>
      </c>
    </row>
    <row r="31" ht="15.0" customHeight="1">
      <c r="A31" s="13" t="s">
        <v>609</v>
      </c>
      <c r="B31" s="41">
        <f>Scenarios!$C$13</f>
        <v>481770000</v>
      </c>
      <c r="C31" s="41">
        <f>Scenarios!$D$13</f>
        <v>735630000</v>
      </c>
      <c r="D31" s="41">
        <f>Scenarios!$E$13</f>
        <v>1083805000</v>
      </c>
    </row>
    <row r="32" ht="15.0" customHeight="1">
      <c r="A32" s="13" t="s">
        <v>625</v>
      </c>
      <c r="B32" s="41">
        <f>Scenarios!$C$34</f>
        <v>-89414522.91</v>
      </c>
      <c r="C32" s="41">
        <f>Scenarios!$D$34</f>
        <v>153269419.8</v>
      </c>
      <c r="D32" s="41">
        <f>Scenarios!$E$34</f>
        <v>430124853.3</v>
      </c>
    </row>
    <row r="33" ht="15.0" customHeight="1">
      <c r="A33" s="13" t="s">
        <v>638</v>
      </c>
      <c r="B33" s="56">
        <f>Scenarios!$C$35</f>
        <v>-0.1855958713</v>
      </c>
      <c r="C33" s="56">
        <f>Scenarios!$D$35</f>
        <v>0.2083512361</v>
      </c>
      <c r="D33" s="56">
        <f>Scenarios!$E$35</f>
        <v>0.3968655369</v>
      </c>
    </row>
    <row r="34" ht="15.0" customHeight="1">
      <c r="A34" s="13" t="s">
        <v>648</v>
      </c>
      <c r="B34" s="41">
        <f>Scenarios!$C$43</f>
        <v>21770305.4</v>
      </c>
      <c r="C34" s="41">
        <f>Scenarios!$D$43</f>
        <v>15697685.99</v>
      </c>
      <c r="D34" s="41">
        <f>Scenarios!$E$43</f>
        <v>13194871.87</v>
      </c>
    </row>
    <row r="35" ht="15.0" customHeight="1">
      <c r="A35" s="13" t="s">
        <v>657</v>
      </c>
      <c r="B35" s="43">
        <f>Scenarios!$C$45</f>
        <v>210.1249976</v>
      </c>
      <c r="C35" s="43">
        <f>Scenarios!$D$45</f>
        <v>128.0346314</v>
      </c>
      <c r="D35" s="43">
        <f>Scenarios!$E$45</f>
        <v>93.13554539</v>
      </c>
    </row>
    <row r="36" ht="15.0" customHeight="1">
      <c r="A36" s="13" t="s">
        <v>673</v>
      </c>
      <c r="B36" s="52">
        <f>Scenarios!$C$54</f>
        <v>363572.463</v>
      </c>
      <c r="C36" s="52">
        <f>Scenarios!$D$54</f>
        <v>235751.0395</v>
      </c>
      <c r="D36" s="52">
        <f>Scenarios!$E$54</f>
        <v>194355.4721</v>
      </c>
    </row>
    <row r="37" ht="15.0" customHeight="1">
      <c r="A37" s="13" t="s">
        <v>678</v>
      </c>
      <c r="B37" s="52">
        <f>Scenarios!$C$55</f>
        <v>163572.463</v>
      </c>
      <c r="C37" s="52">
        <f>Scenarios!$D$55</f>
        <v>35751.03949</v>
      </c>
      <c r="D37" s="52">
        <f>Scenarios!$E$55</f>
        <v>-5644.527925</v>
      </c>
    </row>
    <row r="38" ht="15.0" customHeight="1">
      <c r="A38" s="13" t="s">
        <v>687</v>
      </c>
      <c r="B38" s="74" t="str">
        <f>Scenarios!$C$56</f>
        <v>never</v>
      </c>
      <c r="C38" s="74">
        <f>Scenarios!$D$56</f>
        <v>3.549572126</v>
      </c>
      <c r="D38" s="74">
        <f>Scenarios!$E$56</f>
        <v>1.086197764</v>
      </c>
    </row>
    <row r="39" ht="15.75" customHeight="1"/>
    <row r="40" ht="15.0" customHeight="1">
      <c r="A40" s="3" t="s">
        <v>700</v>
      </c>
    </row>
    <row r="41" ht="15.0" customHeight="1">
      <c r="A41" s="13" t="s">
        <v>702</v>
      </c>
      <c r="B41" s="58" t="str">
        <f>Scenarios!$F$58</f>
        <v>OK</v>
      </c>
    </row>
    <row r="42" ht="15.0" customHeight="1">
      <c r="A42" s="13" t="s">
        <v>704</v>
      </c>
      <c r="B42" s="58" t="str">
        <f>Scenarios!$F$59</f>
        <v>OK</v>
      </c>
    </row>
    <row r="43" ht="15.0" customHeight="1">
      <c r="A43" s="13" t="s">
        <v>710</v>
      </c>
      <c r="B43" s="58" t="str">
        <f>IF(MIN(PnL_Monthly!$C$49:$BJ$49)&gt;=0,"OK","Cash goes negative – increase WC reserve / funding")</f>
        <v>OK</v>
      </c>
    </row>
    <row r="44" ht="15.0" customHeight="1">
      <c r="A44" s="13" t="s">
        <v>715</v>
      </c>
      <c r="B44" s="58" t="str">
        <f>IF(Funding!$B$11&gt;0,"Need "&amp;TEXT(Funding!$C$11,"#,##0")&amp;" CHF more","OK")</f>
        <v>OK</v>
      </c>
    </row>
    <row r="45" ht="15.0" customHeight="1">
      <c r="A45" s="13" t="s">
        <v>720</v>
      </c>
      <c r="B45" s="58" t="str">
        <f>IF(COUNTIF(Staffing!$E$6:$E$14,"Below UMP!")&gt;0,"Some roles below UMP","OK")</f>
        <v>OK</v>
      </c>
    </row>
    <row r="46" ht="15.0" customHeight="1">
      <c r="A46" s="13" t="s">
        <v>725</v>
      </c>
      <c r="B46" s="58" t="str">
        <f>Revenue!$E$26</f>
        <v>OK – demand fits seat capacity</v>
      </c>
    </row>
    <row r="47" ht="15.0" customHeight="1">
      <c r="A47" s="13" t="s">
        <v>729</v>
      </c>
      <c r="B47" s="58" t="str">
        <f>Menu!$I$30</f>
        <v>OK</v>
      </c>
    </row>
    <row r="48" ht="15.0" customHeight="1">
      <c r="A48" s="13" t="s">
        <v>732</v>
      </c>
      <c r="B48" s="58" t="str">
        <f>IF(ABS(AVERAGE(Inputs!$H$92:$H$103)-1)&lt;0.02,"OK","Average "&amp;TEXT(AVERAGE(Inputs!$H$92:$H$103),"0.00"))</f>
        <v>OK</v>
      </c>
    </row>
    <row r="49" ht="15.75" customHeight="1"/>
    <row r="50" ht="15.75" customHeight="1"/>
    <row r="51" ht="15.75" customHeight="1">
      <c r="A51" s="60" t="s">
        <v>738</v>
      </c>
    </row>
    <row r="52" ht="27.0" customHeight="1">
      <c r="A52" s="15" t="s">
        <v>624</v>
      </c>
      <c r="B52" s="15" t="s">
        <v>631</v>
      </c>
      <c r="C52" s="61" t="s">
        <v>633</v>
      </c>
      <c r="D52" s="62"/>
      <c r="E52" s="63"/>
      <c r="F52" s="61" t="s">
        <v>636</v>
      </c>
      <c r="G52" s="62"/>
      <c r="H52" s="62"/>
      <c r="I52" s="62"/>
      <c r="J52" s="62"/>
      <c r="K52" s="62"/>
      <c r="L52" s="62"/>
      <c r="M52" s="63"/>
      <c r="N52" s="61" t="s">
        <v>69</v>
      </c>
      <c r="O52" s="62"/>
      <c r="P52" s="63"/>
    </row>
    <row r="53" ht="27.0" customHeight="1">
      <c r="A53" s="80" t="s">
        <v>740</v>
      </c>
      <c r="B53" s="68" t="s">
        <v>665</v>
      </c>
      <c r="C53" s="64" t="s">
        <v>741</v>
      </c>
      <c r="D53" s="65"/>
      <c r="E53" s="66"/>
      <c r="F53" s="64" t="s">
        <v>742</v>
      </c>
      <c r="G53" s="65"/>
      <c r="H53" s="65"/>
      <c r="I53" s="65"/>
      <c r="J53" s="65"/>
      <c r="K53" s="65"/>
      <c r="L53" s="65"/>
      <c r="M53" s="66"/>
      <c r="N53" s="78" t="s">
        <v>680</v>
      </c>
      <c r="O53" s="65"/>
      <c r="P53" s="66"/>
    </row>
    <row r="54" ht="15.0" customHeight="1">
      <c r="A54" s="80" t="s">
        <v>743</v>
      </c>
      <c r="B54" s="81">
        <f>Dashboard!B8</f>
        <v>5092222453</v>
      </c>
      <c r="C54" s="64" t="s">
        <v>744</v>
      </c>
      <c r="D54" s="65"/>
      <c r="E54" s="66"/>
      <c r="F54" s="64" t="s">
        <v>745</v>
      </c>
      <c r="G54" s="65"/>
      <c r="H54" s="65"/>
      <c r="I54" s="65"/>
      <c r="J54" s="65"/>
      <c r="K54" s="65"/>
      <c r="L54" s="65"/>
      <c r="M54" s="66"/>
      <c r="N54" s="72" t="s">
        <v>176</v>
      </c>
      <c r="O54" s="65"/>
      <c r="P54" s="66"/>
    </row>
    <row r="55" ht="27.0" customHeight="1">
      <c r="A55" s="80" t="s">
        <v>746</v>
      </c>
      <c r="B55" s="81">
        <f>Dashboard!B12</f>
        <v>735630000</v>
      </c>
      <c r="C55" s="64" t="s">
        <v>747</v>
      </c>
      <c r="D55" s="65"/>
      <c r="E55" s="66"/>
      <c r="F55" s="64" t="s">
        <v>748</v>
      </c>
      <c r="G55" s="65"/>
      <c r="H55" s="65"/>
      <c r="I55" s="65"/>
      <c r="J55" s="65"/>
      <c r="K55" s="65"/>
      <c r="L55" s="65"/>
      <c r="M55" s="66"/>
      <c r="N55" s="75" t="s">
        <v>91</v>
      </c>
      <c r="O55" s="65"/>
      <c r="P55" s="66"/>
    </row>
    <row r="56" ht="15.0" customHeight="1">
      <c r="A56" s="80" t="s">
        <v>749</v>
      </c>
      <c r="B56" s="81">
        <f>Dashboard!B13</f>
        <v>153269419.8</v>
      </c>
      <c r="C56" s="64" t="s">
        <v>750</v>
      </c>
      <c r="D56" s="65"/>
      <c r="E56" s="66"/>
      <c r="F56" s="64" t="s">
        <v>751</v>
      </c>
      <c r="G56" s="65"/>
      <c r="H56" s="65"/>
      <c r="I56" s="65"/>
      <c r="J56" s="65"/>
      <c r="K56" s="65"/>
      <c r="L56" s="65"/>
      <c r="M56" s="66"/>
      <c r="N56" s="72" t="s">
        <v>176</v>
      </c>
      <c r="O56" s="65"/>
      <c r="P56" s="66"/>
    </row>
    <row r="57" ht="15.0" customHeight="1">
      <c r="A57" s="80" t="s">
        <v>752</v>
      </c>
      <c r="B57" s="82" t="str">
        <f>Dashboard!B27</f>
        <v>OK – equity covers paid-up capital</v>
      </c>
      <c r="C57" s="64" t="s">
        <v>753</v>
      </c>
      <c r="D57" s="65"/>
      <c r="E57" s="66"/>
      <c r="F57" s="64" t="s">
        <v>754</v>
      </c>
      <c r="G57" s="65"/>
      <c r="H57" s="65"/>
      <c r="I57" s="65"/>
      <c r="J57" s="65"/>
      <c r="K57" s="65"/>
      <c r="L57" s="65"/>
      <c r="M57" s="66"/>
      <c r="N57" s="69" t="s">
        <v>124</v>
      </c>
      <c r="O57" s="65"/>
      <c r="P57" s="66"/>
    </row>
    <row r="58" ht="15.0" customHeight="1">
      <c r="A58" s="80" t="s">
        <v>755</v>
      </c>
      <c r="B58" s="68" t="s">
        <v>665</v>
      </c>
      <c r="C58" s="64" t="s">
        <v>665</v>
      </c>
      <c r="D58" s="65"/>
      <c r="E58" s="66"/>
      <c r="F58" s="64" t="s">
        <v>756</v>
      </c>
      <c r="G58" s="65"/>
      <c r="H58" s="65"/>
      <c r="I58" s="65"/>
      <c r="J58" s="65"/>
      <c r="K58" s="65"/>
      <c r="L58" s="65"/>
      <c r="M58" s="66"/>
      <c r="N58" s="78" t="s">
        <v>153</v>
      </c>
      <c r="O58" s="65"/>
      <c r="P58" s="66"/>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F54:M54"/>
    <mergeCell ref="N54:P54"/>
    <mergeCell ref="C52:E52"/>
    <mergeCell ref="F52:M52"/>
    <mergeCell ref="N52:P52"/>
    <mergeCell ref="C53:E53"/>
    <mergeCell ref="F53:M53"/>
    <mergeCell ref="N53:P53"/>
    <mergeCell ref="C54:E54"/>
    <mergeCell ref="F57:M57"/>
    <mergeCell ref="N57:P57"/>
    <mergeCell ref="C58:E58"/>
    <mergeCell ref="F58:M58"/>
    <mergeCell ref="N58:P58"/>
    <mergeCell ref="C55:E55"/>
    <mergeCell ref="F55:M55"/>
    <mergeCell ref="N55:P55"/>
    <mergeCell ref="C56:E56"/>
    <mergeCell ref="F56:M56"/>
    <mergeCell ref="N56:P56"/>
    <mergeCell ref="C57:E57"/>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4.43" defaultRowHeight="15.0"/>
  <cols>
    <col customWidth="1" min="1" max="1" width="16.0"/>
    <col customWidth="1" min="2" max="2" width="12.0"/>
    <col customWidth="1" min="3" max="3" width="90.43"/>
    <col customWidth="1" min="4" max="4" width="12.0"/>
    <col customWidth="1" min="5" max="7" width="15.0"/>
    <col customWidth="1" min="8" max="8" width="16.0"/>
    <col customWidth="1" min="9" max="9" width="60.0"/>
    <col customWidth="1" min="10" max="10" width="10.0"/>
    <col customWidth="1" min="11" max="11" width="85.0"/>
    <col customWidth="1" min="12" max="12" width="20.0"/>
    <col customWidth="1" min="13" max="26" width="8.71"/>
  </cols>
  <sheetData>
    <row r="1" ht="17.25" customHeight="1">
      <c r="A1" s="1" t="s">
        <v>1</v>
      </c>
    </row>
    <row r="2" ht="15.0" customHeight="1">
      <c r="A2" s="2" t="s">
        <v>3</v>
      </c>
    </row>
    <row r="4" ht="15.0" customHeight="1">
      <c r="C4" s="3" t="s">
        <v>5</v>
      </c>
      <c r="D4" s="6">
        <v>2.0</v>
      </c>
      <c r="E4" s="3" t="str">
        <f>CHOOSE($D$4,"Conservative","Base","Optimistic")</f>
        <v>Base</v>
      </c>
    </row>
    <row r="5">
      <c r="A5" s="11" t="s">
        <v>32</v>
      </c>
      <c r="B5" s="8" t="s">
        <v>33</v>
      </c>
      <c r="C5" s="8"/>
      <c r="D5" s="8"/>
      <c r="E5" s="8"/>
    </row>
    <row r="6">
      <c r="B6" s="8" t="s">
        <v>39</v>
      </c>
      <c r="C6" s="8"/>
      <c r="D6" s="8"/>
      <c r="E6" s="8"/>
      <c r="F6" s="8"/>
    </row>
    <row r="7">
      <c r="B7" s="8"/>
      <c r="C7" s="8"/>
      <c r="D7" s="8"/>
      <c r="E7" s="8"/>
    </row>
    <row r="8" ht="23.25" customHeight="1">
      <c r="A8" s="12" t="s">
        <v>50</v>
      </c>
      <c r="B8" s="12" t="s">
        <v>52</v>
      </c>
      <c r="C8" s="12" t="s">
        <v>54</v>
      </c>
      <c r="D8" s="12" t="s">
        <v>57</v>
      </c>
      <c r="E8" s="12" t="s">
        <v>59</v>
      </c>
      <c r="F8" s="12" t="s">
        <v>60</v>
      </c>
      <c r="G8" s="12" t="s">
        <v>61</v>
      </c>
      <c r="H8" s="12" t="s">
        <v>62</v>
      </c>
      <c r="I8" s="12" t="s">
        <v>63</v>
      </c>
      <c r="J8" s="12" t="s">
        <v>64</v>
      </c>
      <c r="K8" s="15" t="s">
        <v>66</v>
      </c>
      <c r="L8" s="15" t="s">
        <v>69</v>
      </c>
    </row>
    <row r="9" ht="15.0" customHeight="1">
      <c r="A9" s="18" t="s">
        <v>70</v>
      </c>
      <c r="B9" s="19"/>
      <c r="C9" s="19"/>
      <c r="D9" s="19"/>
      <c r="E9" s="19"/>
      <c r="F9" s="19"/>
      <c r="G9" s="19"/>
      <c r="H9" s="19"/>
      <c r="I9" s="19"/>
      <c r="J9" s="19"/>
    </row>
    <row r="10" ht="27.0" customHeight="1">
      <c r="A10" s="20" t="s">
        <v>72</v>
      </c>
      <c r="B10" s="13" t="s">
        <v>73</v>
      </c>
      <c r="C10" s="13" t="s">
        <v>74</v>
      </c>
      <c r="D10" s="13" t="s">
        <v>75</v>
      </c>
      <c r="E10" s="21">
        <v>20500.0</v>
      </c>
      <c r="F10" s="21">
        <v>21600.0</v>
      </c>
      <c r="G10" s="21">
        <v>22500.0</v>
      </c>
      <c r="H10" s="23">
        <f t="shared" ref="H10:H18" si="1">CHOOSE($D$4,E10,F10,G10)</f>
        <v>21600</v>
      </c>
      <c r="I10" s="9" t="s">
        <v>79</v>
      </c>
      <c r="J10" s="24" t="s">
        <v>80</v>
      </c>
      <c r="K10" s="9" t="s">
        <v>81</v>
      </c>
      <c r="L10" s="25" t="s">
        <v>82</v>
      </c>
    </row>
    <row r="11" ht="27.0" customHeight="1">
      <c r="A11" s="20" t="s">
        <v>83</v>
      </c>
      <c r="B11" s="13" t="s">
        <v>84</v>
      </c>
      <c r="C11" s="13" t="s">
        <v>85</v>
      </c>
      <c r="D11" s="13" t="s">
        <v>86</v>
      </c>
      <c r="E11" s="27">
        <v>46569.0</v>
      </c>
      <c r="F11" s="27">
        <v>46569.0</v>
      </c>
      <c r="G11" s="27">
        <v>46569.0</v>
      </c>
      <c r="H11" s="28">
        <f t="shared" si="1"/>
        <v>46569</v>
      </c>
      <c r="I11" s="9" t="s">
        <v>88</v>
      </c>
      <c r="J11" s="24" t="s">
        <v>89</v>
      </c>
      <c r="K11" s="9" t="s">
        <v>90</v>
      </c>
      <c r="L11" s="29" t="s">
        <v>91</v>
      </c>
    </row>
    <row r="12" ht="27.0" customHeight="1">
      <c r="A12" s="20" t="s">
        <v>92</v>
      </c>
      <c r="B12" s="13" t="s">
        <v>84</v>
      </c>
      <c r="C12" s="13" t="s">
        <v>93</v>
      </c>
      <c r="D12" s="13" t="s">
        <v>92</v>
      </c>
      <c r="E12" s="21">
        <v>30.0</v>
      </c>
      <c r="F12" s="21">
        <v>30.0</v>
      </c>
      <c r="G12" s="21">
        <v>30.0</v>
      </c>
      <c r="H12" s="23">
        <f t="shared" si="1"/>
        <v>30</v>
      </c>
      <c r="I12" s="9" t="s">
        <v>94</v>
      </c>
      <c r="J12" s="24" t="s">
        <v>95</v>
      </c>
      <c r="K12" s="9" t="s">
        <v>96</v>
      </c>
      <c r="L12" s="29" t="s">
        <v>91</v>
      </c>
    </row>
    <row r="13" ht="27.0" customHeight="1">
      <c r="A13" s="20" t="s">
        <v>97</v>
      </c>
      <c r="B13" s="13" t="s">
        <v>73</v>
      </c>
      <c r="C13" s="13" t="s">
        <v>98</v>
      </c>
      <c r="D13" s="13" t="s">
        <v>99</v>
      </c>
      <c r="E13" s="30">
        <v>0.03</v>
      </c>
      <c r="F13" s="30">
        <v>0.04</v>
      </c>
      <c r="G13" s="30">
        <v>0.05</v>
      </c>
      <c r="H13" s="32">
        <f t="shared" si="1"/>
        <v>0.04</v>
      </c>
      <c r="I13" s="9" t="s">
        <v>100</v>
      </c>
      <c r="J13" s="24" t="s">
        <v>95</v>
      </c>
      <c r="K13" s="9" t="s">
        <v>105</v>
      </c>
      <c r="L13" s="25" t="s">
        <v>82</v>
      </c>
    </row>
    <row r="14" ht="27.0" customHeight="1">
      <c r="A14" s="20" t="s">
        <v>106</v>
      </c>
      <c r="B14" s="13" t="s">
        <v>73</v>
      </c>
      <c r="C14" s="13" t="s">
        <v>107</v>
      </c>
      <c r="D14" s="13" t="s">
        <v>99</v>
      </c>
      <c r="E14" s="30">
        <v>0.045</v>
      </c>
      <c r="F14" s="30">
        <v>0.035</v>
      </c>
      <c r="G14" s="30">
        <v>0.03</v>
      </c>
      <c r="H14" s="32">
        <f t="shared" si="1"/>
        <v>0.035</v>
      </c>
      <c r="I14" s="9" t="s">
        <v>110</v>
      </c>
      <c r="J14" s="24" t="s">
        <v>95</v>
      </c>
      <c r="K14" s="9" t="s">
        <v>111</v>
      </c>
      <c r="L14" s="25" t="s">
        <v>82</v>
      </c>
    </row>
    <row r="15" ht="15.0" customHeight="1">
      <c r="A15" s="20" t="s">
        <v>112</v>
      </c>
      <c r="B15" s="13" t="s">
        <v>73</v>
      </c>
      <c r="C15" s="13" t="s">
        <v>113</v>
      </c>
      <c r="D15" s="13" t="s">
        <v>99</v>
      </c>
      <c r="E15" s="30">
        <v>0.07</v>
      </c>
      <c r="F15" s="30">
        <v>0.062</v>
      </c>
      <c r="G15" s="30">
        <v>0.05</v>
      </c>
      <c r="H15" s="32">
        <f t="shared" si="1"/>
        <v>0.062</v>
      </c>
      <c r="I15" s="9" t="s">
        <v>117</v>
      </c>
      <c r="J15" s="24" t="s">
        <v>95</v>
      </c>
      <c r="K15" s="9" t="s">
        <v>118</v>
      </c>
      <c r="L15" s="25" t="s">
        <v>82</v>
      </c>
    </row>
    <row r="16" ht="15.0" customHeight="1">
      <c r="A16" s="20" t="s">
        <v>119</v>
      </c>
      <c r="B16" s="13" t="s">
        <v>120</v>
      </c>
      <c r="C16" s="13" t="s">
        <v>121</v>
      </c>
      <c r="D16" s="13" t="s">
        <v>99</v>
      </c>
      <c r="E16" s="30">
        <v>0.22</v>
      </c>
      <c r="F16" s="30">
        <v>0.22</v>
      </c>
      <c r="G16" s="30">
        <v>0.22</v>
      </c>
      <c r="H16" s="32">
        <f t="shared" si="1"/>
        <v>0.22</v>
      </c>
      <c r="I16" s="9" t="s">
        <v>122</v>
      </c>
      <c r="J16" s="24" t="s">
        <v>95</v>
      </c>
      <c r="K16" s="9" t="s">
        <v>123</v>
      </c>
      <c r="L16" s="25" t="s">
        <v>124</v>
      </c>
    </row>
    <row r="17" ht="15.0" customHeight="1">
      <c r="A17" s="20" t="s">
        <v>125</v>
      </c>
      <c r="B17" s="13" t="s">
        <v>120</v>
      </c>
      <c r="C17" s="13" t="s">
        <v>126</v>
      </c>
      <c r="D17" s="13" t="s">
        <v>99</v>
      </c>
      <c r="E17" s="30">
        <v>0.1</v>
      </c>
      <c r="F17" s="30">
        <v>0.1</v>
      </c>
      <c r="G17" s="30">
        <v>0.1</v>
      </c>
      <c r="H17" s="32">
        <f t="shared" si="1"/>
        <v>0.1</v>
      </c>
      <c r="I17" s="9" t="s">
        <v>128</v>
      </c>
      <c r="J17" s="24" t="s">
        <v>80</v>
      </c>
      <c r="K17" s="9" t="s">
        <v>129</v>
      </c>
      <c r="L17" s="25" t="s">
        <v>124</v>
      </c>
    </row>
    <row r="18" ht="27.0" customHeight="1">
      <c r="A18" s="20" t="s">
        <v>130</v>
      </c>
      <c r="B18" s="13" t="s">
        <v>120</v>
      </c>
      <c r="C18" s="13" t="s">
        <v>131</v>
      </c>
      <c r="D18" s="13" t="s">
        <v>99</v>
      </c>
      <c r="E18" s="30">
        <v>0.11</v>
      </c>
      <c r="F18" s="30">
        <v>0.11</v>
      </c>
      <c r="G18" s="30">
        <v>0.11</v>
      </c>
      <c r="H18" s="32">
        <f t="shared" si="1"/>
        <v>0.11</v>
      </c>
      <c r="I18" s="9" t="s">
        <v>132</v>
      </c>
      <c r="J18" s="24" t="s">
        <v>95</v>
      </c>
      <c r="K18" s="9" t="s">
        <v>133</v>
      </c>
      <c r="L18" s="25" t="s">
        <v>124</v>
      </c>
    </row>
    <row r="19" ht="15.0" customHeight="1">
      <c r="A19" s="18" t="s">
        <v>134</v>
      </c>
      <c r="B19" s="19"/>
      <c r="C19" s="19"/>
      <c r="D19" s="19"/>
      <c r="E19" s="19"/>
      <c r="F19" s="19"/>
      <c r="G19" s="19"/>
      <c r="H19" s="19"/>
      <c r="I19" s="19"/>
      <c r="J19" s="19"/>
    </row>
    <row r="20" ht="27.0" customHeight="1">
      <c r="A20" s="20" t="s">
        <v>139</v>
      </c>
      <c r="B20" s="13" t="s">
        <v>140</v>
      </c>
      <c r="C20" s="13" t="s">
        <v>142</v>
      </c>
      <c r="D20" s="13" t="s">
        <v>34</v>
      </c>
      <c r="E20" s="6">
        <v>2.0</v>
      </c>
      <c r="F20" s="6">
        <v>2.0</v>
      </c>
      <c r="G20" s="6">
        <v>2.0</v>
      </c>
      <c r="H20" s="23">
        <f t="shared" ref="H20:H31" si="2">CHOOSE($D$4,E20,F20,G20)</f>
        <v>2</v>
      </c>
      <c r="I20" s="9" t="s">
        <v>149</v>
      </c>
      <c r="J20" s="24" t="s">
        <v>150</v>
      </c>
      <c r="K20" s="9" t="s">
        <v>151</v>
      </c>
      <c r="L20" s="34" t="s">
        <v>153</v>
      </c>
    </row>
    <row r="21" ht="15.0" customHeight="1">
      <c r="A21" s="20" t="s">
        <v>154</v>
      </c>
      <c r="B21" s="13" t="s">
        <v>156</v>
      </c>
      <c r="C21" s="13" t="s">
        <v>159</v>
      </c>
      <c r="D21" s="13" t="s">
        <v>161</v>
      </c>
      <c r="E21" s="6">
        <v>150.0</v>
      </c>
      <c r="F21" s="6">
        <v>150.0</v>
      </c>
      <c r="G21" s="6">
        <v>150.0</v>
      </c>
      <c r="H21" s="23">
        <f t="shared" si="2"/>
        <v>150</v>
      </c>
      <c r="I21" s="9" t="s">
        <v>162</v>
      </c>
      <c r="J21" s="24" t="s">
        <v>150</v>
      </c>
      <c r="K21" s="9" t="s">
        <v>163</v>
      </c>
      <c r="L21" s="34" t="s">
        <v>153</v>
      </c>
    </row>
    <row r="22" ht="40.5" customHeight="1">
      <c r="A22" s="20" t="s">
        <v>164</v>
      </c>
      <c r="B22" s="13" t="s">
        <v>156</v>
      </c>
      <c r="C22" s="13" t="s">
        <v>165</v>
      </c>
      <c r="D22" s="13" t="s">
        <v>166</v>
      </c>
      <c r="E22" s="35">
        <v>1.2</v>
      </c>
      <c r="F22" s="35">
        <v>1.0</v>
      </c>
      <c r="G22" s="35">
        <v>1.0</v>
      </c>
      <c r="H22" s="37">
        <f t="shared" si="2"/>
        <v>1</v>
      </c>
      <c r="I22" s="9" t="s">
        <v>168</v>
      </c>
      <c r="J22" s="24" t="s">
        <v>89</v>
      </c>
      <c r="K22" s="9" t="s">
        <v>172</v>
      </c>
      <c r="L22" s="38" t="s">
        <v>176</v>
      </c>
    </row>
    <row r="23" ht="15.0" customHeight="1">
      <c r="A23" s="20" t="s">
        <v>183</v>
      </c>
      <c r="B23" s="13" t="s">
        <v>156</v>
      </c>
      <c r="C23" s="13" t="s">
        <v>185</v>
      </c>
      <c r="D23" s="13" t="s">
        <v>99</v>
      </c>
      <c r="E23" s="30">
        <v>0.6</v>
      </c>
      <c r="F23" s="30">
        <v>0.6</v>
      </c>
      <c r="G23" s="30">
        <v>0.6</v>
      </c>
      <c r="H23" s="32">
        <f t="shared" si="2"/>
        <v>0.6</v>
      </c>
      <c r="I23" s="9" t="s">
        <v>193</v>
      </c>
      <c r="J23" s="24" t="s">
        <v>95</v>
      </c>
      <c r="K23" s="9" t="s">
        <v>195</v>
      </c>
      <c r="L23" s="25" t="s">
        <v>124</v>
      </c>
    </row>
    <row r="24" ht="27.0" customHeight="1">
      <c r="A24" s="20" t="s">
        <v>199</v>
      </c>
      <c r="B24" s="13" t="s">
        <v>156</v>
      </c>
      <c r="C24" s="13" t="s">
        <v>201</v>
      </c>
      <c r="D24" s="13" t="s">
        <v>161</v>
      </c>
      <c r="E24" s="39">
        <v>1.5</v>
      </c>
      <c r="F24" s="39">
        <v>1.5</v>
      </c>
      <c r="G24" s="39">
        <v>1.5</v>
      </c>
      <c r="H24" s="40">
        <f t="shared" si="2"/>
        <v>1.5</v>
      </c>
      <c r="I24" s="9" t="s">
        <v>205</v>
      </c>
      <c r="J24" s="24" t="s">
        <v>95</v>
      </c>
      <c r="K24" s="9" t="s">
        <v>206</v>
      </c>
      <c r="L24" s="25" t="s">
        <v>82</v>
      </c>
    </row>
    <row r="25" ht="27.0" customHeight="1">
      <c r="A25" s="20" t="s">
        <v>207</v>
      </c>
      <c r="B25" s="13" t="s">
        <v>208</v>
      </c>
      <c r="C25" s="13" t="s">
        <v>209</v>
      </c>
      <c r="D25" s="13" t="s">
        <v>210</v>
      </c>
      <c r="E25" s="42">
        <f t="array" ref="E25">INDEX(Location!$E$8:$E$13,$H$20)</f>
        <v>351857.8656</v>
      </c>
      <c r="F25" s="42">
        <f t="array" ref="F25">INDEX(Location!$D$8:$D$13,$H$20)</f>
        <v>251828.125</v>
      </c>
      <c r="G25" s="42">
        <f t="array" ref="G25">INDEX(Location!$C$8:$C$13,$H$20)</f>
        <v>205161.3839</v>
      </c>
      <c r="H25" s="46">
        <f t="shared" si="2"/>
        <v>251828.125</v>
      </c>
      <c r="I25" s="9" t="s">
        <v>217</v>
      </c>
      <c r="J25" s="24" t="s">
        <v>89</v>
      </c>
      <c r="K25" s="9" t="s">
        <v>218</v>
      </c>
      <c r="L25" s="25" t="s">
        <v>82</v>
      </c>
    </row>
    <row r="26" ht="27.0" customHeight="1">
      <c r="A26" s="20" t="s">
        <v>219</v>
      </c>
      <c r="B26" s="13" t="s">
        <v>208</v>
      </c>
      <c r="C26" s="13" t="s">
        <v>220</v>
      </c>
      <c r="D26" s="13" t="s">
        <v>210</v>
      </c>
      <c r="E26" s="41">
        <f t="array" ref="E26">INDEX(Location!$G$8:$G$13,$H$20)</f>
        <v>0</v>
      </c>
      <c r="F26" s="41">
        <f t="array" ref="F26">INDEX(Location!$G$8:$G$13,$H$20)</f>
        <v>0</v>
      </c>
      <c r="G26" s="41">
        <f t="array" ref="G26">INDEX(Location!$G$8:$G$13,$H$20)</f>
        <v>0</v>
      </c>
      <c r="H26" s="46">
        <f t="shared" si="2"/>
        <v>0</v>
      </c>
      <c r="I26" s="9" t="s">
        <v>228</v>
      </c>
      <c r="J26" s="24" t="s">
        <v>89</v>
      </c>
      <c r="K26" s="9" t="s">
        <v>229</v>
      </c>
      <c r="L26" s="25" t="s">
        <v>82</v>
      </c>
    </row>
    <row r="27" ht="27.0" customHeight="1">
      <c r="A27" s="20" t="s">
        <v>230</v>
      </c>
      <c r="B27" s="13" t="s">
        <v>208</v>
      </c>
      <c r="C27" s="13" t="s">
        <v>231</v>
      </c>
      <c r="D27" s="13" t="s">
        <v>99</v>
      </c>
      <c r="E27" s="30">
        <v>0.111</v>
      </c>
      <c r="F27" s="30">
        <v>0.0</v>
      </c>
      <c r="G27" s="30">
        <v>0.0</v>
      </c>
      <c r="H27" s="32">
        <f t="shared" si="2"/>
        <v>0</v>
      </c>
      <c r="I27" s="9" t="s">
        <v>232</v>
      </c>
      <c r="J27" s="24" t="s">
        <v>95</v>
      </c>
      <c r="K27" s="9" t="s">
        <v>233</v>
      </c>
      <c r="L27" s="25" t="s">
        <v>82</v>
      </c>
    </row>
    <row r="28" ht="27.0" customHeight="1">
      <c r="A28" s="20" t="s">
        <v>236</v>
      </c>
      <c r="B28" s="13" t="s">
        <v>208</v>
      </c>
      <c r="C28" s="13" t="s">
        <v>238</v>
      </c>
      <c r="D28" s="13" t="s">
        <v>99</v>
      </c>
      <c r="E28" s="30">
        <v>0.08</v>
      </c>
      <c r="F28" s="30">
        <v>0.06</v>
      </c>
      <c r="G28" s="30">
        <v>0.05</v>
      </c>
      <c r="H28" s="32">
        <f t="shared" si="2"/>
        <v>0.06</v>
      </c>
      <c r="I28" s="9" t="s">
        <v>240</v>
      </c>
      <c r="J28" s="24" t="s">
        <v>89</v>
      </c>
      <c r="K28" s="9" t="s">
        <v>242</v>
      </c>
      <c r="L28" s="29" t="s">
        <v>91</v>
      </c>
    </row>
    <row r="29" ht="27.0" customHeight="1">
      <c r="A29" s="20" t="s">
        <v>243</v>
      </c>
      <c r="B29" s="13" t="s">
        <v>208</v>
      </c>
      <c r="C29" s="13" t="s">
        <v>244</v>
      </c>
      <c r="D29" s="13" t="s">
        <v>245</v>
      </c>
      <c r="E29" s="21">
        <v>24.0</v>
      </c>
      <c r="F29" s="21">
        <v>12.0</v>
      </c>
      <c r="G29" s="21">
        <v>12.0</v>
      </c>
      <c r="H29" s="23">
        <f t="shared" si="2"/>
        <v>12</v>
      </c>
      <c r="I29" s="9" t="s">
        <v>246</v>
      </c>
      <c r="J29" s="24" t="s">
        <v>95</v>
      </c>
      <c r="K29" s="9" t="s">
        <v>247</v>
      </c>
      <c r="L29" s="38" t="s">
        <v>176</v>
      </c>
    </row>
    <row r="30" ht="15.0" customHeight="1">
      <c r="A30" s="20" t="s">
        <v>251</v>
      </c>
      <c r="B30" s="13" t="s">
        <v>208</v>
      </c>
      <c r="C30" s="13" t="s">
        <v>252</v>
      </c>
      <c r="D30" s="13" t="s">
        <v>245</v>
      </c>
      <c r="E30" s="21">
        <v>3.0</v>
      </c>
      <c r="F30" s="21">
        <v>2.0</v>
      </c>
      <c r="G30" s="21">
        <v>1.0</v>
      </c>
      <c r="H30" s="23">
        <f t="shared" si="2"/>
        <v>2</v>
      </c>
      <c r="I30" s="9" t="s">
        <v>254</v>
      </c>
      <c r="J30" s="24" t="s">
        <v>89</v>
      </c>
      <c r="K30" s="9" t="s">
        <v>256</v>
      </c>
      <c r="L30" s="29" t="s">
        <v>91</v>
      </c>
    </row>
    <row r="31" ht="15.0" customHeight="1">
      <c r="A31" s="20" t="s">
        <v>257</v>
      </c>
      <c r="B31" s="13" t="s">
        <v>208</v>
      </c>
      <c r="C31" s="13" t="s">
        <v>258</v>
      </c>
      <c r="D31" s="13" t="s">
        <v>245</v>
      </c>
      <c r="E31" s="21">
        <v>3.0</v>
      </c>
      <c r="F31" s="21">
        <v>2.0</v>
      </c>
      <c r="G31" s="21">
        <v>1.0</v>
      </c>
      <c r="H31" s="23">
        <f t="shared" si="2"/>
        <v>2</v>
      </c>
      <c r="I31" s="9" t="s">
        <v>259</v>
      </c>
      <c r="J31" s="24" t="s">
        <v>89</v>
      </c>
      <c r="K31" s="9" t="s">
        <v>260</v>
      </c>
      <c r="L31" s="29" t="s">
        <v>91</v>
      </c>
    </row>
    <row r="32" ht="15.0" customHeight="1">
      <c r="A32" s="18" t="s">
        <v>261</v>
      </c>
      <c r="B32" s="19"/>
      <c r="C32" s="19"/>
      <c r="D32" s="19"/>
      <c r="E32" s="19"/>
      <c r="F32" s="19"/>
      <c r="G32" s="19"/>
      <c r="H32" s="19"/>
      <c r="I32" s="19"/>
      <c r="J32" s="19"/>
    </row>
    <row r="33" ht="54.0" customHeight="1">
      <c r="A33" s="20" t="s">
        <v>262</v>
      </c>
      <c r="B33" s="13" t="s">
        <v>263</v>
      </c>
      <c r="C33" s="13" t="s">
        <v>264</v>
      </c>
      <c r="D33" s="13" t="s">
        <v>266</v>
      </c>
      <c r="E33" s="21">
        <v>35.0</v>
      </c>
      <c r="F33" s="21">
        <v>45.0</v>
      </c>
      <c r="G33" s="21">
        <v>55.0</v>
      </c>
      <c r="H33" s="23">
        <f t="shared" ref="H33:H47" si="3">CHOOSE($D$4,E33,F33,G33)</f>
        <v>45</v>
      </c>
      <c r="I33" s="9" t="s">
        <v>271</v>
      </c>
      <c r="J33" s="24" t="s">
        <v>89</v>
      </c>
      <c r="K33" s="9" t="s">
        <v>272</v>
      </c>
      <c r="L33" s="29" t="s">
        <v>91</v>
      </c>
    </row>
    <row r="34" ht="15.0" customHeight="1">
      <c r="A34" s="20" t="s">
        <v>273</v>
      </c>
      <c r="B34" s="13" t="s">
        <v>263</v>
      </c>
      <c r="C34" s="13" t="s">
        <v>276</v>
      </c>
      <c r="D34" s="13" t="s">
        <v>278</v>
      </c>
      <c r="E34" s="16">
        <v>55000.0</v>
      </c>
      <c r="F34" s="16">
        <v>65000.0</v>
      </c>
      <c r="G34" s="16">
        <v>75000.0</v>
      </c>
      <c r="H34" s="46">
        <f t="shared" si="3"/>
        <v>65000</v>
      </c>
      <c r="I34" s="9" t="s">
        <v>280</v>
      </c>
      <c r="J34" s="24" t="s">
        <v>95</v>
      </c>
      <c r="K34" s="9" t="s">
        <v>281</v>
      </c>
      <c r="L34" s="25" t="s">
        <v>82</v>
      </c>
    </row>
    <row r="35" ht="15.0" customHeight="1">
      <c r="A35" s="20" t="s">
        <v>282</v>
      </c>
      <c r="B35" s="13" t="s">
        <v>263</v>
      </c>
      <c r="C35" s="13" t="s">
        <v>283</v>
      </c>
      <c r="D35" s="13" t="s">
        <v>266</v>
      </c>
      <c r="E35" s="6">
        <v>60.0</v>
      </c>
      <c r="F35" s="6">
        <v>75.0</v>
      </c>
      <c r="G35" s="6">
        <v>95.0</v>
      </c>
      <c r="H35" s="23">
        <f t="shared" si="3"/>
        <v>75</v>
      </c>
      <c r="I35" s="9" t="s">
        <v>284</v>
      </c>
      <c r="J35" s="24" t="s">
        <v>89</v>
      </c>
      <c r="K35" s="9" t="s">
        <v>285</v>
      </c>
      <c r="L35" s="29" t="s">
        <v>91</v>
      </c>
    </row>
    <row r="36" ht="27.0" customHeight="1">
      <c r="A36" s="20" t="s">
        <v>290</v>
      </c>
      <c r="B36" s="13" t="s">
        <v>263</v>
      </c>
      <c r="C36" s="13" t="s">
        <v>292</v>
      </c>
      <c r="D36" s="13" t="s">
        <v>278</v>
      </c>
      <c r="E36" s="48">
        <v>110000.0</v>
      </c>
      <c r="F36" s="48">
        <v>120000.0</v>
      </c>
      <c r="G36" s="48">
        <v>135000.0</v>
      </c>
      <c r="H36" s="46">
        <f t="shared" si="3"/>
        <v>120000</v>
      </c>
      <c r="I36" s="9" t="s">
        <v>296</v>
      </c>
      <c r="J36" s="24" t="s">
        <v>95</v>
      </c>
      <c r="K36" s="9" t="s">
        <v>298</v>
      </c>
      <c r="L36" s="25" t="s">
        <v>82</v>
      </c>
    </row>
    <row r="37" ht="15.0" customHeight="1">
      <c r="A37" s="20" t="s">
        <v>299</v>
      </c>
      <c r="B37" s="13" t="s">
        <v>263</v>
      </c>
      <c r="C37" s="13" t="s">
        <v>300</v>
      </c>
      <c r="D37" s="13" t="s">
        <v>266</v>
      </c>
      <c r="E37" s="21">
        <v>25.0</v>
      </c>
      <c r="F37" s="21">
        <v>35.0</v>
      </c>
      <c r="G37" s="21">
        <v>45.0</v>
      </c>
      <c r="H37" s="23">
        <f t="shared" si="3"/>
        <v>35</v>
      </c>
      <c r="I37" s="9" t="s">
        <v>284</v>
      </c>
      <c r="J37" s="24" t="s">
        <v>89</v>
      </c>
      <c r="K37" s="9" t="s">
        <v>302</v>
      </c>
      <c r="L37" s="29" t="s">
        <v>91</v>
      </c>
    </row>
    <row r="38" ht="15.0" customHeight="1">
      <c r="A38" s="20" t="s">
        <v>303</v>
      </c>
      <c r="B38" s="13" t="s">
        <v>263</v>
      </c>
      <c r="C38" s="13" t="s">
        <v>304</v>
      </c>
      <c r="D38" s="13" t="s">
        <v>278</v>
      </c>
      <c r="E38" s="16">
        <v>60000.0</v>
      </c>
      <c r="F38" s="16">
        <v>70000.0</v>
      </c>
      <c r="G38" s="16">
        <v>80000.0</v>
      </c>
      <c r="H38" s="46">
        <f t="shared" si="3"/>
        <v>70000</v>
      </c>
      <c r="I38" s="9" t="s">
        <v>305</v>
      </c>
      <c r="J38" s="24" t="s">
        <v>89</v>
      </c>
      <c r="K38" s="9" t="s">
        <v>306</v>
      </c>
      <c r="L38" s="25" t="s">
        <v>82</v>
      </c>
    </row>
    <row r="39" ht="15.0" customHeight="1">
      <c r="A39" s="20" t="s">
        <v>307</v>
      </c>
      <c r="B39" s="13" t="s">
        <v>263</v>
      </c>
      <c r="C39" s="13" t="s">
        <v>308</v>
      </c>
      <c r="D39" s="13" t="s">
        <v>266</v>
      </c>
      <c r="E39" s="21">
        <v>35.0</v>
      </c>
      <c r="F39" s="21">
        <v>45.0</v>
      </c>
      <c r="G39" s="21">
        <v>60.0</v>
      </c>
      <c r="H39" s="23">
        <f t="shared" si="3"/>
        <v>45</v>
      </c>
      <c r="I39" s="9" t="s">
        <v>314</v>
      </c>
      <c r="J39" s="24" t="s">
        <v>89</v>
      </c>
      <c r="K39" s="9" t="s">
        <v>315</v>
      </c>
      <c r="L39" s="29" t="s">
        <v>91</v>
      </c>
    </row>
    <row r="40" ht="15.0" customHeight="1">
      <c r="A40" s="20" t="s">
        <v>316</v>
      </c>
      <c r="B40" s="13" t="s">
        <v>263</v>
      </c>
      <c r="C40" s="13" t="s">
        <v>317</v>
      </c>
      <c r="D40" s="13" t="s">
        <v>278</v>
      </c>
      <c r="E40" s="16">
        <v>125000.0</v>
      </c>
      <c r="F40" s="16">
        <v>140000.0</v>
      </c>
      <c r="G40" s="16">
        <v>150000.0</v>
      </c>
      <c r="H40" s="46">
        <f t="shared" si="3"/>
        <v>140000</v>
      </c>
      <c r="I40" s="9" t="s">
        <v>318</v>
      </c>
      <c r="J40" s="24" t="s">
        <v>89</v>
      </c>
      <c r="K40" s="9" t="s">
        <v>319</v>
      </c>
      <c r="L40" s="25" t="s">
        <v>82</v>
      </c>
    </row>
    <row r="41" ht="15.0" customHeight="1">
      <c r="A41" s="20" t="s">
        <v>320</v>
      </c>
      <c r="B41" s="13" t="s">
        <v>263</v>
      </c>
      <c r="C41" s="13" t="s">
        <v>321</v>
      </c>
      <c r="D41" s="13" t="s">
        <v>322</v>
      </c>
      <c r="E41" s="21">
        <v>15.0</v>
      </c>
      <c r="F41" s="21">
        <v>25.0</v>
      </c>
      <c r="G41" s="21">
        <v>35.0</v>
      </c>
      <c r="H41" s="23">
        <f t="shared" si="3"/>
        <v>25</v>
      </c>
      <c r="I41" s="9" t="s">
        <v>324</v>
      </c>
      <c r="J41" s="24" t="s">
        <v>89</v>
      </c>
      <c r="K41" s="9" t="s">
        <v>326</v>
      </c>
      <c r="L41" s="29" t="s">
        <v>91</v>
      </c>
    </row>
    <row r="42" ht="15.0" customHeight="1">
      <c r="A42" s="20" t="s">
        <v>327</v>
      </c>
      <c r="B42" s="13" t="s">
        <v>263</v>
      </c>
      <c r="C42" s="13" t="s">
        <v>328</v>
      </c>
      <c r="D42" s="13" t="s">
        <v>329</v>
      </c>
      <c r="E42" s="16">
        <v>100000.0</v>
      </c>
      <c r="F42" s="16">
        <v>115000.0</v>
      </c>
      <c r="G42" s="16">
        <v>130000.0</v>
      </c>
      <c r="H42" s="46">
        <f t="shared" si="3"/>
        <v>115000</v>
      </c>
      <c r="I42" s="9" t="s">
        <v>330</v>
      </c>
      <c r="J42" s="24" t="s">
        <v>95</v>
      </c>
      <c r="K42" s="9" t="s">
        <v>331</v>
      </c>
      <c r="L42" s="25" t="s">
        <v>82</v>
      </c>
    </row>
    <row r="43" ht="15.0" customHeight="1">
      <c r="A43" s="20" t="s">
        <v>332</v>
      </c>
      <c r="B43" s="13" t="s">
        <v>263</v>
      </c>
      <c r="C43" s="13" t="s">
        <v>334</v>
      </c>
      <c r="D43" s="13" t="s">
        <v>99</v>
      </c>
      <c r="E43" s="30">
        <v>0.3</v>
      </c>
      <c r="F43" s="30">
        <v>0.3</v>
      </c>
      <c r="G43" s="30">
        <v>0.3</v>
      </c>
      <c r="H43" s="32">
        <f t="shared" si="3"/>
        <v>0.3</v>
      </c>
      <c r="I43" s="9" t="s">
        <v>338</v>
      </c>
      <c r="J43" s="24" t="s">
        <v>89</v>
      </c>
      <c r="K43" s="9" t="s">
        <v>339</v>
      </c>
      <c r="L43" s="29" t="s">
        <v>91</v>
      </c>
    </row>
    <row r="44" ht="15.0" customHeight="1">
      <c r="A44" s="20" t="s">
        <v>340</v>
      </c>
      <c r="B44" s="13" t="s">
        <v>263</v>
      </c>
      <c r="C44" s="13" t="s">
        <v>341</v>
      </c>
      <c r="D44" s="13" t="s">
        <v>342</v>
      </c>
      <c r="E44" s="16">
        <v>0.0</v>
      </c>
      <c r="F44" s="16">
        <v>1.5E7</v>
      </c>
      <c r="G44" s="16">
        <v>2.5E7</v>
      </c>
      <c r="H44" s="46">
        <f t="shared" si="3"/>
        <v>15000000</v>
      </c>
      <c r="I44" s="9" t="s">
        <v>346</v>
      </c>
      <c r="J44" s="24" t="s">
        <v>89</v>
      </c>
      <c r="K44" s="9" t="s">
        <v>347</v>
      </c>
      <c r="L44" s="29" t="s">
        <v>91</v>
      </c>
    </row>
    <row r="45" ht="15.0" customHeight="1">
      <c r="A45" s="20" t="s">
        <v>348</v>
      </c>
      <c r="B45" s="13" t="s">
        <v>263</v>
      </c>
      <c r="C45" s="13" t="s">
        <v>349</v>
      </c>
      <c r="D45" s="13" t="s">
        <v>99</v>
      </c>
      <c r="E45" s="30">
        <v>0.01</v>
      </c>
      <c r="F45" s="30">
        <v>0.02</v>
      </c>
      <c r="G45" s="30">
        <v>0.035</v>
      </c>
      <c r="H45" s="32">
        <f t="shared" si="3"/>
        <v>0.02</v>
      </c>
      <c r="I45" s="9" t="s">
        <v>350</v>
      </c>
      <c r="J45" s="24" t="s">
        <v>89</v>
      </c>
      <c r="K45" s="9" t="s">
        <v>351</v>
      </c>
      <c r="L45" s="29" t="s">
        <v>91</v>
      </c>
    </row>
    <row r="46" ht="27.0" customHeight="1">
      <c r="A46" s="20" t="s">
        <v>352</v>
      </c>
      <c r="B46" s="13" t="s">
        <v>353</v>
      </c>
      <c r="C46" s="13" t="s">
        <v>354</v>
      </c>
      <c r="D46" s="13" t="s">
        <v>99</v>
      </c>
      <c r="E46" s="50">
        <v>0.45</v>
      </c>
      <c r="F46" s="50">
        <v>0.55</v>
      </c>
      <c r="G46" s="50">
        <v>0.7</v>
      </c>
      <c r="H46" s="32">
        <f t="shared" si="3"/>
        <v>0.55</v>
      </c>
      <c r="I46" s="9" t="s">
        <v>363</v>
      </c>
      <c r="J46" s="24" t="s">
        <v>89</v>
      </c>
      <c r="K46" s="9" t="s">
        <v>366</v>
      </c>
      <c r="L46" s="29" t="s">
        <v>91</v>
      </c>
    </row>
    <row r="47" ht="27.0" customHeight="1">
      <c r="A47" s="20" t="s">
        <v>368</v>
      </c>
      <c r="B47" s="13" t="s">
        <v>353</v>
      </c>
      <c r="C47" s="13" t="s">
        <v>369</v>
      </c>
      <c r="D47" s="13" t="s">
        <v>245</v>
      </c>
      <c r="E47" s="21">
        <v>12.0</v>
      </c>
      <c r="F47" s="21">
        <v>9.0</v>
      </c>
      <c r="G47" s="21">
        <v>6.0</v>
      </c>
      <c r="H47" s="23">
        <f t="shared" si="3"/>
        <v>9</v>
      </c>
      <c r="I47" s="9" t="s">
        <v>371</v>
      </c>
      <c r="J47" s="24" t="s">
        <v>89</v>
      </c>
      <c r="K47" s="9" t="s">
        <v>372</v>
      </c>
      <c r="L47" s="38" t="s">
        <v>176</v>
      </c>
    </row>
    <row r="48" ht="15.0" customHeight="1">
      <c r="A48" s="18" t="s">
        <v>374</v>
      </c>
      <c r="B48" s="19"/>
      <c r="C48" s="19"/>
      <c r="D48" s="19"/>
      <c r="E48" s="19"/>
      <c r="F48" s="19"/>
      <c r="G48" s="19"/>
      <c r="H48" s="19"/>
      <c r="I48" s="19"/>
      <c r="J48" s="19"/>
    </row>
    <row r="49" ht="27.0" customHeight="1">
      <c r="A49" s="20" t="s">
        <v>375</v>
      </c>
      <c r="B49" s="13" t="s">
        <v>376</v>
      </c>
      <c r="C49" s="13" t="s">
        <v>377</v>
      </c>
      <c r="D49" s="13" t="s">
        <v>378</v>
      </c>
      <c r="E49" s="30">
        <v>0.03</v>
      </c>
      <c r="F49" s="30">
        <v>0.0</v>
      </c>
      <c r="G49" s="30">
        <v>-0.02</v>
      </c>
      <c r="H49" s="32">
        <f t="shared" ref="H49:H59" si="4">CHOOSE($D$4,E49,F49,G49)</f>
        <v>0</v>
      </c>
      <c r="I49" s="9" t="s">
        <v>381</v>
      </c>
      <c r="J49" s="24" t="s">
        <v>95</v>
      </c>
      <c r="K49" s="9" t="s">
        <v>382</v>
      </c>
      <c r="L49" s="29" t="s">
        <v>91</v>
      </c>
    </row>
    <row r="50" ht="15.0" customHeight="1">
      <c r="A50" s="20" t="s">
        <v>384</v>
      </c>
      <c r="B50" s="13" t="s">
        <v>376</v>
      </c>
      <c r="C50" s="13" t="s">
        <v>387</v>
      </c>
      <c r="D50" s="13" t="s">
        <v>99</v>
      </c>
      <c r="E50" s="30">
        <v>0.4</v>
      </c>
      <c r="F50" s="30">
        <v>0.35</v>
      </c>
      <c r="G50" s="30">
        <v>0.3</v>
      </c>
      <c r="H50" s="32">
        <f t="shared" si="4"/>
        <v>0.35</v>
      </c>
      <c r="I50" s="9" t="s">
        <v>391</v>
      </c>
      <c r="J50" s="24" t="s">
        <v>89</v>
      </c>
      <c r="K50" s="9" t="s">
        <v>392</v>
      </c>
      <c r="L50" s="25" t="s">
        <v>82</v>
      </c>
    </row>
    <row r="51" ht="15.0" customHeight="1">
      <c r="A51" s="20" t="s">
        <v>393</v>
      </c>
      <c r="B51" s="13" t="s">
        <v>376</v>
      </c>
      <c r="C51" s="13" t="s">
        <v>394</v>
      </c>
      <c r="D51" s="13" t="s">
        <v>99</v>
      </c>
      <c r="E51" s="30">
        <v>0.6</v>
      </c>
      <c r="F51" s="30">
        <v>0.55</v>
      </c>
      <c r="G51" s="30">
        <v>0.5</v>
      </c>
      <c r="H51" s="32">
        <f t="shared" si="4"/>
        <v>0.55</v>
      </c>
      <c r="I51" s="9" t="s">
        <v>350</v>
      </c>
      <c r="J51" s="24" t="s">
        <v>89</v>
      </c>
      <c r="K51" s="9" t="s">
        <v>396</v>
      </c>
      <c r="L51" s="29" t="s">
        <v>91</v>
      </c>
    </row>
    <row r="52" ht="27.0" customHeight="1">
      <c r="A52" s="20" t="s">
        <v>397</v>
      </c>
      <c r="B52" s="13" t="s">
        <v>398</v>
      </c>
      <c r="C52" s="13" t="s">
        <v>399</v>
      </c>
      <c r="D52" s="13" t="s">
        <v>99</v>
      </c>
      <c r="E52" s="30">
        <v>0.06</v>
      </c>
      <c r="F52" s="30">
        <v>0.05</v>
      </c>
      <c r="G52" s="30">
        <v>0.04</v>
      </c>
      <c r="H52" s="32">
        <f t="shared" si="4"/>
        <v>0.05</v>
      </c>
      <c r="I52" s="9" t="s">
        <v>400</v>
      </c>
      <c r="J52" s="24" t="s">
        <v>89</v>
      </c>
      <c r="K52" s="9" t="s">
        <v>401</v>
      </c>
      <c r="L52" s="25" t="s">
        <v>82</v>
      </c>
    </row>
    <row r="53" ht="27.0" customHeight="1">
      <c r="A53" s="20" t="s">
        <v>402</v>
      </c>
      <c r="B53" s="13" t="s">
        <v>398</v>
      </c>
      <c r="C53" s="13" t="s">
        <v>403</v>
      </c>
      <c r="D53" s="13" t="s">
        <v>99</v>
      </c>
      <c r="E53" s="30">
        <v>0.02</v>
      </c>
      <c r="F53" s="30">
        <v>0.015</v>
      </c>
      <c r="G53" s="30">
        <v>0.01</v>
      </c>
      <c r="H53" s="32">
        <f t="shared" si="4"/>
        <v>0.015</v>
      </c>
      <c r="I53" s="9" t="s">
        <v>405</v>
      </c>
      <c r="J53" s="24" t="s">
        <v>89</v>
      </c>
      <c r="K53" s="9" t="s">
        <v>406</v>
      </c>
      <c r="L53" s="25" t="s">
        <v>82</v>
      </c>
    </row>
    <row r="54" ht="27.0" customHeight="1">
      <c r="A54" s="20" t="s">
        <v>409</v>
      </c>
      <c r="B54" s="13" t="s">
        <v>398</v>
      </c>
      <c r="C54" s="13" t="s">
        <v>411</v>
      </c>
      <c r="D54" s="13" t="s">
        <v>99</v>
      </c>
      <c r="E54" s="50">
        <v>0.28</v>
      </c>
      <c r="F54" s="50">
        <v>0.23</v>
      </c>
      <c r="G54" s="50">
        <v>0.2</v>
      </c>
      <c r="H54" s="32">
        <f t="shared" si="4"/>
        <v>0.23</v>
      </c>
      <c r="I54" s="9" t="s">
        <v>414</v>
      </c>
      <c r="J54" s="24" t="s">
        <v>95</v>
      </c>
      <c r="K54" s="9" t="s">
        <v>415</v>
      </c>
      <c r="L54" s="25" t="s">
        <v>82</v>
      </c>
    </row>
    <row r="55" ht="27.0" customHeight="1">
      <c r="A55" s="20" t="s">
        <v>416</v>
      </c>
      <c r="B55" s="13" t="s">
        <v>398</v>
      </c>
      <c r="C55" s="13" t="s">
        <v>417</v>
      </c>
      <c r="D55" s="13" t="s">
        <v>99</v>
      </c>
      <c r="E55" s="30">
        <v>0.015</v>
      </c>
      <c r="F55" s="30">
        <v>0.012</v>
      </c>
      <c r="G55" s="30">
        <v>0.009</v>
      </c>
      <c r="H55" s="32">
        <f t="shared" si="4"/>
        <v>0.012</v>
      </c>
      <c r="I55" s="9" t="s">
        <v>419</v>
      </c>
      <c r="J55" s="24" t="s">
        <v>89</v>
      </c>
      <c r="K55" s="9" t="s">
        <v>420</v>
      </c>
      <c r="L55" s="38" t="s">
        <v>176</v>
      </c>
    </row>
    <row r="56" ht="15.0" customHeight="1">
      <c r="A56" s="20" t="s">
        <v>421</v>
      </c>
      <c r="B56" s="13" t="s">
        <v>398</v>
      </c>
      <c r="C56" s="13" t="s">
        <v>422</v>
      </c>
      <c r="D56" s="13" t="s">
        <v>99</v>
      </c>
      <c r="E56" s="30">
        <v>0.04</v>
      </c>
      <c r="F56" s="30">
        <v>0.03</v>
      </c>
      <c r="G56" s="30">
        <v>0.025</v>
      </c>
      <c r="H56" s="32">
        <f t="shared" si="4"/>
        <v>0.03</v>
      </c>
      <c r="I56" s="9" t="s">
        <v>423</v>
      </c>
      <c r="J56" s="24" t="s">
        <v>89</v>
      </c>
      <c r="K56" s="9" t="s">
        <v>424</v>
      </c>
      <c r="L56" s="25" t="s">
        <v>82</v>
      </c>
    </row>
    <row r="57" ht="15.0" customHeight="1">
      <c r="A57" s="20" t="s">
        <v>426</v>
      </c>
      <c r="B57" s="13" t="s">
        <v>398</v>
      </c>
      <c r="C57" s="13" t="s">
        <v>428</v>
      </c>
      <c r="D57" s="13" t="s">
        <v>99</v>
      </c>
      <c r="E57" s="30">
        <v>0.02</v>
      </c>
      <c r="F57" s="30">
        <v>0.015</v>
      </c>
      <c r="G57" s="30">
        <v>0.01</v>
      </c>
      <c r="H57" s="32">
        <f t="shared" si="4"/>
        <v>0.015</v>
      </c>
      <c r="I57" s="9" t="s">
        <v>429</v>
      </c>
      <c r="J57" s="24" t="s">
        <v>89</v>
      </c>
      <c r="K57" s="9" t="s">
        <v>430</v>
      </c>
      <c r="L57" s="25" t="s">
        <v>82</v>
      </c>
    </row>
    <row r="58" ht="15.0" customHeight="1">
      <c r="A58" s="20" t="s">
        <v>431</v>
      </c>
      <c r="B58" s="13" t="s">
        <v>398</v>
      </c>
      <c r="C58" s="13" t="s">
        <v>432</v>
      </c>
      <c r="D58" s="13" t="s">
        <v>99</v>
      </c>
      <c r="E58" s="30">
        <v>0.015</v>
      </c>
      <c r="F58" s="30">
        <v>0.01</v>
      </c>
      <c r="G58" s="30">
        <v>0.005</v>
      </c>
      <c r="H58" s="32">
        <f t="shared" si="4"/>
        <v>0.01</v>
      </c>
      <c r="I58" s="9" t="s">
        <v>350</v>
      </c>
      <c r="J58" s="24" t="s">
        <v>89</v>
      </c>
      <c r="K58" s="9" t="s">
        <v>434</v>
      </c>
      <c r="L58" s="29" t="s">
        <v>91</v>
      </c>
    </row>
    <row r="59" ht="15.0" customHeight="1">
      <c r="A59" s="20" t="s">
        <v>435</v>
      </c>
      <c r="B59" s="13" t="s">
        <v>398</v>
      </c>
      <c r="C59" s="13" t="s">
        <v>436</v>
      </c>
      <c r="D59" s="13" t="s">
        <v>99</v>
      </c>
      <c r="E59" s="30">
        <v>0.0</v>
      </c>
      <c r="F59" s="30">
        <v>0.0</v>
      </c>
      <c r="G59" s="30">
        <v>0.0</v>
      </c>
      <c r="H59" s="32">
        <f t="shared" si="4"/>
        <v>0</v>
      </c>
      <c r="I59" s="9" t="s">
        <v>440</v>
      </c>
      <c r="J59" s="24" t="s">
        <v>150</v>
      </c>
      <c r="K59" s="9" t="s">
        <v>442</v>
      </c>
      <c r="L59" s="34" t="s">
        <v>153</v>
      </c>
    </row>
    <row r="60" ht="15.0" customHeight="1">
      <c r="A60" s="18" t="s">
        <v>443</v>
      </c>
      <c r="B60" s="19"/>
      <c r="C60" s="19"/>
      <c r="D60" s="19"/>
      <c r="E60" s="19"/>
      <c r="F60" s="19"/>
      <c r="G60" s="19"/>
      <c r="H60" s="19"/>
      <c r="I60" s="19"/>
      <c r="J60" s="19"/>
    </row>
    <row r="61" ht="15.0" customHeight="1">
      <c r="A61" s="20" t="s">
        <v>444</v>
      </c>
      <c r="B61" s="13" t="s">
        <v>445</v>
      </c>
      <c r="C61" s="13" t="s">
        <v>446</v>
      </c>
      <c r="D61" s="13" t="s">
        <v>342</v>
      </c>
      <c r="E61" s="16">
        <v>5729876.0</v>
      </c>
      <c r="F61" s="16">
        <v>5729876.0</v>
      </c>
      <c r="G61" s="16">
        <v>5729876.0</v>
      </c>
      <c r="H61" s="46">
        <f t="shared" ref="H61:H65" si="5">CHOOSE($D$4,E61,F61,G61)</f>
        <v>5729876</v>
      </c>
      <c r="I61" s="9" t="s">
        <v>449</v>
      </c>
      <c r="J61" s="24" t="s">
        <v>80</v>
      </c>
      <c r="K61" s="9" t="s">
        <v>450</v>
      </c>
      <c r="L61" s="25" t="s">
        <v>124</v>
      </c>
    </row>
    <row r="62" ht="15.0" customHeight="1">
      <c r="A62" s="20" t="s">
        <v>451</v>
      </c>
      <c r="B62" s="13" t="s">
        <v>445</v>
      </c>
      <c r="C62" s="13" t="s">
        <v>452</v>
      </c>
      <c r="D62" s="13" t="s">
        <v>166</v>
      </c>
      <c r="E62" s="35">
        <v>1.1</v>
      </c>
      <c r="F62" s="35">
        <v>1.0</v>
      </c>
      <c r="G62" s="35">
        <v>1.0</v>
      </c>
      <c r="H62" s="37">
        <f t="shared" si="5"/>
        <v>1</v>
      </c>
      <c r="I62" s="9" t="s">
        <v>455</v>
      </c>
      <c r="J62" s="24" t="s">
        <v>89</v>
      </c>
      <c r="K62" s="9" t="s">
        <v>456</v>
      </c>
      <c r="L62" s="29" t="s">
        <v>91</v>
      </c>
    </row>
    <row r="63" ht="27.0" customHeight="1">
      <c r="A63" s="20" t="s">
        <v>458</v>
      </c>
      <c r="B63" s="13" t="s">
        <v>445</v>
      </c>
      <c r="C63" s="13" t="s">
        <v>459</v>
      </c>
      <c r="D63" s="13" t="s">
        <v>99</v>
      </c>
      <c r="E63" s="30">
        <v>0.117</v>
      </c>
      <c r="F63" s="30">
        <v>0.115</v>
      </c>
      <c r="G63" s="30">
        <v>0.102</v>
      </c>
      <c r="H63" s="32">
        <f t="shared" si="5"/>
        <v>0.115</v>
      </c>
      <c r="I63" s="9" t="s">
        <v>460</v>
      </c>
      <c r="J63" s="24" t="s">
        <v>80</v>
      </c>
      <c r="K63" s="9" t="s">
        <v>462</v>
      </c>
      <c r="L63" s="25" t="s">
        <v>82</v>
      </c>
    </row>
    <row r="64" ht="15.0" customHeight="1">
      <c r="A64" s="20" t="s">
        <v>463</v>
      </c>
      <c r="B64" s="13" t="s">
        <v>445</v>
      </c>
      <c r="C64" s="13" t="s">
        <v>464</v>
      </c>
      <c r="D64" s="13" t="s">
        <v>99</v>
      </c>
      <c r="E64" s="30">
        <v>0.0833</v>
      </c>
      <c r="F64" s="30">
        <v>0.0833</v>
      </c>
      <c r="G64" s="30">
        <v>0.0833</v>
      </c>
      <c r="H64" s="32">
        <f t="shared" si="5"/>
        <v>0.0833</v>
      </c>
      <c r="I64" s="9" t="s">
        <v>465</v>
      </c>
      <c r="J64" s="24" t="s">
        <v>80</v>
      </c>
      <c r="K64" s="9" t="s">
        <v>466</v>
      </c>
      <c r="L64" s="25" t="s">
        <v>124</v>
      </c>
    </row>
    <row r="65" ht="15.0" customHeight="1">
      <c r="A65" s="20" t="s">
        <v>467</v>
      </c>
      <c r="B65" s="13" t="s">
        <v>445</v>
      </c>
      <c r="C65" s="13" t="s">
        <v>468</v>
      </c>
      <c r="D65" s="13" t="s">
        <v>469</v>
      </c>
      <c r="E65" s="16">
        <v>1200000.0</v>
      </c>
      <c r="F65" s="16">
        <v>1000000.0</v>
      </c>
      <c r="G65" s="16">
        <v>800000.0</v>
      </c>
      <c r="H65" s="46">
        <f t="shared" si="5"/>
        <v>1000000</v>
      </c>
      <c r="I65" s="9" t="s">
        <v>471</v>
      </c>
      <c r="J65" s="24" t="s">
        <v>89</v>
      </c>
      <c r="K65" s="9" t="s">
        <v>473</v>
      </c>
      <c r="L65" s="29" t="s">
        <v>91</v>
      </c>
    </row>
    <row r="66" ht="15.0" customHeight="1">
      <c r="A66" s="18" t="s">
        <v>475</v>
      </c>
      <c r="B66" s="19"/>
      <c r="C66" s="19"/>
      <c r="D66" s="19"/>
      <c r="E66" s="19"/>
      <c r="F66" s="19"/>
      <c r="G66" s="19"/>
      <c r="H66" s="19"/>
      <c r="I66" s="19"/>
      <c r="J66" s="19"/>
    </row>
    <row r="67" ht="27.0" customHeight="1">
      <c r="A67" s="20" t="s">
        <v>477</v>
      </c>
      <c r="B67" s="13" t="s">
        <v>478</v>
      </c>
      <c r="C67" s="13" t="s">
        <v>479</v>
      </c>
      <c r="D67" s="13" t="s">
        <v>342</v>
      </c>
      <c r="E67" s="16">
        <v>3.0E7</v>
      </c>
      <c r="F67" s="16">
        <v>2.5E7</v>
      </c>
      <c r="G67" s="16">
        <v>2.0E7</v>
      </c>
      <c r="H67" s="46">
        <f t="shared" ref="H67:H75" si="6">CHOOSE($D$4,E67,F67,G67)</f>
        <v>25000000</v>
      </c>
      <c r="I67" s="9" t="s">
        <v>481</v>
      </c>
      <c r="J67" s="24" t="s">
        <v>89</v>
      </c>
      <c r="K67" s="9" t="s">
        <v>482</v>
      </c>
      <c r="L67" s="38" t="s">
        <v>176</v>
      </c>
    </row>
    <row r="68" ht="15.0" customHeight="1">
      <c r="A68" s="20" t="s">
        <v>483</v>
      </c>
      <c r="B68" s="13" t="s">
        <v>478</v>
      </c>
      <c r="C68" s="13" t="s">
        <v>484</v>
      </c>
      <c r="D68" s="13" t="s">
        <v>342</v>
      </c>
      <c r="E68" s="16">
        <v>1.2E7</v>
      </c>
      <c r="F68" s="16">
        <v>9000000.0</v>
      </c>
      <c r="G68" s="16">
        <v>7000000.0</v>
      </c>
      <c r="H68" s="46">
        <f t="shared" si="6"/>
        <v>9000000</v>
      </c>
      <c r="I68" s="9" t="s">
        <v>487</v>
      </c>
      <c r="J68" s="24" t="s">
        <v>89</v>
      </c>
      <c r="K68" s="9" t="s">
        <v>488</v>
      </c>
      <c r="L68" s="29" t="s">
        <v>91</v>
      </c>
    </row>
    <row r="69" ht="15.0" customHeight="1">
      <c r="A69" s="20" t="s">
        <v>491</v>
      </c>
      <c r="B69" s="13" t="s">
        <v>478</v>
      </c>
      <c r="C69" s="13" t="s">
        <v>492</v>
      </c>
      <c r="D69" s="13" t="s">
        <v>342</v>
      </c>
      <c r="E69" s="16">
        <v>4000000.0</v>
      </c>
      <c r="F69" s="16">
        <v>3000000.0</v>
      </c>
      <c r="G69" s="16">
        <v>2500000.0</v>
      </c>
      <c r="H69" s="46">
        <f t="shared" si="6"/>
        <v>3000000</v>
      </c>
      <c r="I69" s="9" t="s">
        <v>350</v>
      </c>
      <c r="J69" s="24" t="s">
        <v>89</v>
      </c>
      <c r="K69" s="9" t="s">
        <v>494</v>
      </c>
      <c r="L69" s="29" t="s">
        <v>91</v>
      </c>
    </row>
    <row r="70" ht="27.0" customHeight="1">
      <c r="A70" s="20" t="s">
        <v>495</v>
      </c>
      <c r="B70" s="13" t="s">
        <v>478</v>
      </c>
      <c r="C70" s="13" t="s">
        <v>496</v>
      </c>
      <c r="D70" s="13" t="s">
        <v>342</v>
      </c>
      <c r="E70" s="16">
        <v>4000000.0</v>
      </c>
      <c r="F70" s="16">
        <v>3000000.0</v>
      </c>
      <c r="G70" s="16">
        <v>2500000.0</v>
      </c>
      <c r="H70" s="46">
        <f t="shared" si="6"/>
        <v>3000000</v>
      </c>
      <c r="I70" s="9" t="s">
        <v>498</v>
      </c>
      <c r="J70" s="24" t="s">
        <v>89</v>
      </c>
      <c r="K70" s="9" t="s">
        <v>501</v>
      </c>
      <c r="L70" s="38" t="s">
        <v>176</v>
      </c>
    </row>
    <row r="71" ht="15.0" customHeight="1">
      <c r="A71" s="20" t="s">
        <v>502</v>
      </c>
      <c r="B71" s="13" t="s">
        <v>478</v>
      </c>
      <c r="C71" s="13" t="s">
        <v>503</v>
      </c>
      <c r="D71" s="13" t="s">
        <v>342</v>
      </c>
      <c r="E71" s="16">
        <v>6000000.0</v>
      </c>
      <c r="F71" s="16">
        <v>5000000.0</v>
      </c>
      <c r="G71" s="16">
        <v>4000000.0</v>
      </c>
      <c r="H71" s="46">
        <f t="shared" si="6"/>
        <v>5000000</v>
      </c>
      <c r="I71" s="9" t="s">
        <v>350</v>
      </c>
      <c r="J71" s="24" t="s">
        <v>89</v>
      </c>
      <c r="K71" s="9" t="s">
        <v>504</v>
      </c>
      <c r="L71" s="29" t="s">
        <v>91</v>
      </c>
    </row>
    <row r="72" ht="15.0" customHeight="1">
      <c r="A72" s="20" t="s">
        <v>505</v>
      </c>
      <c r="B72" s="13" t="s">
        <v>478</v>
      </c>
      <c r="C72" s="13" t="s">
        <v>507</v>
      </c>
      <c r="D72" s="13" t="s">
        <v>342</v>
      </c>
      <c r="E72" s="16">
        <v>5000000.0</v>
      </c>
      <c r="F72" s="16">
        <v>4000000.0</v>
      </c>
      <c r="G72" s="16">
        <v>3000000.0</v>
      </c>
      <c r="H72" s="46">
        <f t="shared" si="6"/>
        <v>4000000</v>
      </c>
      <c r="I72" s="9" t="s">
        <v>350</v>
      </c>
      <c r="J72" s="24" t="s">
        <v>89</v>
      </c>
      <c r="K72" s="9" t="s">
        <v>508</v>
      </c>
      <c r="L72" s="29" t="s">
        <v>91</v>
      </c>
    </row>
    <row r="73" ht="27.0" customHeight="1">
      <c r="A73" s="20" t="s">
        <v>509</v>
      </c>
      <c r="B73" s="13" t="s">
        <v>510</v>
      </c>
      <c r="C73" s="13" t="s">
        <v>511</v>
      </c>
      <c r="D73" s="13" t="s">
        <v>512</v>
      </c>
      <c r="E73" s="21">
        <v>11000.0</v>
      </c>
      <c r="F73" s="21">
        <v>9000.0</v>
      </c>
      <c r="G73" s="21">
        <v>7500.0</v>
      </c>
      <c r="H73" s="23">
        <f t="shared" si="6"/>
        <v>9000</v>
      </c>
      <c r="I73" s="9" t="s">
        <v>516</v>
      </c>
      <c r="J73" s="24" t="s">
        <v>89</v>
      </c>
      <c r="K73" s="9" t="s">
        <v>517</v>
      </c>
      <c r="L73" s="25" t="s">
        <v>82</v>
      </c>
    </row>
    <row r="74" ht="15.0" customHeight="1">
      <c r="A74" s="20" t="s">
        <v>518</v>
      </c>
      <c r="B74" s="13" t="s">
        <v>510</v>
      </c>
      <c r="C74" s="13" t="s">
        <v>519</v>
      </c>
      <c r="D74" s="13" t="s">
        <v>520</v>
      </c>
      <c r="E74" s="53">
        <v>1444.7</v>
      </c>
      <c r="F74" s="53">
        <v>1444.7</v>
      </c>
      <c r="G74" s="53">
        <v>1444.7</v>
      </c>
      <c r="H74" s="54">
        <f t="shared" si="6"/>
        <v>1444.7</v>
      </c>
      <c r="I74" s="9" t="s">
        <v>526</v>
      </c>
      <c r="J74" s="24" t="s">
        <v>80</v>
      </c>
      <c r="K74" s="9" t="s">
        <v>527</v>
      </c>
      <c r="L74" s="25" t="s">
        <v>124</v>
      </c>
    </row>
    <row r="75" ht="27.0" customHeight="1">
      <c r="A75" s="20" t="s">
        <v>528</v>
      </c>
      <c r="B75" s="13" t="s">
        <v>510</v>
      </c>
      <c r="C75" s="13" t="s">
        <v>529</v>
      </c>
      <c r="D75" s="13" t="s">
        <v>342</v>
      </c>
      <c r="E75" s="16">
        <v>8000000.0</v>
      </c>
      <c r="F75" s="16">
        <v>6000000.0</v>
      </c>
      <c r="G75" s="16">
        <v>5000000.0</v>
      </c>
      <c r="H75" s="46">
        <f t="shared" si="6"/>
        <v>6000000</v>
      </c>
      <c r="I75" s="9" t="s">
        <v>530</v>
      </c>
      <c r="J75" s="24" t="s">
        <v>89</v>
      </c>
      <c r="K75" s="9" t="s">
        <v>531</v>
      </c>
      <c r="L75" s="25" t="s">
        <v>82</v>
      </c>
    </row>
    <row r="76" ht="15.0" customHeight="1">
      <c r="A76" s="18" t="s">
        <v>534</v>
      </c>
      <c r="B76" s="19"/>
      <c r="C76" s="19"/>
      <c r="D76" s="19"/>
      <c r="E76" s="19"/>
      <c r="F76" s="19"/>
      <c r="G76" s="19"/>
      <c r="H76" s="19"/>
      <c r="I76" s="19"/>
      <c r="J76" s="19"/>
    </row>
    <row r="77" ht="27.0" customHeight="1">
      <c r="A77" s="20" t="s">
        <v>541</v>
      </c>
      <c r="B77" s="13" t="s">
        <v>542</v>
      </c>
      <c r="C77" s="13" t="s">
        <v>543</v>
      </c>
      <c r="D77" s="13" t="s">
        <v>166</v>
      </c>
      <c r="E77" s="55">
        <v>1.15</v>
      </c>
      <c r="F77" s="55">
        <v>1.0</v>
      </c>
      <c r="G77" s="55">
        <v>0.95</v>
      </c>
      <c r="H77" s="37">
        <f t="shared" ref="H77:H90" si="7">CHOOSE($D$4,E77,F77,G77)</f>
        <v>1</v>
      </c>
      <c r="I77" s="9" t="s">
        <v>556</v>
      </c>
      <c r="J77" s="24" t="s">
        <v>95</v>
      </c>
      <c r="K77" s="9" t="s">
        <v>557</v>
      </c>
      <c r="L77" s="29" t="s">
        <v>91</v>
      </c>
    </row>
    <row r="78" ht="15.0" customHeight="1">
      <c r="A78" s="20" t="s">
        <v>558</v>
      </c>
      <c r="B78" s="13" t="s">
        <v>542</v>
      </c>
      <c r="C78" s="13" t="s">
        <v>560</v>
      </c>
      <c r="D78" s="13" t="s">
        <v>99</v>
      </c>
      <c r="E78" s="30">
        <v>0.15</v>
      </c>
      <c r="F78" s="30">
        <v>0.1</v>
      </c>
      <c r="G78" s="30">
        <v>0.075</v>
      </c>
      <c r="H78" s="32">
        <f t="shared" si="7"/>
        <v>0.1</v>
      </c>
      <c r="I78" s="9" t="s">
        <v>562</v>
      </c>
      <c r="J78" s="24" t="s">
        <v>95</v>
      </c>
      <c r="K78" s="9" t="s">
        <v>563</v>
      </c>
      <c r="L78" s="25" t="s">
        <v>82</v>
      </c>
    </row>
    <row r="79" ht="15.0" customHeight="1">
      <c r="A79" s="20" t="s">
        <v>565</v>
      </c>
      <c r="B79" s="13" t="s">
        <v>542</v>
      </c>
      <c r="C79" s="13" t="s">
        <v>566</v>
      </c>
      <c r="D79" s="13" t="s">
        <v>245</v>
      </c>
      <c r="E79" s="39">
        <v>1.5</v>
      </c>
      <c r="F79" s="39">
        <v>1.0</v>
      </c>
      <c r="G79" s="39">
        <v>0.75</v>
      </c>
      <c r="H79" s="40">
        <f t="shared" si="7"/>
        <v>1</v>
      </c>
      <c r="I79" s="9" t="s">
        <v>569</v>
      </c>
      <c r="J79" s="24" t="s">
        <v>89</v>
      </c>
      <c r="K79" s="9" t="s">
        <v>572</v>
      </c>
      <c r="L79" s="29" t="s">
        <v>91</v>
      </c>
    </row>
    <row r="80" ht="27.0" customHeight="1">
      <c r="A80" s="20" t="s">
        <v>573</v>
      </c>
      <c r="B80" s="13" t="s">
        <v>542</v>
      </c>
      <c r="C80" s="13" t="s">
        <v>574</v>
      </c>
      <c r="D80" s="13" t="s">
        <v>245</v>
      </c>
      <c r="E80" s="39">
        <v>3.0</v>
      </c>
      <c r="F80" s="39">
        <v>3.0</v>
      </c>
      <c r="G80" s="39">
        <v>2.0</v>
      </c>
      <c r="H80" s="40">
        <f t="shared" si="7"/>
        <v>3</v>
      </c>
      <c r="I80" s="9" t="s">
        <v>576</v>
      </c>
      <c r="J80" s="24" t="s">
        <v>95</v>
      </c>
      <c r="K80" s="9" t="s">
        <v>577</v>
      </c>
      <c r="L80" s="29" t="s">
        <v>91</v>
      </c>
    </row>
    <row r="81" ht="27.0" customHeight="1">
      <c r="A81" s="20" t="s">
        <v>578</v>
      </c>
      <c r="B81" s="13" t="s">
        <v>542</v>
      </c>
      <c r="C81" s="13" t="s">
        <v>579</v>
      </c>
      <c r="D81" s="13" t="s">
        <v>580</v>
      </c>
      <c r="E81" s="21">
        <v>5.0</v>
      </c>
      <c r="F81" s="21">
        <v>5.0</v>
      </c>
      <c r="G81" s="21">
        <v>5.0</v>
      </c>
      <c r="H81" s="23">
        <f t="shared" si="7"/>
        <v>5</v>
      </c>
      <c r="I81" s="9" t="s">
        <v>583</v>
      </c>
      <c r="J81" s="24" t="s">
        <v>95</v>
      </c>
      <c r="K81" s="9" t="s">
        <v>585</v>
      </c>
      <c r="L81" s="25" t="s">
        <v>82</v>
      </c>
    </row>
    <row r="82" ht="15.0" customHeight="1">
      <c r="A82" s="20" t="s">
        <v>586</v>
      </c>
      <c r="B82" s="13" t="s">
        <v>587</v>
      </c>
      <c r="C82" s="13" t="s">
        <v>588</v>
      </c>
      <c r="D82" s="13" t="s">
        <v>388</v>
      </c>
      <c r="E82" s="57">
        <v>200000.0</v>
      </c>
      <c r="F82" s="57">
        <v>200000.0</v>
      </c>
      <c r="G82" s="57">
        <v>200000.0</v>
      </c>
      <c r="H82" s="59">
        <f t="shared" si="7"/>
        <v>200000</v>
      </c>
      <c r="I82" s="9" t="s">
        <v>597</v>
      </c>
      <c r="J82" s="24" t="s">
        <v>80</v>
      </c>
      <c r="K82" s="9" t="s">
        <v>598</v>
      </c>
      <c r="L82" s="34" t="s">
        <v>153</v>
      </c>
    </row>
    <row r="83" ht="15.0" customHeight="1">
      <c r="A83" s="20" t="s">
        <v>599</v>
      </c>
      <c r="B83" s="13" t="s">
        <v>587</v>
      </c>
      <c r="C83" s="13" t="s">
        <v>600</v>
      </c>
      <c r="D83" s="13" t="s">
        <v>603</v>
      </c>
      <c r="E83" s="21">
        <v>1.0</v>
      </c>
      <c r="F83" s="21">
        <v>1.0</v>
      </c>
      <c r="G83" s="21">
        <v>1.0</v>
      </c>
      <c r="H83" s="23">
        <f t="shared" si="7"/>
        <v>1</v>
      </c>
      <c r="I83" s="9" t="s">
        <v>607</v>
      </c>
      <c r="J83" s="24" t="s">
        <v>150</v>
      </c>
      <c r="K83" s="9" t="s">
        <v>608</v>
      </c>
      <c r="L83" s="34" t="s">
        <v>153</v>
      </c>
    </row>
    <row r="84" ht="27.0" customHeight="1">
      <c r="A84" s="20" t="s">
        <v>611</v>
      </c>
      <c r="B84" s="13" t="s">
        <v>587</v>
      </c>
      <c r="C84" s="13" t="s">
        <v>612</v>
      </c>
      <c r="D84" s="13" t="s">
        <v>99</v>
      </c>
      <c r="E84" s="30">
        <v>0.12</v>
      </c>
      <c r="F84" s="30">
        <v>0.105</v>
      </c>
      <c r="G84" s="30">
        <v>0.09</v>
      </c>
      <c r="H84" s="32">
        <f t="shared" si="7"/>
        <v>0.105</v>
      </c>
      <c r="I84" s="9" t="s">
        <v>615</v>
      </c>
      <c r="J84" s="24" t="s">
        <v>89</v>
      </c>
      <c r="K84" s="9" t="s">
        <v>618</v>
      </c>
      <c r="L84" s="25" t="s">
        <v>82</v>
      </c>
    </row>
    <row r="85" ht="15.0" customHeight="1">
      <c r="A85" s="20" t="s">
        <v>621</v>
      </c>
      <c r="B85" s="13" t="s">
        <v>587</v>
      </c>
      <c r="C85" s="13" t="s">
        <v>623</v>
      </c>
      <c r="D85" s="13" t="s">
        <v>245</v>
      </c>
      <c r="E85" s="21">
        <v>36.0</v>
      </c>
      <c r="F85" s="21">
        <v>48.0</v>
      </c>
      <c r="G85" s="21">
        <v>60.0</v>
      </c>
      <c r="H85" s="23">
        <f t="shared" si="7"/>
        <v>48</v>
      </c>
      <c r="I85" s="9" t="s">
        <v>627</v>
      </c>
      <c r="J85" s="24" t="s">
        <v>89</v>
      </c>
      <c r="K85" s="9" t="s">
        <v>628</v>
      </c>
      <c r="L85" s="38" t="s">
        <v>176</v>
      </c>
    </row>
    <row r="86" ht="15.0" customHeight="1">
      <c r="A86" s="20" t="s">
        <v>629</v>
      </c>
      <c r="B86" s="13" t="s">
        <v>630</v>
      </c>
      <c r="C86" s="13" t="s">
        <v>632</v>
      </c>
      <c r="D86" s="13" t="s">
        <v>34</v>
      </c>
      <c r="E86" s="21">
        <v>2.0</v>
      </c>
      <c r="F86" s="21">
        <v>1.0</v>
      </c>
      <c r="G86" s="21">
        <v>1.0</v>
      </c>
      <c r="H86" s="23">
        <f t="shared" si="7"/>
        <v>1</v>
      </c>
      <c r="I86" s="9" t="s">
        <v>634</v>
      </c>
      <c r="J86" s="24" t="s">
        <v>95</v>
      </c>
      <c r="K86" s="9" t="s">
        <v>635</v>
      </c>
      <c r="L86" s="25" t="s">
        <v>82</v>
      </c>
    </row>
    <row r="87" ht="15.0" customHeight="1">
      <c r="A87" s="20" t="s">
        <v>639</v>
      </c>
      <c r="B87" s="13" t="s">
        <v>630</v>
      </c>
      <c r="C87" s="13" t="s">
        <v>640</v>
      </c>
      <c r="D87" s="13" t="s">
        <v>210</v>
      </c>
      <c r="E87" s="16">
        <v>2.5E9</v>
      </c>
      <c r="F87" s="16">
        <v>2.5E9</v>
      </c>
      <c r="G87" s="16">
        <v>2.5E9</v>
      </c>
      <c r="H87" s="46">
        <f t="shared" si="7"/>
        <v>2500000000</v>
      </c>
      <c r="I87" s="9" t="s">
        <v>643</v>
      </c>
      <c r="J87" s="24" t="s">
        <v>95</v>
      </c>
      <c r="K87" s="9" t="s">
        <v>645</v>
      </c>
      <c r="L87" s="25" t="s">
        <v>124</v>
      </c>
    </row>
    <row r="88" ht="27.0" customHeight="1">
      <c r="A88" s="20" t="s">
        <v>646</v>
      </c>
      <c r="B88" s="13" t="s">
        <v>630</v>
      </c>
      <c r="C88" s="13" t="s">
        <v>647</v>
      </c>
      <c r="D88" s="13" t="s">
        <v>210</v>
      </c>
      <c r="E88" s="16">
        <v>1.0E10</v>
      </c>
      <c r="F88" s="16">
        <v>1.0E10</v>
      </c>
      <c r="G88" s="16">
        <v>1.0E10</v>
      </c>
      <c r="H88" s="46">
        <f t="shared" si="7"/>
        <v>10000000000</v>
      </c>
      <c r="I88" s="9" t="s">
        <v>650</v>
      </c>
      <c r="J88" s="24" t="s">
        <v>95</v>
      </c>
      <c r="K88" s="9" t="s">
        <v>651</v>
      </c>
      <c r="L88" s="25" t="s">
        <v>124</v>
      </c>
    </row>
    <row r="89" ht="27.0" customHeight="1">
      <c r="A89" s="20" t="s">
        <v>652</v>
      </c>
      <c r="B89" s="13" t="s">
        <v>653</v>
      </c>
      <c r="C89" s="13" t="s">
        <v>654</v>
      </c>
      <c r="D89" s="13" t="s">
        <v>99</v>
      </c>
      <c r="E89" s="30">
        <v>0.18</v>
      </c>
      <c r="F89" s="30">
        <v>0.15</v>
      </c>
      <c r="G89" s="30">
        <v>0.12</v>
      </c>
      <c r="H89" s="32">
        <f t="shared" si="7"/>
        <v>0.15</v>
      </c>
      <c r="I89" s="9" t="s">
        <v>655</v>
      </c>
      <c r="J89" s="24" t="s">
        <v>89</v>
      </c>
      <c r="K89" s="9" t="s">
        <v>658</v>
      </c>
      <c r="L89" s="25" t="s">
        <v>82</v>
      </c>
    </row>
    <row r="90" ht="15.0" customHeight="1">
      <c r="A90" s="20" t="s">
        <v>659</v>
      </c>
      <c r="B90" s="13" t="s">
        <v>653</v>
      </c>
      <c r="C90" s="13" t="s">
        <v>660</v>
      </c>
      <c r="D90" s="13" t="s">
        <v>166</v>
      </c>
      <c r="E90" s="55">
        <v>0.0</v>
      </c>
      <c r="F90" s="55">
        <v>2.0</v>
      </c>
      <c r="G90" s="55">
        <v>3.0</v>
      </c>
      <c r="H90" s="37">
        <f t="shared" si="7"/>
        <v>2</v>
      </c>
      <c r="I90" s="9" t="s">
        <v>350</v>
      </c>
      <c r="J90" s="24" t="s">
        <v>89</v>
      </c>
      <c r="K90" s="9" t="s">
        <v>663</v>
      </c>
      <c r="L90" s="29" t="s">
        <v>91</v>
      </c>
    </row>
    <row r="91" ht="15.0" customHeight="1">
      <c r="A91" s="18" t="s">
        <v>664</v>
      </c>
      <c r="B91" s="19"/>
      <c r="C91" s="19"/>
      <c r="D91" s="19"/>
      <c r="E91" s="19"/>
      <c r="F91" s="19"/>
      <c r="G91" s="19"/>
      <c r="H91" s="19"/>
      <c r="I91" s="19"/>
      <c r="J91" s="19"/>
    </row>
    <row r="92" ht="40.5" customHeight="1">
      <c r="A92" s="20" t="s">
        <v>667</v>
      </c>
      <c r="B92" s="13" t="s">
        <v>668</v>
      </c>
      <c r="C92" s="13" t="s">
        <v>669</v>
      </c>
      <c r="D92" s="13" t="s">
        <v>671</v>
      </c>
      <c r="E92" s="49">
        <v>1.0</v>
      </c>
      <c r="F92" s="49">
        <v>1.0</v>
      </c>
      <c r="G92" s="49">
        <v>1.0</v>
      </c>
      <c r="H92" s="71">
        <f t="shared" ref="H92:H103" si="8">CHOOSE($D$4,E92,F92,G92)</f>
        <v>1</v>
      </c>
      <c r="I92" s="9" t="s">
        <v>679</v>
      </c>
      <c r="J92" s="24" t="s">
        <v>89</v>
      </c>
      <c r="K92" s="9" t="s">
        <v>681</v>
      </c>
      <c r="L92" s="38" t="s">
        <v>176</v>
      </c>
    </row>
    <row r="93" ht="40.5" customHeight="1">
      <c r="A93" s="20" t="s">
        <v>684</v>
      </c>
      <c r="B93" s="13" t="s">
        <v>668</v>
      </c>
      <c r="C93" s="13" t="s">
        <v>685</v>
      </c>
      <c r="D93" s="13" t="s">
        <v>671</v>
      </c>
      <c r="E93" s="49">
        <v>0.92</v>
      </c>
      <c r="F93" s="49">
        <v>0.92</v>
      </c>
      <c r="G93" s="49">
        <v>0.92</v>
      </c>
      <c r="H93" s="71">
        <f t="shared" si="8"/>
        <v>0.92</v>
      </c>
      <c r="I93" s="9" t="s">
        <v>679</v>
      </c>
      <c r="J93" s="24" t="s">
        <v>89</v>
      </c>
      <c r="K93" s="9" t="s">
        <v>681</v>
      </c>
      <c r="L93" s="38" t="s">
        <v>176</v>
      </c>
    </row>
    <row r="94" ht="40.5" customHeight="1">
      <c r="A94" s="20" t="s">
        <v>689</v>
      </c>
      <c r="B94" s="13" t="s">
        <v>668</v>
      </c>
      <c r="C94" s="13" t="s">
        <v>691</v>
      </c>
      <c r="D94" s="13" t="s">
        <v>671</v>
      </c>
      <c r="E94" s="49">
        <v>0.95</v>
      </c>
      <c r="F94" s="49">
        <v>0.95</v>
      </c>
      <c r="G94" s="49">
        <v>0.95</v>
      </c>
      <c r="H94" s="71">
        <f t="shared" si="8"/>
        <v>0.95</v>
      </c>
      <c r="I94" s="9" t="s">
        <v>679</v>
      </c>
      <c r="J94" s="24" t="s">
        <v>89</v>
      </c>
      <c r="K94" s="9" t="s">
        <v>681</v>
      </c>
      <c r="L94" s="38" t="s">
        <v>176</v>
      </c>
    </row>
    <row r="95" ht="40.5" customHeight="1">
      <c r="A95" s="20" t="s">
        <v>697</v>
      </c>
      <c r="B95" s="13" t="s">
        <v>668</v>
      </c>
      <c r="C95" s="13" t="s">
        <v>699</v>
      </c>
      <c r="D95" s="13" t="s">
        <v>671</v>
      </c>
      <c r="E95" s="49">
        <v>1.0</v>
      </c>
      <c r="F95" s="49">
        <v>1.0</v>
      </c>
      <c r="G95" s="49">
        <v>1.0</v>
      </c>
      <c r="H95" s="71">
        <f t="shared" si="8"/>
        <v>1</v>
      </c>
      <c r="I95" s="9" t="s">
        <v>679</v>
      </c>
      <c r="J95" s="24" t="s">
        <v>89</v>
      </c>
      <c r="K95" s="9" t="s">
        <v>681</v>
      </c>
      <c r="L95" s="38" t="s">
        <v>176</v>
      </c>
    </row>
    <row r="96" ht="40.5" customHeight="1">
      <c r="A96" s="20" t="s">
        <v>707</v>
      </c>
      <c r="B96" s="13" t="s">
        <v>668</v>
      </c>
      <c r="C96" s="13" t="s">
        <v>708</v>
      </c>
      <c r="D96" s="13" t="s">
        <v>671</v>
      </c>
      <c r="E96" s="49">
        <v>1.0</v>
      </c>
      <c r="F96" s="49">
        <v>1.0</v>
      </c>
      <c r="G96" s="49">
        <v>1.0</v>
      </c>
      <c r="H96" s="71">
        <f t="shared" si="8"/>
        <v>1</v>
      </c>
      <c r="I96" s="9" t="s">
        <v>679</v>
      </c>
      <c r="J96" s="24" t="s">
        <v>89</v>
      </c>
      <c r="K96" s="9" t="s">
        <v>681</v>
      </c>
      <c r="L96" s="38" t="s">
        <v>176</v>
      </c>
    </row>
    <row r="97" ht="40.5" customHeight="1">
      <c r="A97" s="20" t="s">
        <v>713</v>
      </c>
      <c r="B97" s="13" t="s">
        <v>668</v>
      </c>
      <c r="C97" s="13" t="s">
        <v>714</v>
      </c>
      <c r="D97" s="13" t="s">
        <v>671</v>
      </c>
      <c r="E97" s="49">
        <v>1.0</v>
      </c>
      <c r="F97" s="49">
        <v>1.0</v>
      </c>
      <c r="G97" s="49">
        <v>1.0</v>
      </c>
      <c r="H97" s="71">
        <f t="shared" si="8"/>
        <v>1</v>
      </c>
      <c r="I97" s="9" t="s">
        <v>679</v>
      </c>
      <c r="J97" s="24" t="s">
        <v>89</v>
      </c>
      <c r="K97" s="9" t="s">
        <v>681</v>
      </c>
      <c r="L97" s="38" t="s">
        <v>176</v>
      </c>
    </row>
    <row r="98" ht="40.5" customHeight="1">
      <c r="A98" s="20" t="s">
        <v>717</v>
      </c>
      <c r="B98" s="13" t="s">
        <v>668</v>
      </c>
      <c r="C98" s="13" t="s">
        <v>718</v>
      </c>
      <c r="D98" s="13" t="s">
        <v>671</v>
      </c>
      <c r="E98" s="49">
        <v>1.0</v>
      </c>
      <c r="F98" s="49">
        <v>1.0</v>
      </c>
      <c r="G98" s="49">
        <v>1.0</v>
      </c>
      <c r="H98" s="71">
        <f t="shared" si="8"/>
        <v>1</v>
      </c>
      <c r="I98" s="9" t="s">
        <v>679</v>
      </c>
      <c r="J98" s="24" t="s">
        <v>89</v>
      </c>
      <c r="K98" s="9" t="s">
        <v>681</v>
      </c>
      <c r="L98" s="38" t="s">
        <v>176</v>
      </c>
    </row>
    <row r="99" ht="40.5" customHeight="1">
      <c r="A99" s="20" t="s">
        <v>721</v>
      </c>
      <c r="B99" s="13" t="s">
        <v>668</v>
      </c>
      <c r="C99" s="13" t="s">
        <v>722</v>
      </c>
      <c r="D99" s="13" t="s">
        <v>671</v>
      </c>
      <c r="E99" s="49">
        <v>1.0</v>
      </c>
      <c r="F99" s="49">
        <v>1.0</v>
      </c>
      <c r="G99" s="49">
        <v>1.0</v>
      </c>
      <c r="H99" s="71">
        <f t="shared" si="8"/>
        <v>1</v>
      </c>
      <c r="I99" s="9" t="s">
        <v>679</v>
      </c>
      <c r="J99" s="24" t="s">
        <v>89</v>
      </c>
      <c r="K99" s="9" t="s">
        <v>681</v>
      </c>
      <c r="L99" s="38" t="s">
        <v>176</v>
      </c>
    </row>
    <row r="100" ht="40.5" customHeight="1">
      <c r="A100" s="20" t="s">
        <v>726</v>
      </c>
      <c r="B100" s="13" t="s">
        <v>668</v>
      </c>
      <c r="C100" s="13" t="s">
        <v>727</v>
      </c>
      <c r="D100" s="13" t="s">
        <v>671</v>
      </c>
      <c r="E100" s="49">
        <v>1.0</v>
      </c>
      <c r="F100" s="49">
        <v>1.0</v>
      </c>
      <c r="G100" s="49">
        <v>1.0</v>
      </c>
      <c r="H100" s="71">
        <f t="shared" si="8"/>
        <v>1</v>
      </c>
      <c r="I100" s="9" t="s">
        <v>679</v>
      </c>
      <c r="J100" s="24" t="s">
        <v>89</v>
      </c>
      <c r="K100" s="9" t="s">
        <v>681</v>
      </c>
      <c r="L100" s="38" t="s">
        <v>176</v>
      </c>
    </row>
    <row r="101" ht="40.5" customHeight="1">
      <c r="A101" s="20" t="s">
        <v>730</v>
      </c>
      <c r="B101" s="13" t="s">
        <v>668</v>
      </c>
      <c r="C101" s="13" t="s">
        <v>731</v>
      </c>
      <c r="D101" s="13" t="s">
        <v>671</v>
      </c>
      <c r="E101" s="49">
        <v>1.0</v>
      </c>
      <c r="F101" s="49">
        <v>1.0</v>
      </c>
      <c r="G101" s="49">
        <v>1.0</v>
      </c>
      <c r="H101" s="71">
        <f t="shared" si="8"/>
        <v>1</v>
      </c>
      <c r="I101" s="9" t="s">
        <v>679</v>
      </c>
      <c r="J101" s="24" t="s">
        <v>89</v>
      </c>
      <c r="K101" s="9" t="s">
        <v>681</v>
      </c>
      <c r="L101" s="38" t="s">
        <v>176</v>
      </c>
    </row>
    <row r="102" ht="40.5" customHeight="1">
      <c r="A102" s="20" t="s">
        <v>735</v>
      </c>
      <c r="B102" s="13" t="s">
        <v>668</v>
      </c>
      <c r="C102" s="13" t="s">
        <v>736</v>
      </c>
      <c r="D102" s="13" t="s">
        <v>671</v>
      </c>
      <c r="E102" s="49">
        <v>1.0</v>
      </c>
      <c r="F102" s="49">
        <v>1.0</v>
      </c>
      <c r="G102" s="49">
        <v>1.0</v>
      </c>
      <c r="H102" s="71">
        <f t="shared" si="8"/>
        <v>1</v>
      </c>
      <c r="I102" s="9" t="s">
        <v>679</v>
      </c>
      <c r="J102" s="24" t="s">
        <v>89</v>
      </c>
      <c r="K102" s="9" t="s">
        <v>681</v>
      </c>
      <c r="L102" s="38" t="s">
        <v>176</v>
      </c>
    </row>
    <row r="103" ht="40.5" customHeight="1">
      <c r="A103" s="20" t="s">
        <v>737</v>
      </c>
      <c r="B103" s="13" t="s">
        <v>668</v>
      </c>
      <c r="C103" s="13" t="s">
        <v>739</v>
      </c>
      <c r="D103" s="13" t="s">
        <v>671</v>
      </c>
      <c r="E103" s="49">
        <v>1.08</v>
      </c>
      <c r="F103" s="49">
        <v>1.08</v>
      </c>
      <c r="G103" s="49">
        <v>1.08</v>
      </c>
      <c r="H103" s="71">
        <f t="shared" si="8"/>
        <v>1.08</v>
      </c>
      <c r="I103" s="9" t="s">
        <v>679</v>
      </c>
      <c r="J103" s="24" t="s">
        <v>89</v>
      </c>
      <c r="K103" s="9" t="s">
        <v>681</v>
      </c>
      <c r="L103" s="38" t="s">
        <v>176</v>
      </c>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decimal" allowBlank="1" sqref="D4">
      <formula1>1.0</formula1>
      <formula2>3.0</formula2>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6.0"/>
    <col customWidth="1" min="2" max="2" width="19.71"/>
    <col customWidth="1" min="3" max="3" width="40.0"/>
    <col customWidth="1" min="4" max="4" width="18.0"/>
    <col customWidth="1" min="5" max="5" width="16.0"/>
    <col customWidth="1" min="6" max="6" width="8.0"/>
    <col customWidth="1" min="7" max="7" width="16.0"/>
    <col customWidth="1" min="8" max="8" width="10.0"/>
    <col customWidth="1" min="9" max="9" width="8.0"/>
    <col customWidth="1" min="10" max="10" width="14.0"/>
    <col customWidth="1" min="11" max="11" width="8.0"/>
    <col customWidth="1" min="12" max="12" width="30.0"/>
    <col customWidth="1" min="13" max="13" width="55.0"/>
    <col customWidth="1" min="14" max="14" width="12.0"/>
    <col customWidth="1" min="15" max="15" width="16.0"/>
    <col customWidth="1" min="16" max="16" width="40.0"/>
    <col customWidth="1" min="17" max="17" width="18.0"/>
    <col customWidth="1" min="18" max="18" width="48.71"/>
    <col customWidth="1" min="19" max="19" width="27.86"/>
    <col customWidth="1" min="20" max="20" width="70.0"/>
    <col customWidth="1" min="21" max="26" width="8.71"/>
  </cols>
  <sheetData>
    <row r="1" ht="17.25" customHeight="1">
      <c r="A1" s="1" t="s">
        <v>7</v>
      </c>
    </row>
    <row r="2" ht="15.0" customHeight="1">
      <c r="A2" s="2" t="s">
        <v>8</v>
      </c>
    </row>
    <row r="3" ht="15.0" customHeight="1">
      <c r="A3" s="4" t="s">
        <v>9</v>
      </c>
      <c r="B3" s="8" t="s">
        <v>10</v>
      </c>
      <c r="C3" s="8"/>
      <c r="D3" s="8"/>
      <c r="E3" s="8"/>
      <c r="F3" s="8"/>
      <c r="G3" s="8"/>
      <c r="H3" s="8"/>
      <c r="I3" s="8"/>
      <c r="J3" s="8"/>
      <c r="K3" s="8"/>
      <c r="L3" s="8"/>
      <c r="M3" s="2" t="s">
        <v>26</v>
      </c>
    </row>
    <row r="4" ht="15.0" customHeight="1">
      <c r="A4" s="4"/>
      <c r="B4" s="8" t="s">
        <v>28</v>
      </c>
      <c r="C4" s="8"/>
      <c r="D4" s="8"/>
      <c r="E4" s="8"/>
      <c r="F4" s="8"/>
      <c r="G4" s="8"/>
      <c r="H4" s="8"/>
      <c r="I4" s="8"/>
      <c r="J4" s="8"/>
      <c r="K4" s="8"/>
      <c r="L4" s="8"/>
      <c r="M4" s="2"/>
    </row>
    <row r="5" ht="15.0" customHeight="1">
      <c r="B5" s="8" t="s">
        <v>31</v>
      </c>
      <c r="C5" s="8"/>
      <c r="D5" s="8"/>
      <c r="E5" s="8"/>
      <c r="F5" s="8"/>
      <c r="G5" s="8"/>
      <c r="H5" s="8"/>
      <c r="I5" s="8"/>
      <c r="J5" s="8"/>
      <c r="K5" s="8"/>
      <c r="L5" s="8"/>
      <c r="M5" s="2"/>
    </row>
    <row r="6" ht="15.0" customHeight="1">
      <c r="M6" s="2"/>
    </row>
    <row r="7" ht="23.25" customHeight="1">
      <c r="A7" s="12" t="s">
        <v>34</v>
      </c>
      <c r="B7" s="12" t="s">
        <v>35</v>
      </c>
      <c r="C7" s="12" t="s">
        <v>36</v>
      </c>
      <c r="D7" s="12" t="s">
        <v>37</v>
      </c>
      <c r="E7" s="12" t="s">
        <v>38</v>
      </c>
      <c r="F7" s="12" t="s">
        <v>40</v>
      </c>
      <c r="G7" s="12" t="s">
        <v>41</v>
      </c>
      <c r="H7" s="12" t="s">
        <v>42</v>
      </c>
      <c r="I7" s="12" t="s">
        <v>43</v>
      </c>
      <c r="J7" s="12" t="s">
        <v>44</v>
      </c>
      <c r="K7" s="12" t="s">
        <v>45</v>
      </c>
      <c r="L7" s="12" t="s">
        <v>46</v>
      </c>
      <c r="M7" s="12" t="s">
        <v>47</v>
      </c>
      <c r="N7" s="12" t="s">
        <v>48</v>
      </c>
      <c r="O7" s="12" t="s">
        <v>49</v>
      </c>
      <c r="P7" s="12" t="s">
        <v>51</v>
      </c>
      <c r="Q7" s="12" t="s">
        <v>53</v>
      </c>
      <c r="R7" s="12" t="s">
        <v>55</v>
      </c>
      <c r="S7" s="12" t="s">
        <v>56</v>
      </c>
      <c r="T7" s="12" t="s">
        <v>58</v>
      </c>
    </row>
    <row r="8" ht="15.0" customHeight="1">
      <c r="A8" s="13">
        <v>3.0</v>
      </c>
      <c r="B8" s="14" t="s">
        <v>65</v>
      </c>
      <c r="C8" s="13" t="s">
        <v>67</v>
      </c>
      <c r="D8" s="13" t="s">
        <v>68</v>
      </c>
      <c r="E8" s="16">
        <v>9.5E7</v>
      </c>
      <c r="F8" s="17" t="s">
        <v>71</v>
      </c>
      <c r="G8" s="22">
        <f t="shared" ref="G8:G9" si="1">IF(F8="year",E8/12,E8)</f>
        <v>95000000</v>
      </c>
      <c r="H8" s="21">
        <v>191.0</v>
      </c>
      <c r="J8" s="22">
        <f t="shared" ref="J8:J9" si="2">G8/H8</f>
        <v>497382.199</v>
      </c>
      <c r="K8" s="13" t="s">
        <v>76</v>
      </c>
      <c r="L8" s="13" t="s">
        <v>77</v>
      </c>
      <c r="M8" s="13" t="s">
        <v>78</v>
      </c>
      <c r="N8" s="26" t="str">
        <f>HYPERLINK("https://www.google.com/maps/search/?api=1&amp;query=Pacific+Century+Place+SCBD+Jakarta","Google Maps")</f>
        <v>Google Maps</v>
      </c>
      <c r="O8" s="26" t="str">
        <f>HYPERLINK("https://www.rumah123.com/en/property/jakarta-selatan-scbd/disewakan-space-utk-resto-bar-rooftop-di-pacific-century-tower-scbd-csr3740301/","Open ad")</f>
        <v>Open ad</v>
      </c>
      <c r="P8" s="31" t="s">
        <v>87</v>
      </c>
      <c r="Q8" s="13" t="s">
        <v>101</v>
      </c>
      <c r="R8" s="13" t="s">
        <v>102</v>
      </c>
      <c r="S8" s="13" t="s">
        <v>103</v>
      </c>
      <c r="T8" s="13" t="s">
        <v>104</v>
      </c>
    </row>
    <row r="9" ht="15.0" customHeight="1">
      <c r="A9" s="13">
        <v>5.0</v>
      </c>
      <c r="B9" s="14" t="s">
        <v>65</v>
      </c>
      <c r="C9" s="13" t="s">
        <v>108</v>
      </c>
      <c r="D9" s="13" t="s">
        <v>109</v>
      </c>
      <c r="E9" s="16">
        <v>6.016E7</v>
      </c>
      <c r="F9" s="17" t="s">
        <v>71</v>
      </c>
      <c r="G9" s="22">
        <f t="shared" si="1"/>
        <v>60160000</v>
      </c>
      <c r="H9" s="21">
        <v>188.0</v>
      </c>
      <c r="J9" s="22">
        <f t="shared" si="2"/>
        <v>320000</v>
      </c>
      <c r="K9" s="13" t="s">
        <v>114</v>
      </c>
      <c r="L9" s="13" t="s">
        <v>115</v>
      </c>
      <c r="M9" s="13" t="s">
        <v>116</v>
      </c>
      <c r="N9" s="26" t="str">
        <f>HYPERLINK("https://www.google.com/maps/search/?api=1&amp;query=Equity+Tower+SCBD+Jakarta","Google Maps")</f>
        <v>Google Maps</v>
      </c>
      <c r="O9" s="26" t="str">
        <f>HYPERLINK("https://www.rumah123.com/en/rent/jakarta-selatan/scbd/commercial-space/","Open results page")</f>
        <v>Open results page</v>
      </c>
      <c r="P9" s="31" t="s">
        <v>127</v>
      </c>
      <c r="Q9" s="13" t="s">
        <v>135</v>
      </c>
      <c r="R9" s="13" t="s">
        <v>136</v>
      </c>
      <c r="S9" s="13" t="s">
        <v>137</v>
      </c>
      <c r="T9" s="13" t="s">
        <v>138</v>
      </c>
    </row>
    <row r="11" ht="15.0" customHeight="1">
      <c r="A11" s="13">
        <v>6.0</v>
      </c>
      <c r="B11" s="14" t="s">
        <v>141</v>
      </c>
      <c r="C11" s="13" t="s">
        <v>143</v>
      </c>
      <c r="D11" s="13" t="s">
        <v>144</v>
      </c>
      <c r="E11" s="16">
        <v>5.2E8</v>
      </c>
      <c r="F11" s="17" t="s">
        <v>146</v>
      </c>
      <c r="G11" s="22">
        <f>IF(F11="year",E11/12,E11)</f>
        <v>43333333.33</v>
      </c>
      <c r="H11" s="21">
        <v>150.0</v>
      </c>
      <c r="I11" s="33">
        <v>1.0</v>
      </c>
      <c r="J11" s="22">
        <f>G11/H11</f>
        <v>288888.8889</v>
      </c>
      <c r="K11" s="13" t="s">
        <v>155</v>
      </c>
      <c r="L11" s="13" t="s">
        <v>157</v>
      </c>
      <c r="M11" s="13" t="s">
        <v>160</v>
      </c>
      <c r="N11" s="26" t="str">
        <f>HYPERLINK("https://www.google.com/maps/search/?api=1&amp;query=" &amp; SUBSTITUTE(M11," ","+"),"Google Maps")</f>
        <v>Google Maps</v>
      </c>
      <c r="O11" s="26" t="str">
        <f>HYPERLINK(P11,"Open results page")</f>
        <v>Open results page</v>
      </c>
      <c r="P11" s="31" t="s">
        <v>167</v>
      </c>
      <c r="Q11" s="13" t="s">
        <v>196</v>
      </c>
      <c r="R11" s="13" t="s">
        <v>197</v>
      </c>
      <c r="S11" s="13" t="s">
        <v>198</v>
      </c>
      <c r="T11" s="13" t="s">
        <v>200</v>
      </c>
    </row>
    <row r="13" ht="15.0" customHeight="1">
      <c r="A13" s="13">
        <v>7.0</v>
      </c>
      <c r="B13" s="13" t="s">
        <v>202</v>
      </c>
      <c r="C13" s="13" t="s">
        <v>203</v>
      </c>
      <c r="D13" s="13" t="s">
        <v>204</v>
      </c>
      <c r="E13" s="16">
        <v>2.9E7</v>
      </c>
      <c r="F13" s="17" t="s">
        <v>71</v>
      </c>
      <c r="G13" s="22">
        <f t="shared" ref="G13:G22" si="3">IF(F13="year",E13/12,E13)</f>
        <v>29000000</v>
      </c>
      <c r="H13" s="21">
        <v>185.0</v>
      </c>
      <c r="I13" s="33">
        <v>4.0</v>
      </c>
      <c r="J13" s="22">
        <f t="shared" ref="J13:J22" si="4">G13/H13</f>
        <v>156756.7568</v>
      </c>
      <c r="K13" s="13" t="s">
        <v>211</v>
      </c>
      <c r="L13" s="13"/>
      <c r="M13" s="13" t="s">
        <v>212</v>
      </c>
      <c r="N13" s="26" t="str">
        <f t="shared" ref="N13:N15" si="5">HYPERLINK("https://www.google.com/maps/search/?api=1&amp;query=Jl.+Wolter+Monginsidi+Kebayoran+Baru+Jakarta","Google Maps")</f>
        <v>Google Maps</v>
      </c>
      <c r="O13" s="26" t="str">
        <f>HYPERLINK("https://www.flokq.com/sewa-ruko-jakarta/ruko/RKRbd0","Open ad")</f>
        <v>Open ad</v>
      </c>
      <c r="P13" s="13" t="s">
        <v>213</v>
      </c>
      <c r="Q13" s="13" t="s">
        <v>214</v>
      </c>
      <c r="R13" s="13" t="s">
        <v>215</v>
      </c>
      <c r="S13" s="13" t="s">
        <v>137</v>
      </c>
      <c r="T13" s="13" t="s">
        <v>216</v>
      </c>
    </row>
    <row r="14" ht="15.0" customHeight="1">
      <c r="A14" s="13">
        <v>8.0</v>
      </c>
      <c r="B14" s="13" t="s">
        <v>202</v>
      </c>
      <c r="C14" s="13" t="s">
        <v>203</v>
      </c>
      <c r="D14" s="13" t="s">
        <v>204</v>
      </c>
      <c r="E14" s="16">
        <v>2.92E7</v>
      </c>
      <c r="F14" s="17" t="s">
        <v>71</v>
      </c>
      <c r="G14" s="22">
        <f t="shared" si="3"/>
        <v>29200000</v>
      </c>
      <c r="H14" s="21">
        <v>195.0</v>
      </c>
      <c r="I14" s="33">
        <v>3.0</v>
      </c>
      <c r="J14" s="22">
        <f t="shared" si="4"/>
        <v>149743.5897</v>
      </c>
      <c r="K14" s="13" t="s">
        <v>211</v>
      </c>
      <c r="L14" s="13"/>
      <c r="M14" s="13" t="s">
        <v>212</v>
      </c>
      <c r="N14" s="26" t="str">
        <f t="shared" si="5"/>
        <v>Google Maps</v>
      </c>
      <c r="O14" s="26" t="str">
        <f>HYPERLINK("https://www.flokq.com/sewa-ruko-jakarta/ruko/RKRfe7","Open ad")</f>
        <v>Open ad</v>
      </c>
      <c r="P14" s="13" t="s">
        <v>221</v>
      </c>
      <c r="Q14" s="13" t="s">
        <v>222</v>
      </c>
      <c r="R14" s="13" t="s">
        <v>215</v>
      </c>
      <c r="S14" s="13" t="s">
        <v>137</v>
      </c>
      <c r="T14" s="13" t="s">
        <v>216</v>
      </c>
    </row>
    <row r="15" ht="15.0" customHeight="1">
      <c r="A15" s="13">
        <v>9.0</v>
      </c>
      <c r="B15" s="13" t="s">
        <v>202</v>
      </c>
      <c r="C15" s="13" t="s">
        <v>203</v>
      </c>
      <c r="D15" s="13" t="s">
        <v>204</v>
      </c>
      <c r="E15" s="16">
        <v>1.67E7</v>
      </c>
      <c r="F15" s="17" t="s">
        <v>71</v>
      </c>
      <c r="G15" s="22">
        <f t="shared" si="3"/>
        <v>16700000</v>
      </c>
      <c r="H15" s="21">
        <v>160.0</v>
      </c>
      <c r="I15" s="33">
        <v>2.0</v>
      </c>
      <c r="J15" s="22">
        <f t="shared" si="4"/>
        <v>104375</v>
      </c>
      <c r="K15" s="13" t="s">
        <v>211</v>
      </c>
      <c r="L15" s="13"/>
      <c r="M15" s="13" t="s">
        <v>223</v>
      </c>
      <c r="N15" s="26" t="str">
        <f t="shared" si="5"/>
        <v>Google Maps</v>
      </c>
      <c r="O15" s="26" t="str">
        <f>HYPERLINK("https://www.flokq.com/sewa-ruko-jakarta/ruko/RKR37e","Open ad")</f>
        <v>Open ad</v>
      </c>
      <c r="P15" s="13" t="s">
        <v>224</v>
      </c>
      <c r="Q15" s="13" t="s">
        <v>225</v>
      </c>
      <c r="R15" s="13" t="s">
        <v>215</v>
      </c>
      <c r="S15" s="13" t="s">
        <v>137</v>
      </c>
      <c r="T15" s="13" t="s">
        <v>216</v>
      </c>
    </row>
    <row r="16" ht="15.0" customHeight="1">
      <c r="A16" s="13">
        <v>10.0</v>
      </c>
      <c r="B16" s="13" t="s">
        <v>202</v>
      </c>
      <c r="C16" s="13" t="s">
        <v>226</v>
      </c>
      <c r="D16" s="13" t="s">
        <v>204</v>
      </c>
      <c r="E16" s="16">
        <v>3.75E7</v>
      </c>
      <c r="F16" s="17" t="s">
        <v>71</v>
      </c>
      <c r="G16" s="22">
        <f t="shared" si="3"/>
        <v>37500000</v>
      </c>
      <c r="H16" s="21">
        <v>112.0</v>
      </c>
      <c r="I16" s="33">
        <v>2.0</v>
      </c>
      <c r="J16" s="22">
        <f t="shared" si="4"/>
        <v>334821.4286</v>
      </c>
      <c r="K16" s="13" t="s">
        <v>211</v>
      </c>
      <c r="L16" s="13"/>
      <c r="M16" s="13" t="s">
        <v>227</v>
      </c>
      <c r="N16" s="26" t="str">
        <f>HYPERLINK("https://www.google.com/maps/search/?api=1&amp;query=Jl.+Wijaya+I+Kebayoran+Baru+Jakarta","Google Maps")</f>
        <v>Google Maps</v>
      </c>
      <c r="O16" s="26" t="str">
        <f>HYPERLINK("https://www.flokq.com/sewa-ruko-jakarta/ruko/RKR485","Open ad")</f>
        <v>Open ad</v>
      </c>
      <c r="P16" s="13" t="s">
        <v>234</v>
      </c>
      <c r="Q16" s="13" t="s">
        <v>235</v>
      </c>
      <c r="R16" s="13" t="s">
        <v>215</v>
      </c>
      <c r="S16" s="13" t="s">
        <v>137</v>
      </c>
      <c r="T16" s="13" t="s">
        <v>237</v>
      </c>
    </row>
    <row r="17" ht="15.0" customHeight="1">
      <c r="A17" s="13">
        <v>11.0</v>
      </c>
      <c r="B17" s="13" t="s">
        <v>202</v>
      </c>
      <c r="C17" s="13" t="s">
        <v>239</v>
      </c>
      <c r="D17" s="13" t="s">
        <v>204</v>
      </c>
      <c r="E17" s="16">
        <v>1.25E7</v>
      </c>
      <c r="F17" s="17" t="s">
        <v>71</v>
      </c>
      <c r="G17" s="22">
        <f t="shared" si="3"/>
        <v>12500000</v>
      </c>
      <c r="H17" s="21">
        <v>150.0</v>
      </c>
      <c r="I17" s="33">
        <v>2.0</v>
      </c>
      <c r="J17" s="22">
        <f t="shared" si="4"/>
        <v>83333.33333</v>
      </c>
      <c r="K17" s="13" t="s">
        <v>211</v>
      </c>
      <c r="L17" s="13"/>
      <c r="M17" s="13" t="s">
        <v>241</v>
      </c>
      <c r="N17" s="26" t="str">
        <f>HYPERLINK("https://www.google.com/maps/search/?api=1&amp;query=Jl.+Haji+Nawi+Jakarta+Selatan","Google Maps")</f>
        <v>Google Maps</v>
      </c>
      <c r="O17" s="26" t="str">
        <f>HYPERLINK("https://www.flokq.com/sewa-ruko-jakarta/ruko/RKR7b7","Open ad")</f>
        <v>Open ad</v>
      </c>
      <c r="P17" s="13" t="s">
        <v>248</v>
      </c>
      <c r="Q17" s="13" t="s">
        <v>249</v>
      </c>
      <c r="R17" s="13" t="s">
        <v>215</v>
      </c>
      <c r="S17" s="13" t="s">
        <v>137</v>
      </c>
      <c r="T17" s="13" t="s">
        <v>250</v>
      </c>
    </row>
    <row r="18" ht="15.0" customHeight="1">
      <c r="A18" s="13">
        <v>12.0</v>
      </c>
      <c r="B18" s="13" t="s">
        <v>202</v>
      </c>
      <c r="C18" s="13" t="s">
        <v>253</v>
      </c>
      <c r="D18" s="13" t="s">
        <v>204</v>
      </c>
      <c r="E18" s="16">
        <v>2.3E7</v>
      </c>
      <c r="F18" s="17" t="s">
        <v>71</v>
      </c>
      <c r="G18" s="22">
        <f t="shared" si="3"/>
        <v>23000000</v>
      </c>
      <c r="H18" s="21">
        <v>143.0</v>
      </c>
      <c r="I18" s="33">
        <v>2.0</v>
      </c>
      <c r="J18" s="22">
        <f t="shared" si="4"/>
        <v>160839.1608</v>
      </c>
      <c r="K18" s="13" t="s">
        <v>211</v>
      </c>
      <c r="L18" s="13"/>
      <c r="M18" s="13" t="s">
        <v>255</v>
      </c>
      <c r="N18" s="26" t="str">
        <f>HYPERLINK("https://www.google.com/maps/search/?api=1&amp;query=Jl.+Haji+Nawi+Raya+Jakarta+Selatan","Google Maps")</f>
        <v>Google Maps</v>
      </c>
      <c r="O18" s="26" t="str">
        <f>HYPERLINK("https://www.flokq.com/sewa-ruko-jakarta/ruko/RKR678","Open ad")</f>
        <v>Open ad</v>
      </c>
      <c r="P18" s="13" t="s">
        <v>265</v>
      </c>
      <c r="Q18" s="13" t="s">
        <v>267</v>
      </c>
      <c r="R18" s="13" t="s">
        <v>215</v>
      </c>
      <c r="S18" s="13" t="s">
        <v>137</v>
      </c>
      <c r="T18" s="13" t="s">
        <v>268</v>
      </c>
    </row>
    <row r="19" ht="15.0" customHeight="1">
      <c r="A19" s="13">
        <v>13.0</v>
      </c>
      <c r="B19" s="13" t="s">
        <v>202</v>
      </c>
      <c r="C19" s="13" t="s">
        <v>269</v>
      </c>
      <c r="D19" s="13" t="s">
        <v>204</v>
      </c>
      <c r="E19" s="16">
        <v>1.88E7</v>
      </c>
      <c r="F19" s="17" t="s">
        <v>71</v>
      </c>
      <c r="G19" s="22">
        <f t="shared" si="3"/>
        <v>18800000</v>
      </c>
      <c r="H19" s="21">
        <v>160.0</v>
      </c>
      <c r="I19" s="33">
        <v>2.0</v>
      </c>
      <c r="J19" s="22">
        <f t="shared" si="4"/>
        <v>117500</v>
      </c>
      <c r="K19" s="13" t="s">
        <v>211</v>
      </c>
      <c r="L19" s="13"/>
      <c r="M19" s="13" t="s">
        <v>270</v>
      </c>
      <c r="N19" s="26" t="str">
        <f>HYPERLINK("https://www.google.com/maps/search/?api=1&amp;query=Pacific+Century+Place+SCBD+Jakarta","Google Maps")</f>
        <v>Google Maps</v>
      </c>
      <c r="O19" s="26" t="str">
        <f>HYPERLINK("https://www.flokq.com/sewa-ruko-jakarta/ruko/RKR6fb","Open ad")</f>
        <v>Open ad</v>
      </c>
      <c r="P19" s="13" t="s">
        <v>274</v>
      </c>
      <c r="Q19" s="13" t="s">
        <v>275</v>
      </c>
      <c r="R19" s="13" t="s">
        <v>215</v>
      </c>
      <c r="S19" s="13" t="s">
        <v>277</v>
      </c>
      <c r="T19" s="13" t="s">
        <v>216</v>
      </c>
    </row>
    <row r="20" ht="15.0" customHeight="1">
      <c r="A20" s="13">
        <v>14.0</v>
      </c>
      <c r="B20" s="13" t="s">
        <v>202</v>
      </c>
      <c r="C20" s="13" t="s">
        <v>269</v>
      </c>
      <c r="D20" s="13" t="s">
        <v>204</v>
      </c>
      <c r="E20" s="16">
        <v>1.67E7</v>
      </c>
      <c r="F20" s="17" t="s">
        <v>71</v>
      </c>
      <c r="G20" s="22">
        <f t="shared" si="3"/>
        <v>16700000</v>
      </c>
      <c r="H20" s="21">
        <v>160.0</v>
      </c>
      <c r="I20" s="33">
        <v>3.0</v>
      </c>
      <c r="J20" s="22">
        <f t="shared" si="4"/>
        <v>104375</v>
      </c>
      <c r="K20" s="13" t="s">
        <v>211</v>
      </c>
      <c r="L20" s="13"/>
      <c r="M20" s="13" t="s">
        <v>279</v>
      </c>
      <c r="N20" s="26" t="str">
        <f>HYPERLINK("https://www.google.com/maps/search/?api=1&amp;query=Kebayoran+Baru+Jakarta+Selatan","Google Maps")</f>
        <v>Google Maps</v>
      </c>
      <c r="O20" s="26" t="str">
        <f>HYPERLINK("https://www.flokq.com/sewa-ruko-jakarta/ruko/RKRcae","Open ad")</f>
        <v>Open ad</v>
      </c>
      <c r="P20" s="13" t="s">
        <v>286</v>
      </c>
      <c r="Q20" s="13" t="s">
        <v>287</v>
      </c>
      <c r="R20" s="13" t="s">
        <v>215</v>
      </c>
      <c r="S20" s="13" t="s">
        <v>288</v>
      </c>
      <c r="T20" s="13" t="s">
        <v>289</v>
      </c>
    </row>
    <row r="21" ht="15.0" customHeight="1">
      <c r="A21" s="13">
        <v>15.0</v>
      </c>
      <c r="B21" s="13" t="s">
        <v>202</v>
      </c>
      <c r="C21" s="13" t="s">
        <v>291</v>
      </c>
      <c r="D21" s="13" t="s">
        <v>204</v>
      </c>
      <c r="E21" s="16">
        <v>1.45E7</v>
      </c>
      <c r="F21" s="17" t="s">
        <v>71</v>
      </c>
      <c r="G21" s="22">
        <f t="shared" si="3"/>
        <v>14500000</v>
      </c>
      <c r="H21" s="21">
        <v>193.0</v>
      </c>
      <c r="I21" s="33">
        <v>3.0</v>
      </c>
      <c r="J21" s="22">
        <f t="shared" si="4"/>
        <v>75129.53368</v>
      </c>
      <c r="K21" s="13" t="s">
        <v>211</v>
      </c>
      <c r="L21" s="13"/>
      <c r="M21" s="13" t="s">
        <v>293</v>
      </c>
      <c r="N21" s="26" t="str">
        <f>HYPERLINK("https://www.google.com/maps/search/?api=1&amp;query=Jl.+Kyai+Maja+Jakarta+Selatan","Google Maps")</f>
        <v>Google Maps</v>
      </c>
      <c r="O21" s="26" t="str">
        <f>HYPERLINK("https://www.flokq.com/sewa-ruko-jakarta/ruko/RKR927","Open ad")</f>
        <v>Open ad</v>
      </c>
      <c r="P21" s="13" t="s">
        <v>294</v>
      </c>
      <c r="Q21" s="13" t="s">
        <v>295</v>
      </c>
      <c r="R21" s="13" t="s">
        <v>215</v>
      </c>
      <c r="S21" s="13" t="s">
        <v>137</v>
      </c>
      <c r="T21" s="13" t="s">
        <v>216</v>
      </c>
    </row>
    <row r="22" ht="15.0" customHeight="1">
      <c r="A22" s="13">
        <v>16.0</v>
      </c>
      <c r="B22" s="13" t="s">
        <v>202</v>
      </c>
      <c r="C22" s="13" t="s">
        <v>297</v>
      </c>
      <c r="D22" s="13" t="s">
        <v>204</v>
      </c>
      <c r="E22" s="16">
        <v>9000000.0</v>
      </c>
      <c r="F22" s="17" t="s">
        <v>71</v>
      </c>
      <c r="G22" s="22">
        <f t="shared" si="3"/>
        <v>9000000</v>
      </c>
      <c r="H22" s="21">
        <v>105.0</v>
      </c>
      <c r="I22" s="33">
        <v>2.0</v>
      </c>
      <c r="J22" s="22">
        <f t="shared" si="4"/>
        <v>85714.28571</v>
      </c>
      <c r="K22" s="13" t="s">
        <v>211</v>
      </c>
      <c r="L22" s="13"/>
      <c r="M22" s="13" t="s">
        <v>301</v>
      </c>
      <c r="N22" s="26" t="str">
        <f>HYPERLINK("https://www.google.com/maps/search/?api=1&amp;query=" &amp; SUBSTITUTE(M22," ","+"),"Google Maps")</f>
        <v>Google Maps</v>
      </c>
      <c r="O22" s="26" t="str">
        <f>HYPERLINK(P22,"Open ad")</f>
        <v>Open ad</v>
      </c>
      <c r="P22" s="13" t="s">
        <v>309</v>
      </c>
      <c r="Q22" s="13" t="s">
        <v>310</v>
      </c>
      <c r="R22" s="13" t="s">
        <v>137</v>
      </c>
      <c r="S22" s="13" t="s">
        <v>137</v>
      </c>
      <c r="T22" s="13" t="s">
        <v>311</v>
      </c>
    </row>
    <row r="23" ht="15.75" customHeight="1"/>
    <row r="24" ht="15.0" customHeight="1">
      <c r="A24" s="13">
        <v>17.0</v>
      </c>
      <c r="B24" s="13" t="s">
        <v>312</v>
      </c>
      <c r="C24" s="13" t="s">
        <v>313</v>
      </c>
      <c r="D24" s="13" t="s">
        <v>204</v>
      </c>
      <c r="E24" s="16">
        <v>3.5E7</v>
      </c>
      <c r="F24" s="17" t="s">
        <v>71</v>
      </c>
      <c r="G24" s="22">
        <f t="shared" ref="G24:G25" si="6">IF(F24="year",E24/12,E24)</f>
        <v>35000000</v>
      </c>
      <c r="H24" s="21">
        <v>110.0</v>
      </c>
      <c r="I24" s="33">
        <v>2.0</v>
      </c>
      <c r="J24" s="22">
        <f t="shared" ref="J24:J25" si="7">G24/H24</f>
        <v>318181.8182</v>
      </c>
      <c r="K24" s="13" t="s">
        <v>323</v>
      </c>
      <c r="L24" s="13"/>
      <c r="M24" s="13" t="s">
        <v>325</v>
      </c>
      <c r="N24" s="26" t="str">
        <f>HYPERLINK("https://www.google.com/maps/search/?api=1&amp;query=Jl.+HR+Rasuna+Said+Kuningan+Jakarta","Google Maps")</f>
        <v>Google Maps</v>
      </c>
      <c r="O24" s="26" t="str">
        <f>HYPERLINK("https://www.flokq.com/sewa-ruko-jakarta/ruko/RKR3de","Open ad")</f>
        <v>Open ad</v>
      </c>
      <c r="P24" s="13" t="s">
        <v>333</v>
      </c>
      <c r="Q24" s="13" t="s">
        <v>335</v>
      </c>
      <c r="R24" s="13" t="s">
        <v>215</v>
      </c>
      <c r="S24" s="13" t="s">
        <v>137</v>
      </c>
      <c r="T24" s="13" t="s">
        <v>216</v>
      </c>
    </row>
    <row r="25" ht="15.0" customHeight="1">
      <c r="A25" s="13">
        <v>18.0</v>
      </c>
      <c r="B25" s="13" t="s">
        <v>312</v>
      </c>
      <c r="C25" s="13" t="s">
        <v>336</v>
      </c>
      <c r="D25" s="13" t="s">
        <v>337</v>
      </c>
      <c r="E25" s="16">
        <v>3.3E8</v>
      </c>
      <c r="F25" s="17" t="s">
        <v>146</v>
      </c>
      <c r="G25" s="22">
        <f t="shared" si="6"/>
        <v>27500000</v>
      </c>
      <c r="H25" s="21">
        <v>110.0</v>
      </c>
      <c r="I25" s="33">
        <v>2.0</v>
      </c>
      <c r="J25" s="22">
        <f t="shared" si="7"/>
        <v>250000</v>
      </c>
      <c r="K25" s="13" t="s">
        <v>343</v>
      </c>
      <c r="L25" s="13" t="s">
        <v>344</v>
      </c>
      <c r="M25" s="13" t="s">
        <v>345</v>
      </c>
      <c r="N25" s="26" t="str">
        <f>HYPERLINK("https://www.google.com/maps/search/?api=1&amp;query=" &amp; SUBSTITUTE(M25," ","+"),"Google Maps")</f>
        <v>Google Maps</v>
      </c>
      <c r="O25" s="26" t="str">
        <f>HYPERLINK(P25,"Open ad")</f>
        <v>Open ad</v>
      </c>
      <c r="P25" s="13" t="s">
        <v>356</v>
      </c>
      <c r="Q25" s="13" t="s">
        <v>357</v>
      </c>
      <c r="R25" s="13" t="s">
        <v>358</v>
      </c>
      <c r="S25" s="13" t="s">
        <v>359</v>
      </c>
      <c r="T25" s="13" t="s">
        <v>361</v>
      </c>
    </row>
    <row r="26" ht="15.75" customHeight="1"/>
    <row r="27" ht="15.0" customHeight="1">
      <c r="A27" s="13">
        <v>19.0</v>
      </c>
      <c r="B27" s="13" t="s">
        <v>364</v>
      </c>
      <c r="C27" s="13" t="s">
        <v>365</v>
      </c>
      <c r="D27" s="13" t="s">
        <v>204</v>
      </c>
      <c r="E27" s="16">
        <v>2.08E7</v>
      </c>
      <c r="F27" s="17" t="s">
        <v>71</v>
      </c>
      <c r="G27" s="22">
        <f t="shared" ref="G27:G38" si="8">IF(F27="year",E27/12,E27)</f>
        <v>20800000</v>
      </c>
      <c r="H27" s="21">
        <v>170.0</v>
      </c>
      <c r="I27" s="33">
        <v>1.0</v>
      </c>
      <c r="J27" s="22">
        <f t="shared" ref="J27:J38" si="9">G27/H27</f>
        <v>122352.9412</v>
      </c>
      <c r="K27" s="13" t="s">
        <v>379</v>
      </c>
      <c r="L27" s="13"/>
      <c r="M27" s="13" t="s">
        <v>380</v>
      </c>
      <c r="N27" s="26" t="str">
        <f>HYPERLINK("https://www.google.com/maps/search/?api=1&amp;query=Jl.+Benda+Kemang+Jakarta+Selatan","Google Maps")</f>
        <v>Google Maps</v>
      </c>
      <c r="O27" s="26" t="str">
        <f>HYPERLINK("https://www.flokq.com/sewa-ruko-jakarta/ruko/RKR422","Open ad")</f>
        <v>Open ad</v>
      </c>
      <c r="P27" s="13" t="s">
        <v>385</v>
      </c>
      <c r="Q27" s="13" t="s">
        <v>386</v>
      </c>
      <c r="R27" s="13" t="s">
        <v>215</v>
      </c>
      <c r="S27" s="13" t="s">
        <v>137</v>
      </c>
      <c r="T27" s="13" t="s">
        <v>389</v>
      </c>
    </row>
    <row r="28" ht="15.0" customHeight="1">
      <c r="A28" s="13">
        <v>20.0</v>
      </c>
      <c r="B28" s="13" t="s">
        <v>364</v>
      </c>
      <c r="C28" s="13" t="s">
        <v>364</v>
      </c>
      <c r="D28" s="13" t="s">
        <v>204</v>
      </c>
      <c r="E28" s="16">
        <v>2.9E7</v>
      </c>
      <c r="F28" s="17" t="s">
        <v>71</v>
      </c>
      <c r="G28" s="22">
        <f t="shared" si="8"/>
        <v>29000000</v>
      </c>
      <c r="H28" s="21">
        <v>170.0</v>
      </c>
      <c r="I28" s="33">
        <v>1.0</v>
      </c>
      <c r="J28" s="22">
        <f t="shared" si="9"/>
        <v>170588.2353</v>
      </c>
      <c r="K28" s="13" t="s">
        <v>379</v>
      </c>
      <c r="L28" s="13"/>
      <c r="M28" s="13" t="s">
        <v>395</v>
      </c>
      <c r="N28" s="26" t="str">
        <f>HYPERLINK("https://www.google.com/maps/search/?api=1&amp;query=Kemang+Jakarta+Selatan","Google Maps")</f>
        <v>Google Maps</v>
      </c>
      <c r="O28" s="26" t="str">
        <f>HYPERLINK("https://www.flokq.com/sewa-ruko-jakarta/ruko/RKR3c0","Open ad")</f>
        <v>Open ad</v>
      </c>
      <c r="P28" s="13" t="s">
        <v>407</v>
      </c>
      <c r="Q28" s="13" t="s">
        <v>408</v>
      </c>
      <c r="R28" s="13" t="s">
        <v>215</v>
      </c>
      <c r="S28" s="13" t="s">
        <v>137</v>
      </c>
      <c r="T28" s="13" t="s">
        <v>410</v>
      </c>
    </row>
    <row r="29" ht="15.0" customHeight="1">
      <c r="A29" s="13">
        <v>21.0</v>
      </c>
      <c r="B29" s="13" t="s">
        <v>364</v>
      </c>
      <c r="C29" s="13" t="s">
        <v>412</v>
      </c>
      <c r="D29" s="13" t="s">
        <v>204</v>
      </c>
      <c r="E29" s="16">
        <v>5.0E7</v>
      </c>
      <c r="F29" s="17" t="s">
        <v>71</v>
      </c>
      <c r="G29" s="22">
        <f t="shared" si="8"/>
        <v>50000000</v>
      </c>
      <c r="H29" s="21">
        <v>120.0</v>
      </c>
      <c r="I29" s="33">
        <v>4.0</v>
      </c>
      <c r="J29" s="22">
        <f t="shared" si="9"/>
        <v>416666.6667</v>
      </c>
      <c r="K29" s="13" t="s">
        <v>379</v>
      </c>
      <c r="L29" s="13"/>
      <c r="M29" s="13" t="s">
        <v>418</v>
      </c>
      <c r="N29" s="26" t="str">
        <f t="shared" ref="N29:N30" si="10">HYPERLINK("https://www.google.com/maps/search/?api=1&amp;query=Jl.+Kemang+Raya+Jakarta+Selatan","Google Maps")</f>
        <v>Google Maps</v>
      </c>
      <c r="O29" s="26" t="str">
        <f>HYPERLINK("https://www.flokq.com/sewa-ruko-jakarta/ruko/RKR71d","Open ad")</f>
        <v>Open ad</v>
      </c>
      <c r="P29" s="13" t="s">
        <v>425</v>
      </c>
      <c r="Q29" s="13" t="s">
        <v>427</v>
      </c>
      <c r="R29" s="13" t="s">
        <v>215</v>
      </c>
      <c r="S29" s="13" t="s">
        <v>137</v>
      </c>
      <c r="T29" s="13" t="s">
        <v>216</v>
      </c>
    </row>
    <row r="30" ht="15.0" customHeight="1">
      <c r="A30" s="13">
        <v>22.0</v>
      </c>
      <c r="B30" s="13" t="s">
        <v>364</v>
      </c>
      <c r="C30" s="13" t="s">
        <v>412</v>
      </c>
      <c r="D30" s="13" t="s">
        <v>204</v>
      </c>
      <c r="E30" s="16">
        <v>2.9E7</v>
      </c>
      <c r="F30" s="17" t="s">
        <v>71</v>
      </c>
      <c r="G30" s="22">
        <f t="shared" si="8"/>
        <v>29000000</v>
      </c>
      <c r="H30" s="21">
        <v>170.0</v>
      </c>
      <c r="I30" s="33">
        <v>1.0</v>
      </c>
      <c r="J30" s="22">
        <f t="shared" si="9"/>
        <v>170588.2353</v>
      </c>
      <c r="K30" s="13" t="s">
        <v>379</v>
      </c>
      <c r="L30" s="13"/>
      <c r="M30" s="13" t="s">
        <v>433</v>
      </c>
      <c r="N30" s="26" t="str">
        <f t="shared" si="10"/>
        <v>Google Maps</v>
      </c>
      <c r="O30" s="26" t="str">
        <f>HYPERLINK("https://www.flokq.com/sewa-ruko-jakarta/ruko/RKR653","Open ad")</f>
        <v>Open ad</v>
      </c>
      <c r="P30" s="13" t="s">
        <v>438</v>
      </c>
      <c r="Q30" s="13" t="s">
        <v>439</v>
      </c>
      <c r="R30" s="13" t="s">
        <v>215</v>
      </c>
      <c r="S30" s="13" t="s">
        <v>137</v>
      </c>
      <c r="T30" s="13" t="s">
        <v>441</v>
      </c>
    </row>
    <row r="31" ht="15.0" customHeight="1">
      <c r="A31" s="13">
        <v>23.0</v>
      </c>
      <c r="B31" s="13" t="s">
        <v>364</v>
      </c>
      <c r="C31" s="13" t="s">
        <v>364</v>
      </c>
      <c r="D31" s="13" t="s">
        <v>204</v>
      </c>
      <c r="E31" s="16">
        <v>1.66E7</v>
      </c>
      <c r="F31" s="17" t="s">
        <v>71</v>
      </c>
      <c r="G31" s="22">
        <f t="shared" si="8"/>
        <v>16600000</v>
      </c>
      <c r="H31" s="21">
        <v>128.0</v>
      </c>
      <c r="I31" s="33">
        <v>2.0</v>
      </c>
      <c r="J31" s="22">
        <f t="shared" si="9"/>
        <v>129687.5</v>
      </c>
      <c r="K31" s="13" t="s">
        <v>379</v>
      </c>
      <c r="L31" s="13"/>
      <c r="M31" s="13" t="s">
        <v>448</v>
      </c>
      <c r="N31" s="26" t="str">
        <f>HYPERLINK("https://www.google.com/maps/search/?api=1&amp;query=Kemang+Jakarta+Selatan","Google Maps")</f>
        <v>Google Maps</v>
      </c>
      <c r="O31" s="26" t="str">
        <f>HYPERLINK("https://www.flokq.com/sewa-ruko-jakarta/ruko/RKR545","Open ad")</f>
        <v>Open ad</v>
      </c>
      <c r="P31" s="13" t="s">
        <v>453</v>
      </c>
      <c r="Q31" s="13" t="s">
        <v>454</v>
      </c>
      <c r="R31" s="13" t="s">
        <v>215</v>
      </c>
      <c r="S31" s="13" t="s">
        <v>137</v>
      </c>
      <c r="T31" s="13" t="s">
        <v>216</v>
      </c>
    </row>
    <row r="32" ht="15.0" customHeight="1">
      <c r="A32" s="13">
        <v>24.0</v>
      </c>
      <c r="B32" s="13" t="s">
        <v>364</v>
      </c>
      <c r="C32" s="13" t="s">
        <v>457</v>
      </c>
      <c r="D32" s="13" t="s">
        <v>204</v>
      </c>
      <c r="E32" s="16">
        <v>2.5E7</v>
      </c>
      <c r="F32" s="17" t="s">
        <v>71</v>
      </c>
      <c r="G32" s="22">
        <f t="shared" si="8"/>
        <v>25000000</v>
      </c>
      <c r="H32" s="21">
        <v>110.0</v>
      </c>
      <c r="I32" s="33">
        <v>1.0</v>
      </c>
      <c r="J32" s="22">
        <f t="shared" si="9"/>
        <v>227272.7273</v>
      </c>
      <c r="K32" s="13" t="s">
        <v>379</v>
      </c>
      <c r="L32" s="13"/>
      <c r="M32" s="13" t="s">
        <v>461</v>
      </c>
      <c r="N32" s="26" t="str">
        <f>HYPERLINK("https://www.google.com/maps/search/?api=1&amp;query=Jl.+Benda+Raya+No.+1+Kemang+Jakarta+Selatan","Google Maps")</f>
        <v>Google Maps</v>
      </c>
      <c r="O32" s="26" t="str">
        <f>HYPERLINK("https://www.flokq.com/sewa-ruko-jakarta/ruko/RKR7fd","Open ad")</f>
        <v>Open ad</v>
      </c>
      <c r="P32" s="13" t="s">
        <v>470</v>
      </c>
      <c r="Q32" s="13" t="s">
        <v>472</v>
      </c>
      <c r="R32" s="13" t="s">
        <v>215</v>
      </c>
      <c r="S32" s="13" t="s">
        <v>137</v>
      </c>
      <c r="T32" s="13" t="s">
        <v>474</v>
      </c>
    </row>
    <row r="33" ht="15.0" customHeight="1">
      <c r="A33" s="13">
        <v>25.0</v>
      </c>
      <c r="B33" s="13" t="s">
        <v>364</v>
      </c>
      <c r="C33" s="13" t="s">
        <v>476</v>
      </c>
      <c r="D33" s="13" t="s">
        <v>204</v>
      </c>
      <c r="E33" s="16">
        <v>2.5E7</v>
      </c>
      <c r="F33" s="17" t="s">
        <v>71</v>
      </c>
      <c r="G33" s="22">
        <f t="shared" si="8"/>
        <v>25000000</v>
      </c>
      <c r="H33" s="21">
        <v>200.0</v>
      </c>
      <c r="I33" s="33">
        <v>2.0</v>
      </c>
      <c r="J33" s="22">
        <f t="shared" si="9"/>
        <v>125000</v>
      </c>
      <c r="K33" s="13" t="s">
        <v>379</v>
      </c>
      <c r="L33" s="13"/>
      <c r="M33" s="13" t="s">
        <v>480</v>
      </c>
      <c r="N33" s="26" t="str">
        <f>HYPERLINK("https://www.google.com/maps/search/?api=1&amp;query=Jl.+Kemang+Utara+Jakarta+Selatan","Google Maps")</f>
        <v>Google Maps</v>
      </c>
      <c r="O33" s="26" t="str">
        <f>HYPERLINK("https://www.flokq.com/sewa-ruko-jakarta/ruko/RKR5f6","Open ad")</f>
        <v>Open ad</v>
      </c>
      <c r="P33" s="13" t="s">
        <v>485</v>
      </c>
      <c r="Q33" s="13" t="s">
        <v>486</v>
      </c>
      <c r="R33" s="13" t="s">
        <v>215</v>
      </c>
      <c r="S33" s="13" t="s">
        <v>137</v>
      </c>
      <c r="T33" s="13" t="s">
        <v>216</v>
      </c>
    </row>
    <row r="34" ht="15.0" customHeight="1">
      <c r="A34" s="13">
        <v>26.0</v>
      </c>
      <c r="B34" s="13" t="s">
        <v>364</v>
      </c>
      <c r="C34" s="13" t="s">
        <v>489</v>
      </c>
      <c r="D34" s="13" t="s">
        <v>204</v>
      </c>
      <c r="E34" s="16">
        <v>1.5E7</v>
      </c>
      <c r="F34" s="17" t="s">
        <v>71</v>
      </c>
      <c r="G34" s="22">
        <f t="shared" si="8"/>
        <v>15000000</v>
      </c>
      <c r="H34" s="21">
        <v>180.0</v>
      </c>
      <c r="I34" s="33">
        <v>2.0</v>
      </c>
      <c r="J34" s="22">
        <f t="shared" si="9"/>
        <v>83333.33333</v>
      </c>
      <c r="K34" s="13" t="s">
        <v>379</v>
      </c>
      <c r="L34" s="13"/>
      <c r="M34" s="13" t="s">
        <v>490</v>
      </c>
      <c r="N34" s="26" t="str">
        <f>HYPERLINK("https://www.google.com/maps/search/?api=1&amp;query=Jl.+Kemang+Timur+Raya+Jakarta+Selatan","Google Maps")</f>
        <v>Google Maps</v>
      </c>
      <c r="O34" s="26" t="str">
        <f>HYPERLINK("https://www.flokq.com/sewa-ruko-jakarta/ruko/RKR729","Open ad")</f>
        <v>Open ad</v>
      </c>
      <c r="P34" s="13" t="s">
        <v>499</v>
      </c>
      <c r="Q34" s="13" t="s">
        <v>500</v>
      </c>
      <c r="R34" s="13" t="s">
        <v>215</v>
      </c>
      <c r="S34" s="13" t="s">
        <v>137</v>
      </c>
      <c r="T34" s="13" t="s">
        <v>216</v>
      </c>
    </row>
    <row r="35" ht="15.0" customHeight="1">
      <c r="A35" s="13">
        <v>27.0</v>
      </c>
      <c r="B35" s="13" t="s">
        <v>364</v>
      </c>
      <c r="C35" s="13" t="s">
        <v>412</v>
      </c>
      <c r="D35" s="13" t="s">
        <v>204</v>
      </c>
      <c r="E35" s="16">
        <v>2.92E7</v>
      </c>
      <c r="F35" s="17" t="s">
        <v>71</v>
      </c>
      <c r="G35" s="22">
        <f t="shared" si="8"/>
        <v>29200000</v>
      </c>
      <c r="H35" s="21">
        <v>200.0</v>
      </c>
      <c r="I35" s="33">
        <v>3.0</v>
      </c>
      <c r="J35" s="22">
        <f t="shared" si="9"/>
        <v>146000</v>
      </c>
      <c r="K35" s="13" t="s">
        <v>379</v>
      </c>
      <c r="L35" s="13"/>
      <c r="M35" s="13" t="s">
        <v>433</v>
      </c>
      <c r="N35" s="26" t="str">
        <f>HYPERLINK("https://www.google.com/maps/search/?api=1&amp;query=Jl.+Kemang+Raya+Jakarta+Selatan","Google Maps")</f>
        <v>Google Maps</v>
      </c>
      <c r="O35" s="26" t="str">
        <f>HYPERLINK("https://www.flokq.com/sewa-ruko-jakarta/ruko/RKR5b3","Open ad")</f>
        <v>Open ad</v>
      </c>
      <c r="P35" s="13" t="s">
        <v>514</v>
      </c>
      <c r="Q35" s="13" t="s">
        <v>515</v>
      </c>
      <c r="R35" s="13" t="s">
        <v>215</v>
      </c>
      <c r="S35" s="13" t="s">
        <v>137</v>
      </c>
      <c r="T35" s="13" t="s">
        <v>216</v>
      </c>
    </row>
    <row r="36" ht="15.0" customHeight="1">
      <c r="A36" s="13">
        <v>28.0</v>
      </c>
      <c r="B36" s="13" t="s">
        <v>364</v>
      </c>
      <c r="C36" s="13" t="s">
        <v>412</v>
      </c>
      <c r="D36" s="13" t="s">
        <v>204</v>
      </c>
      <c r="E36" s="16">
        <v>2.333E7</v>
      </c>
      <c r="F36" s="17" t="s">
        <v>71</v>
      </c>
      <c r="G36" s="22">
        <f t="shared" si="8"/>
        <v>23330000</v>
      </c>
      <c r="H36" s="21">
        <v>200.0</v>
      </c>
      <c r="I36" s="33">
        <v>2.0</v>
      </c>
      <c r="J36" s="22">
        <f t="shared" si="9"/>
        <v>116650</v>
      </c>
      <c r="K36" s="13" t="s">
        <v>523</v>
      </c>
      <c r="L36" s="13"/>
      <c r="M36" s="13" t="s">
        <v>524</v>
      </c>
      <c r="N36" s="26" t="str">
        <f t="shared" ref="N36:N38" si="11">HYPERLINK("https://www.google.com/maps/search/?api=1&amp;query=" &amp; SUBSTITUTE(M36," ","+"),"Google Maps")</f>
        <v>Google Maps</v>
      </c>
      <c r="O36" s="26" t="str">
        <f t="shared" ref="O36:O37" si="12">HYPERLINK(P36,"Open ad")</f>
        <v>Open ad</v>
      </c>
      <c r="P36" s="13" t="s">
        <v>532</v>
      </c>
      <c r="Q36" s="13" t="s">
        <v>533</v>
      </c>
      <c r="R36" s="13" t="s">
        <v>535</v>
      </c>
      <c r="S36" s="13" t="s">
        <v>536</v>
      </c>
      <c r="T36" s="13" t="s">
        <v>537</v>
      </c>
    </row>
    <row r="37" ht="15.0" customHeight="1">
      <c r="A37" s="13">
        <v>29.0</v>
      </c>
      <c r="B37" s="13" t="s">
        <v>364</v>
      </c>
      <c r="C37" s="13" t="s">
        <v>539</v>
      </c>
      <c r="D37" s="13" t="s">
        <v>540</v>
      </c>
      <c r="E37" s="16">
        <v>3.5E8</v>
      </c>
      <c r="F37" s="17" t="s">
        <v>146</v>
      </c>
      <c r="G37" s="22">
        <f t="shared" si="8"/>
        <v>29166666.67</v>
      </c>
      <c r="H37" s="21">
        <v>200.0</v>
      </c>
      <c r="I37" s="33">
        <v>1.0</v>
      </c>
      <c r="J37" s="22">
        <f t="shared" si="9"/>
        <v>145833.3333</v>
      </c>
      <c r="K37" s="13" t="s">
        <v>544</v>
      </c>
      <c r="L37" s="13" t="s">
        <v>545</v>
      </c>
      <c r="M37" s="13" t="s">
        <v>546</v>
      </c>
      <c r="N37" s="26" t="str">
        <f t="shared" si="11"/>
        <v>Google Maps</v>
      </c>
      <c r="O37" s="26" t="str">
        <f t="shared" si="12"/>
        <v>Open ad</v>
      </c>
      <c r="P37" s="13" t="s">
        <v>547</v>
      </c>
      <c r="Q37" s="13" t="s">
        <v>548</v>
      </c>
      <c r="R37" s="13" t="s">
        <v>549</v>
      </c>
      <c r="S37" s="13" t="s">
        <v>550</v>
      </c>
      <c r="T37" s="13" t="s">
        <v>552</v>
      </c>
    </row>
    <row r="38" ht="15.0" customHeight="1">
      <c r="A38" s="13">
        <v>30.0</v>
      </c>
      <c r="B38" s="13" t="s">
        <v>364</v>
      </c>
      <c r="C38" s="13" t="s">
        <v>553</v>
      </c>
      <c r="D38" s="13" t="s">
        <v>554</v>
      </c>
      <c r="E38" s="16">
        <v>3.0E7</v>
      </c>
      <c r="F38" s="17" t="s">
        <v>71</v>
      </c>
      <c r="G38" s="22">
        <f t="shared" si="8"/>
        <v>30000000</v>
      </c>
      <c r="H38" s="21">
        <v>130.0</v>
      </c>
      <c r="I38" s="33"/>
      <c r="J38" s="22">
        <f t="shared" si="9"/>
        <v>230769.2308</v>
      </c>
      <c r="K38" s="13" t="s">
        <v>561</v>
      </c>
      <c r="L38" s="13"/>
      <c r="M38" s="13" t="s">
        <v>433</v>
      </c>
      <c r="N38" s="26" t="str">
        <f t="shared" si="11"/>
        <v>Google Maps</v>
      </c>
      <c r="O38" s="26" t="str">
        <f>HYPERLINK(P38,"Open results page")</f>
        <v>Open results page</v>
      </c>
      <c r="P38" s="13" t="s">
        <v>567</v>
      </c>
      <c r="Q38" s="13" t="s">
        <v>196</v>
      </c>
      <c r="R38" s="13" t="s">
        <v>137</v>
      </c>
      <c r="S38" s="13" t="s">
        <v>137</v>
      </c>
      <c r="T38" s="13" t="s">
        <v>568</v>
      </c>
    </row>
    <row r="39" ht="15.75" customHeight="1"/>
    <row r="40" ht="15.0" customHeight="1">
      <c r="A40" s="13">
        <v>31.0</v>
      </c>
      <c r="B40" s="13" t="s">
        <v>521</v>
      </c>
      <c r="C40" s="13" t="s">
        <v>571</v>
      </c>
      <c r="D40" s="13" t="s">
        <v>204</v>
      </c>
      <c r="E40" s="16">
        <v>1.75E8</v>
      </c>
      <c r="F40" s="17" t="s">
        <v>146</v>
      </c>
      <c r="G40" s="22">
        <f t="shared" ref="G40:G42" si="13">IF(F40="year",E40/12,E40)</f>
        <v>14583333.33</v>
      </c>
      <c r="H40" s="21">
        <v>160.0</v>
      </c>
      <c r="I40" s="33">
        <v>3.5</v>
      </c>
      <c r="J40" s="22">
        <f t="shared" ref="J40:J42" si="14">G40/H40</f>
        <v>91145.83333</v>
      </c>
      <c r="K40" s="13" t="s">
        <v>581</v>
      </c>
      <c r="L40" s="13"/>
      <c r="M40" s="13" t="s">
        <v>582</v>
      </c>
      <c r="N40" s="26" t="str">
        <f>HYPERLINK("https://www.google.com/maps/search/?api=1&amp;query=Jl.+Elang+Laut+PIK+Jakarta+Utara","Google Maps")</f>
        <v>Google Maps</v>
      </c>
      <c r="O40" s="26" t="str">
        <f>HYPERLINK("https://www.brighton.co.id/cari-properti/view/ruko-3-5-lantai-di-elang-laut-pantai-indah-kapuk","Open ad")</f>
        <v>Open ad</v>
      </c>
      <c r="P40" s="13" t="s">
        <v>590</v>
      </c>
      <c r="Q40" s="13" t="s">
        <v>591</v>
      </c>
      <c r="R40" s="13" t="s">
        <v>592</v>
      </c>
      <c r="S40" s="13" t="s">
        <v>593</v>
      </c>
      <c r="T40" s="13" t="s">
        <v>594</v>
      </c>
    </row>
    <row r="41" ht="15.0" customHeight="1">
      <c r="A41" s="13">
        <v>32.0</v>
      </c>
      <c r="B41" s="13" t="s">
        <v>521</v>
      </c>
      <c r="C41" s="13" t="s">
        <v>595</v>
      </c>
      <c r="D41" s="13" t="s">
        <v>204</v>
      </c>
      <c r="E41" s="16">
        <v>3.0E8</v>
      </c>
      <c r="F41" s="17" t="s">
        <v>146</v>
      </c>
      <c r="G41" s="22">
        <f t="shared" si="13"/>
        <v>25000000</v>
      </c>
      <c r="H41" s="21">
        <v>197.0</v>
      </c>
      <c r="J41" s="22">
        <f t="shared" si="14"/>
        <v>126903.5533</v>
      </c>
      <c r="K41" s="13" t="s">
        <v>581</v>
      </c>
      <c r="L41" s="13"/>
      <c r="M41" s="13" t="s">
        <v>602</v>
      </c>
      <c r="N41" s="26" t="str">
        <f>HYPERLINK("https://www.google.com/maps/search/?api=1&amp;query=Stanford+Boulevard+PIK+2","Google Maps")</f>
        <v>Google Maps</v>
      </c>
      <c r="O41" s="26" t="str">
        <f>HYPERLINK("https://www.brighton.co.id/cari-properti/view/ruko-pik-2-stanford-boulevard-hadap-jalan-utama","Open ad")</f>
        <v>Open ad</v>
      </c>
      <c r="P41" s="13" t="s">
        <v>616</v>
      </c>
      <c r="Q41" s="13" t="s">
        <v>617</v>
      </c>
      <c r="R41" s="13" t="s">
        <v>215</v>
      </c>
      <c r="S41" s="13" t="s">
        <v>619</v>
      </c>
      <c r="T41" s="13" t="s">
        <v>620</v>
      </c>
    </row>
    <row r="42" ht="15.0" customHeight="1">
      <c r="A42" s="13">
        <v>33.0</v>
      </c>
      <c r="B42" s="13" t="s">
        <v>521</v>
      </c>
      <c r="C42" s="13" t="s">
        <v>622</v>
      </c>
      <c r="D42" s="13" t="s">
        <v>204</v>
      </c>
      <c r="E42" s="16">
        <v>8.0E7</v>
      </c>
      <c r="F42" s="17" t="s">
        <v>146</v>
      </c>
      <c r="G42" s="22">
        <f t="shared" si="13"/>
        <v>6666666.667</v>
      </c>
      <c r="H42" s="21">
        <v>141.0</v>
      </c>
      <c r="J42" s="22">
        <f t="shared" si="14"/>
        <v>47281.32388</v>
      </c>
      <c r="K42" s="13" t="s">
        <v>581</v>
      </c>
      <c r="L42" s="13"/>
      <c r="M42" s="13" t="s">
        <v>626</v>
      </c>
      <c r="N42" s="26" t="str">
        <f>HYPERLINK("https://www.google.com/maps/search/?api=1&amp;query=Pasadena+Walk+PIK+2","Google Maps")</f>
        <v>Google Maps</v>
      </c>
      <c r="O42" s="26" t="str">
        <f>HYPERLINK("https://www.brighton.co.id/disewa/ruko/jakarta-utara/pantai-indah-kapuk","Open results page")</f>
        <v>Open results page</v>
      </c>
      <c r="P42" s="13" t="s">
        <v>637</v>
      </c>
      <c r="Q42" s="13" t="s">
        <v>135</v>
      </c>
      <c r="R42" s="13" t="s">
        <v>215</v>
      </c>
      <c r="S42" s="13" t="s">
        <v>137</v>
      </c>
      <c r="T42" s="13" t="s">
        <v>641</v>
      </c>
    </row>
    <row r="43" ht="15.75" customHeight="1"/>
    <row r="44" ht="15.75" customHeight="1"/>
    <row r="45" ht="15.0" customHeight="1">
      <c r="C45" s="2" t="s">
        <v>642</v>
      </c>
    </row>
    <row r="46" ht="15.75" customHeight="1"/>
    <row r="47" ht="15.75" customHeight="1"/>
    <row r="48" ht="15.75" customHeight="1">
      <c r="A48" s="60" t="s">
        <v>644</v>
      </c>
    </row>
    <row r="49" ht="27.0" customHeight="1">
      <c r="A49" s="61" t="s">
        <v>624</v>
      </c>
      <c r="B49" s="62"/>
      <c r="C49" s="63"/>
      <c r="D49" s="15" t="s">
        <v>631</v>
      </c>
      <c r="E49" s="61" t="s">
        <v>633</v>
      </c>
      <c r="F49" s="62"/>
      <c r="G49" s="63"/>
      <c r="H49" s="61" t="s">
        <v>636</v>
      </c>
      <c r="I49" s="62"/>
      <c r="J49" s="62"/>
      <c r="K49" s="62"/>
      <c r="L49" s="63"/>
      <c r="M49" s="15" t="s">
        <v>69</v>
      </c>
    </row>
    <row r="50" ht="27.0" customHeight="1">
      <c r="A50" s="64" t="s">
        <v>656</v>
      </c>
      <c r="B50" s="65"/>
      <c r="C50" s="66"/>
      <c r="D50" s="68" t="s">
        <v>665</v>
      </c>
      <c r="E50" s="64" t="s">
        <v>666</v>
      </c>
      <c r="F50" s="65"/>
      <c r="G50" s="66"/>
      <c r="H50" s="64" t="s">
        <v>672</v>
      </c>
      <c r="I50" s="65"/>
      <c r="J50" s="65"/>
      <c r="K50" s="65"/>
      <c r="L50" s="66"/>
      <c r="M50" s="70" t="s">
        <v>124</v>
      </c>
    </row>
    <row r="51" ht="15.0" customHeight="1">
      <c r="A51" s="64" t="s">
        <v>674</v>
      </c>
      <c r="B51" s="65"/>
      <c r="C51" s="66"/>
      <c r="D51" s="68" t="s">
        <v>665</v>
      </c>
      <c r="E51" s="64" t="s">
        <v>665</v>
      </c>
      <c r="F51" s="65"/>
      <c r="G51" s="66"/>
      <c r="H51" s="64" t="s">
        <v>677</v>
      </c>
      <c r="I51" s="65"/>
      <c r="J51" s="65"/>
      <c r="K51" s="65"/>
      <c r="L51" s="66"/>
      <c r="M51" s="73" t="s">
        <v>680</v>
      </c>
    </row>
    <row r="52" ht="27.0" customHeight="1">
      <c r="A52" s="64" t="s">
        <v>682</v>
      </c>
      <c r="B52" s="65"/>
      <c r="C52" s="66"/>
      <c r="D52" s="68" t="s">
        <v>665</v>
      </c>
      <c r="E52" s="64" t="s">
        <v>665</v>
      </c>
      <c r="F52" s="65"/>
      <c r="G52" s="66"/>
      <c r="H52" s="64" t="s">
        <v>686</v>
      </c>
      <c r="I52" s="65"/>
      <c r="J52" s="65"/>
      <c r="K52" s="65"/>
      <c r="L52" s="66"/>
      <c r="M52" s="73" t="s">
        <v>680</v>
      </c>
    </row>
    <row r="53" ht="15.0" customHeight="1">
      <c r="A53" s="64" t="s">
        <v>688</v>
      </c>
      <c r="B53" s="65"/>
      <c r="C53" s="66"/>
      <c r="D53" s="68" t="s">
        <v>665</v>
      </c>
      <c r="E53" s="64" t="s">
        <v>692</v>
      </c>
      <c r="F53" s="65"/>
      <c r="G53" s="66"/>
      <c r="H53" s="64" t="s">
        <v>694</v>
      </c>
      <c r="I53" s="65"/>
      <c r="J53" s="65"/>
      <c r="K53" s="65"/>
      <c r="L53" s="66"/>
      <c r="M53" s="70" t="s">
        <v>124</v>
      </c>
    </row>
    <row r="54" ht="27.0" customHeight="1">
      <c r="A54" s="64" t="s">
        <v>695</v>
      </c>
      <c r="B54" s="65"/>
      <c r="C54" s="66"/>
      <c r="D54" s="68" t="s">
        <v>665</v>
      </c>
      <c r="E54" s="64" t="s">
        <v>698</v>
      </c>
      <c r="F54" s="65"/>
      <c r="G54" s="66"/>
      <c r="H54" s="64" t="s">
        <v>701</v>
      </c>
      <c r="I54" s="65"/>
      <c r="J54" s="65"/>
      <c r="K54" s="65"/>
      <c r="L54" s="66"/>
      <c r="M54" s="77" t="s">
        <v>176</v>
      </c>
    </row>
    <row r="55" ht="39.75" customHeight="1">
      <c r="A55" s="64" t="s">
        <v>706</v>
      </c>
      <c r="B55" s="65"/>
      <c r="C55" s="66"/>
      <c r="D55" s="68" t="s">
        <v>665</v>
      </c>
      <c r="E55" s="64" t="s">
        <v>709</v>
      </c>
      <c r="F55" s="65"/>
      <c r="G55" s="66"/>
      <c r="H55" s="64" t="s">
        <v>712</v>
      </c>
      <c r="I55" s="65"/>
      <c r="J55" s="65"/>
      <c r="K55" s="65"/>
      <c r="L55" s="66"/>
      <c r="M55" s="77" t="s">
        <v>176</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E51:G51"/>
    <mergeCell ref="H51:L51"/>
    <mergeCell ref="A49:C49"/>
    <mergeCell ref="E49:G49"/>
    <mergeCell ref="H49:L49"/>
    <mergeCell ref="A50:C50"/>
    <mergeCell ref="E50:G50"/>
    <mergeCell ref="H50:L50"/>
    <mergeCell ref="A51:C51"/>
    <mergeCell ref="E54:G54"/>
    <mergeCell ref="H54:L54"/>
    <mergeCell ref="A55:C55"/>
    <mergeCell ref="E55:G55"/>
    <mergeCell ref="H55:L55"/>
    <mergeCell ref="A52:C52"/>
    <mergeCell ref="E52:G52"/>
    <mergeCell ref="H52:L52"/>
    <mergeCell ref="A53:C53"/>
    <mergeCell ref="E53:G53"/>
    <mergeCell ref="H53:L53"/>
    <mergeCell ref="A54:C54"/>
  </mergeCells>
  <hyperlinks>
    <hyperlink r:id="rId1" ref="P8"/>
    <hyperlink r:id="rId2" ref="P9"/>
    <hyperlink r:id="rId3" ref="P11"/>
  </hyperlinks>
  <printOptions/>
  <pageMargins bottom="1.0" footer="0.0" header="0.0" left="0.75" right="0.75" top="1.0"/>
  <pageSetup paperSize="9" orientation="portrait"/>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7.0"/>
    <col customWidth="1" min="3" max="5" width="13.0"/>
    <col customWidth="1" min="6" max="6" width="7.0"/>
    <col customWidth="1" min="7" max="7" width="13.0"/>
    <col customWidth="1" min="8" max="15" width="10.0"/>
    <col customWidth="1" min="16" max="17" width="15.0"/>
    <col customWidth="1" min="18" max="18" width="11.0"/>
    <col customWidth="1" min="19" max="20" width="15.0"/>
    <col customWidth="1" min="21" max="21" width="13.0"/>
    <col customWidth="1" min="22" max="26" width="8.71"/>
  </cols>
  <sheetData>
    <row r="1" ht="17.25" customHeight="1">
      <c r="A1" s="1" t="s">
        <v>145</v>
      </c>
    </row>
    <row r="2" ht="15.0" customHeight="1">
      <c r="A2" s="2" t="s">
        <v>147</v>
      </c>
    </row>
    <row r="3">
      <c r="A3" s="4" t="s">
        <v>32</v>
      </c>
      <c r="B3" s="8" t="s">
        <v>148</v>
      </c>
      <c r="C3" s="8"/>
      <c r="D3" s="8"/>
      <c r="E3" s="8"/>
      <c r="F3" s="8"/>
      <c r="G3" s="8"/>
      <c r="H3" s="8"/>
      <c r="I3" s="8"/>
      <c r="J3" s="8"/>
    </row>
    <row r="4">
      <c r="B4" s="8" t="s">
        <v>152</v>
      </c>
      <c r="C4" s="8"/>
      <c r="D4" s="8"/>
      <c r="E4" s="8"/>
      <c r="F4" s="8"/>
      <c r="G4" s="8"/>
      <c r="H4" s="8"/>
      <c r="I4" s="8"/>
      <c r="J4" s="8"/>
    </row>
    <row r="5" ht="15.0" customHeight="1">
      <c r="A5" s="3" t="s">
        <v>158</v>
      </c>
      <c r="I5" s="30">
        <v>0.2</v>
      </c>
      <c r="J5" s="30">
        <v>0.2</v>
      </c>
      <c r="K5" s="30">
        <v>0.2</v>
      </c>
      <c r="L5" s="30">
        <v>0.2</v>
      </c>
      <c r="M5" s="30">
        <v>0.1</v>
      </c>
      <c r="N5" s="30">
        <v>0.1</v>
      </c>
      <c r="O5" s="36">
        <f>SUM(I5:N5)</f>
        <v>1</v>
      </c>
    </row>
    <row r="7" ht="45.75" customHeight="1">
      <c r="A7" s="12" t="s">
        <v>35</v>
      </c>
      <c r="B7" s="12" t="s">
        <v>169</v>
      </c>
      <c r="C7" s="12" t="s">
        <v>170</v>
      </c>
      <c r="D7" s="12" t="s">
        <v>171</v>
      </c>
      <c r="E7" s="12" t="s">
        <v>173</v>
      </c>
      <c r="F7" s="12" t="s">
        <v>174</v>
      </c>
      <c r="G7" s="12" t="s">
        <v>175</v>
      </c>
      <c r="H7" s="12" t="s">
        <v>177</v>
      </c>
      <c r="I7" s="12" t="s">
        <v>178</v>
      </c>
      <c r="J7" s="12" t="s">
        <v>179</v>
      </c>
      <c r="K7" s="12" t="s">
        <v>180</v>
      </c>
      <c r="L7" s="12" t="s">
        <v>181</v>
      </c>
      <c r="M7" s="12" t="s">
        <v>182</v>
      </c>
      <c r="N7" s="12" t="s">
        <v>184</v>
      </c>
      <c r="O7" s="12" t="s">
        <v>186</v>
      </c>
      <c r="P7" s="12" t="s">
        <v>187</v>
      </c>
      <c r="Q7" s="12" t="s">
        <v>188</v>
      </c>
      <c r="R7" s="12" t="s">
        <v>189</v>
      </c>
      <c r="S7" s="12" t="s">
        <v>190</v>
      </c>
      <c r="T7" s="12" t="s">
        <v>191</v>
      </c>
      <c r="U7" s="12" t="s">
        <v>192</v>
      </c>
      <c r="V7" s="12" t="s">
        <v>194</v>
      </c>
    </row>
    <row r="8" ht="15.0" customHeight="1">
      <c r="A8" s="3" t="s">
        <v>65</v>
      </c>
      <c r="B8" s="21">
        <v>1.0</v>
      </c>
      <c r="C8" s="41">
        <f>PERCENTILE(Rent_Data!$J$8:$J$9,0.25)</f>
        <v>364345.5497</v>
      </c>
      <c r="D8" s="41">
        <f>MEDIAN(Rent_Data!$J$8:$J$9)</f>
        <v>408691.0995</v>
      </c>
      <c r="E8" s="41">
        <f>PERCENTILE(Rent_Data!$J$8:$J$9,0.75)</f>
        <v>453036.6492</v>
      </c>
      <c r="F8" s="43">
        <f>COUNT(Rent_Data!$J$8:$J$9)</f>
        <v>2</v>
      </c>
      <c r="G8" s="16">
        <v>120000.0</v>
      </c>
      <c r="H8" s="44">
        <v>1.1</v>
      </c>
      <c r="I8" s="45"/>
      <c r="J8" s="45"/>
      <c r="K8" s="45"/>
      <c r="L8" s="45"/>
      <c r="M8" s="45"/>
      <c r="N8" s="45"/>
      <c r="O8" s="47">
        <f t="shared" ref="O8:O13" si="1">SUMPRODUCT(I8:N8,$I$5:$N$5)</f>
        <v>0</v>
      </c>
      <c r="P8" s="41">
        <f>(D8*(1+Inputs!$H$27)+G8)*Inputs!$H$21*Inputs!$H$22</f>
        <v>79303664.92</v>
      </c>
      <c r="Q8" s="41">
        <f>Scenarios!$F$13*H8</f>
        <v>809193000</v>
      </c>
      <c r="R8" s="36">
        <f t="shared" ref="R8:R13" si="2">P8/Q8</f>
        <v>0.09800339959</v>
      </c>
      <c r="S8" s="41">
        <f>Q8*Scenarios!$F$24-(Scenarios!$F$32+P8)</f>
        <v>154335300.5</v>
      </c>
      <c r="T8" s="41">
        <f>(Scenarios!$F$32+P8)/Scenarios!$F$24/Inputs!$H$12</f>
        <v>18088426.06</v>
      </c>
      <c r="U8" s="22">
        <f t="shared" ref="U8:U13" si="3">0.12*Q8</f>
        <v>97103160</v>
      </c>
    </row>
    <row r="9" ht="15.0" customHeight="1">
      <c r="A9" s="3" t="s">
        <v>141</v>
      </c>
      <c r="B9" s="21">
        <v>1.0</v>
      </c>
      <c r="C9" s="41">
        <f>IF($F$9&gt;=3,PERCENTILE(Rent_Data!$J$11,0.25),C10*$V$9)</f>
        <v>205161.3839</v>
      </c>
      <c r="D9" s="41">
        <f>IF($F$9&gt;=3,MEDIAN(Rent_Data!$J$11),D10*$V$9)</f>
        <v>251828.125</v>
      </c>
      <c r="E9" s="41">
        <f>IF($F$9&gt;=3,PERCENTILE(Rent_Data!$J$11,0.75),E10*$V$9)</f>
        <v>351857.8656</v>
      </c>
      <c r="F9" s="43">
        <f>COUNT(Rent_Data!$J$11)</f>
        <v>1</v>
      </c>
      <c r="G9" s="16">
        <v>0.0</v>
      </c>
      <c r="H9" s="44">
        <v>1.0</v>
      </c>
      <c r="I9" s="45"/>
      <c r="J9" s="45"/>
      <c r="K9" s="45"/>
      <c r="L9" s="45"/>
      <c r="M9" s="45"/>
      <c r="N9" s="45"/>
      <c r="O9" s="47">
        <f t="shared" si="1"/>
        <v>0</v>
      </c>
      <c r="P9" s="41">
        <f>(D9*(1+Inputs!$H$27)+G9)*Inputs!$H$21*Inputs!$H$22</f>
        <v>37774218.75</v>
      </c>
      <c r="Q9" s="41">
        <f>Scenarios!$F$13*H9</f>
        <v>735630000</v>
      </c>
      <c r="R9" s="36">
        <f t="shared" si="2"/>
        <v>0.05134948106</v>
      </c>
      <c r="S9" s="41">
        <f>Q9*Scenarios!$F$24-(Scenarios!$F$32+P9)</f>
        <v>153269419.8</v>
      </c>
      <c r="T9" s="41">
        <f>(Scenarios!$F$32+P9)/Scenarios!$F$24/Inputs!$H$12</f>
        <v>15697685.99</v>
      </c>
      <c r="U9" s="22">
        <f t="shared" si="3"/>
        <v>88275600</v>
      </c>
      <c r="V9" s="49">
        <v>2.27</v>
      </c>
    </row>
    <row r="10" ht="15.0" customHeight="1">
      <c r="A10" s="3" t="s">
        <v>202</v>
      </c>
      <c r="B10" s="21">
        <v>1.0</v>
      </c>
      <c r="C10" s="41">
        <f>PERCENTILE(Rent_Data!$J$13:$J$22,0.25)</f>
        <v>90379.46429</v>
      </c>
      <c r="D10" s="41">
        <f>MEDIAN(Rent_Data!$J$13:$J$22)</f>
        <v>110937.5</v>
      </c>
      <c r="E10" s="41">
        <f>PERCENTILE(Rent_Data!$J$13:$J$22,0.75)</f>
        <v>155003.465</v>
      </c>
      <c r="F10" s="43">
        <f>COUNT(Rent_Data!$J$13:$J$22)</f>
        <v>10</v>
      </c>
      <c r="G10" s="16">
        <v>0.0</v>
      </c>
      <c r="H10" s="44">
        <v>0.9</v>
      </c>
      <c r="I10" s="45"/>
      <c r="J10" s="45"/>
      <c r="K10" s="45"/>
      <c r="L10" s="45"/>
      <c r="M10" s="45"/>
      <c r="N10" s="45"/>
      <c r="O10" s="47">
        <f t="shared" si="1"/>
        <v>0</v>
      </c>
      <c r="P10" s="41">
        <f>(D10*(1+Inputs!$H$27)+G10)*Inputs!$H$21*Inputs!$H$22</f>
        <v>16640625</v>
      </c>
      <c r="Q10" s="41">
        <f>Scenarios!$F$13*H10</f>
        <v>662067000</v>
      </c>
      <c r="R10" s="36">
        <f t="shared" si="2"/>
        <v>0.02513435196</v>
      </c>
      <c r="S10" s="41">
        <f>Q10*Scenarios!$F$24-(Scenarios!$F$32+P10)</f>
        <v>131807686.7</v>
      </c>
      <c r="T10" s="41">
        <f>(Scenarios!$F$32+P10)/Scenarios!$F$24/Inputs!$H$12</f>
        <v>14481081.04</v>
      </c>
      <c r="U10" s="22">
        <f t="shared" si="3"/>
        <v>79448040</v>
      </c>
    </row>
    <row r="11" ht="15.0" customHeight="1">
      <c r="A11" s="3" t="s">
        <v>312</v>
      </c>
      <c r="B11" s="21">
        <v>1.0</v>
      </c>
      <c r="C11" s="41">
        <f>PERCENTILE(Rent_Data!$J$24:$J$25,0.25)</f>
        <v>267045.4545</v>
      </c>
      <c r="D11" s="41">
        <f>MEDIAN(Rent_Data!$J$24:$J$25)</f>
        <v>284090.9091</v>
      </c>
      <c r="E11" s="41">
        <f>PERCENTILE(Rent_Data!$J$24:$J$25,0.75)</f>
        <v>301136.3636</v>
      </c>
      <c r="F11" s="43">
        <f>COUNT(Rent_Data!$J$24:$J$25)</f>
        <v>2</v>
      </c>
      <c r="G11" s="16">
        <v>50000.0</v>
      </c>
      <c r="H11" s="44">
        <v>0.9</v>
      </c>
      <c r="I11" s="45"/>
      <c r="J11" s="45"/>
      <c r="K11" s="45"/>
      <c r="L11" s="45"/>
      <c r="M11" s="45"/>
      <c r="N11" s="45"/>
      <c r="O11" s="47">
        <f t="shared" si="1"/>
        <v>0</v>
      </c>
      <c r="P11" s="41">
        <f>(D11*(1+Inputs!$H$27)+G11)*Inputs!$H$21*Inputs!$H$22</f>
        <v>50113636.36</v>
      </c>
      <c r="Q11" s="41">
        <f>Scenarios!$F$13*H11</f>
        <v>662067000</v>
      </c>
      <c r="R11" s="36">
        <f t="shared" si="2"/>
        <v>0.0756926963</v>
      </c>
      <c r="S11" s="41">
        <f>Q11*Scenarios!$F$24-(Scenarios!$F$32+P11)</f>
        <v>98334675.35</v>
      </c>
      <c r="T11" s="41">
        <f>(Scenarios!$F$32+P11)/Scenarios!$F$24/Inputs!$H$12</f>
        <v>16408033.53</v>
      </c>
      <c r="U11" s="22">
        <f t="shared" si="3"/>
        <v>79448040</v>
      </c>
    </row>
    <row r="12" ht="15.0" customHeight="1">
      <c r="A12" s="3" t="s">
        <v>364</v>
      </c>
      <c r="B12" s="21">
        <v>2.0</v>
      </c>
      <c r="C12" s="41">
        <f>PERCENTILE(Rent_Data!$J$27:$J$38,0.25)</f>
        <v>124338.2353</v>
      </c>
      <c r="D12" s="41">
        <f>MEDIAN(Rent_Data!$J$27:$J$38)</f>
        <v>145916.6667</v>
      </c>
      <c r="E12" s="41">
        <f>PERCENTILE(Rent_Data!$J$27:$J$38,0.75)</f>
        <v>184759.3583</v>
      </c>
      <c r="F12" s="43">
        <f>COUNT(Rent_Data!$J$27:$J$38)</f>
        <v>12</v>
      </c>
      <c r="G12" s="16">
        <v>0.0</v>
      </c>
      <c r="H12" s="44">
        <v>0.85</v>
      </c>
      <c r="I12" s="45"/>
      <c r="J12" s="45"/>
      <c r="K12" s="45"/>
      <c r="L12" s="45"/>
      <c r="M12" s="45"/>
      <c r="N12" s="45"/>
      <c r="O12" s="47">
        <f t="shared" si="1"/>
        <v>0</v>
      </c>
      <c r="P12" s="41">
        <f>(D12*(1+Inputs!$H$27)+G12)*Inputs!$H$21*Inputs!$H$22</f>
        <v>21887500</v>
      </c>
      <c r="Q12" s="41">
        <f>Scenarios!$F$13*H12</f>
        <v>625285500</v>
      </c>
      <c r="R12" s="36">
        <f t="shared" si="2"/>
        <v>0.03500401017</v>
      </c>
      <c r="S12" s="41">
        <f>Q12*Scenarios!$F$24-(Scenarios!$F$32+P12)</f>
        <v>105263148.3</v>
      </c>
      <c r="T12" s="41">
        <f>(Scenarios!$F$32+P12)/Scenarios!$F$24/Inputs!$H$12</f>
        <v>14783129.72</v>
      </c>
      <c r="U12" s="22">
        <f t="shared" si="3"/>
        <v>75034260</v>
      </c>
    </row>
    <row r="13" ht="15.0" customHeight="1">
      <c r="A13" s="3" t="s">
        <v>521</v>
      </c>
      <c r="B13" s="21">
        <v>2.0</v>
      </c>
      <c r="C13" s="41">
        <f>PERCENTILE(Rent_Data!$J$40:$J$42,0.25)</f>
        <v>69213.57861</v>
      </c>
      <c r="D13" s="41">
        <f>MEDIAN(Rent_Data!$J$40:$J$42)</f>
        <v>91145.83333</v>
      </c>
      <c r="E13" s="41">
        <f>PERCENTILE(Rent_Data!$J$40:$J$42,0.75)</f>
        <v>109024.6933</v>
      </c>
      <c r="F13" s="43">
        <f>COUNT(Rent_Data!$J$40:$J$42)</f>
        <v>3</v>
      </c>
      <c r="G13" s="16">
        <v>0.0</v>
      </c>
      <c r="H13" s="44">
        <v>0.95</v>
      </c>
      <c r="I13" s="45"/>
      <c r="J13" s="45"/>
      <c r="K13" s="45"/>
      <c r="L13" s="45"/>
      <c r="M13" s="45"/>
      <c r="N13" s="45"/>
      <c r="O13" s="47">
        <f t="shared" si="1"/>
        <v>0</v>
      </c>
      <c r="P13" s="41">
        <f>(D13*(1+Inputs!$H$27)+G13)*Inputs!$H$21*Inputs!$H$22</f>
        <v>13671875</v>
      </c>
      <c r="Q13" s="41">
        <f>Scenarios!$F$13*H13</f>
        <v>698848500</v>
      </c>
      <c r="R13" s="36">
        <f t="shared" si="2"/>
        <v>0.01956343185</v>
      </c>
      <c r="S13" s="41">
        <f>Q13*Scenarios!$F$24-(Scenarios!$F$32+P13)</f>
        <v>156074100.1</v>
      </c>
      <c r="T13" s="41">
        <f>(Scenarios!$F$32+P13)/Scenarios!$F$24/Inputs!$H$12</f>
        <v>14310177.98</v>
      </c>
      <c r="U13" s="22">
        <f t="shared" si="3"/>
        <v>83861820</v>
      </c>
    </row>
    <row r="16" ht="15.0" customHeight="1">
      <c r="A16" s="2" t="s">
        <v>601</v>
      </c>
    </row>
    <row r="17" ht="15.0" customHeight="1">
      <c r="A17" s="2" t="s">
        <v>605</v>
      </c>
    </row>
    <row r="18" ht="15.0" customHeight="1">
      <c r="A18" s="2" t="s">
        <v>606</v>
      </c>
    </row>
    <row r="19" ht="15.0" customHeight="1">
      <c r="A19" s="2" t="s">
        <v>610</v>
      </c>
    </row>
    <row r="20" ht="15.0" customHeight="1">
      <c r="A20" s="2" t="s">
        <v>613</v>
      </c>
    </row>
    <row r="21" ht="15.75" customHeight="1"/>
    <row r="22" ht="15.75" customHeight="1"/>
    <row r="23" ht="15.75" customHeight="1">
      <c r="A23" s="60" t="s">
        <v>614</v>
      </c>
    </row>
    <row r="24" ht="27.0" customHeight="1">
      <c r="A24" s="61" t="s">
        <v>624</v>
      </c>
      <c r="B24" s="62"/>
      <c r="C24" s="63"/>
      <c r="D24" s="61" t="s">
        <v>631</v>
      </c>
      <c r="E24" s="63"/>
      <c r="F24" s="61" t="s">
        <v>633</v>
      </c>
      <c r="G24" s="62"/>
      <c r="H24" s="63"/>
      <c r="I24" s="61" t="s">
        <v>636</v>
      </c>
      <c r="J24" s="62"/>
      <c r="K24" s="62"/>
      <c r="L24" s="62"/>
      <c r="M24" s="62"/>
      <c r="N24" s="62"/>
      <c r="O24" s="62"/>
      <c r="P24" s="63"/>
      <c r="Q24" s="61" t="s">
        <v>69</v>
      </c>
      <c r="R24" s="62"/>
      <c r="S24" s="63"/>
    </row>
    <row r="25" ht="15.0" customHeight="1">
      <c r="A25" s="64" t="s">
        <v>649</v>
      </c>
      <c r="B25" s="65"/>
      <c r="C25" s="66"/>
      <c r="D25" s="67">
        <f>Location!D9</f>
        <v>251828.125</v>
      </c>
      <c r="E25" s="66"/>
      <c r="F25" s="64" t="s">
        <v>661</v>
      </c>
      <c r="G25" s="65"/>
      <c r="H25" s="66"/>
      <c r="I25" s="64" t="s">
        <v>662</v>
      </c>
      <c r="J25" s="65"/>
      <c r="K25" s="65"/>
      <c r="L25" s="65"/>
      <c r="M25" s="65"/>
      <c r="N25" s="65"/>
      <c r="O25" s="65"/>
      <c r="P25" s="66"/>
      <c r="Q25" s="69" t="s">
        <v>82</v>
      </c>
      <c r="R25" s="65"/>
      <c r="S25" s="66"/>
    </row>
    <row r="26" ht="40.5" customHeight="1">
      <c r="A26" s="64" t="s">
        <v>670</v>
      </c>
      <c r="B26" s="65"/>
      <c r="C26" s="66"/>
      <c r="D26" s="67">
        <f>Location!G8</f>
        <v>120000</v>
      </c>
      <c r="E26" s="66"/>
      <c r="F26" s="64" t="s">
        <v>675</v>
      </c>
      <c r="G26" s="65"/>
      <c r="H26" s="66"/>
      <c r="I26" s="64" t="s">
        <v>676</v>
      </c>
      <c r="J26" s="65"/>
      <c r="K26" s="65"/>
      <c r="L26" s="65"/>
      <c r="M26" s="65"/>
      <c r="N26" s="65"/>
      <c r="O26" s="65"/>
      <c r="P26" s="66"/>
      <c r="Q26" s="72" t="s">
        <v>176</v>
      </c>
      <c r="R26" s="65"/>
      <c r="S26" s="66"/>
    </row>
    <row r="27" ht="27.0" customHeight="1">
      <c r="A27" s="64" t="s">
        <v>683</v>
      </c>
      <c r="B27" s="65"/>
      <c r="C27" s="66"/>
      <c r="D27" s="67">
        <f>Location!H9</f>
        <v>1</v>
      </c>
      <c r="E27" s="66"/>
      <c r="F27" s="64" t="s">
        <v>690</v>
      </c>
      <c r="G27" s="65"/>
      <c r="H27" s="66"/>
      <c r="I27" s="64" t="s">
        <v>693</v>
      </c>
      <c r="J27" s="65"/>
      <c r="K27" s="65"/>
      <c r="L27" s="65"/>
      <c r="M27" s="65"/>
      <c r="N27" s="65"/>
      <c r="O27" s="65"/>
      <c r="P27" s="66"/>
      <c r="Q27" s="75" t="s">
        <v>91</v>
      </c>
      <c r="R27" s="65"/>
      <c r="S27" s="66"/>
    </row>
    <row r="28" ht="27.0" customHeight="1">
      <c r="A28" s="64" t="s">
        <v>696</v>
      </c>
      <c r="B28" s="65"/>
      <c r="C28" s="66"/>
      <c r="D28" s="76" t="s">
        <v>665</v>
      </c>
      <c r="E28" s="66"/>
      <c r="F28" s="64" t="s">
        <v>703</v>
      </c>
      <c r="G28" s="65"/>
      <c r="H28" s="66"/>
      <c r="I28" s="64" t="s">
        <v>705</v>
      </c>
      <c r="J28" s="65"/>
      <c r="K28" s="65"/>
      <c r="L28" s="65"/>
      <c r="M28" s="65"/>
      <c r="N28" s="65"/>
      <c r="O28" s="65"/>
      <c r="P28" s="66"/>
      <c r="Q28" s="75" t="s">
        <v>91</v>
      </c>
      <c r="R28" s="65"/>
      <c r="S28" s="66"/>
    </row>
    <row r="29" ht="15.0" customHeight="1">
      <c r="A29" s="64" t="s">
        <v>711</v>
      </c>
      <c r="B29" s="65"/>
      <c r="C29" s="66"/>
      <c r="D29" s="67">
        <f>Location!O5</f>
        <v>1</v>
      </c>
      <c r="E29" s="66"/>
      <c r="F29" s="64" t="s">
        <v>665</v>
      </c>
      <c r="G29" s="65"/>
      <c r="H29" s="66"/>
      <c r="I29" s="64" t="s">
        <v>716</v>
      </c>
      <c r="J29" s="65"/>
      <c r="K29" s="65"/>
      <c r="L29" s="65"/>
      <c r="M29" s="65"/>
      <c r="N29" s="65"/>
      <c r="O29" s="65"/>
      <c r="P29" s="66"/>
      <c r="Q29" s="78" t="s">
        <v>153</v>
      </c>
      <c r="R29" s="65"/>
      <c r="S29" s="66"/>
    </row>
    <row r="30" ht="15.0" customHeight="1">
      <c r="A30" s="64" t="s">
        <v>719</v>
      </c>
      <c r="B30" s="65"/>
      <c r="C30" s="66"/>
      <c r="D30" s="67">
        <f>Location!Q9</f>
        <v>735630000</v>
      </c>
      <c r="E30" s="66"/>
      <c r="F30" s="64" t="s">
        <v>723</v>
      </c>
      <c r="G30" s="65"/>
      <c r="H30" s="66"/>
      <c r="I30" s="64" t="s">
        <v>724</v>
      </c>
      <c r="J30" s="65"/>
      <c r="K30" s="65"/>
      <c r="L30" s="65"/>
      <c r="M30" s="65"/>
      <c r="N30" s="65"/>
      <c r="O30" s="65"/>
      <c r="P30" s="66"/>
      <c r="Q30" s="78" t="s">
        <v>680</v>
      </c>
      <c r="R30" s="65"/>
      <c r="S30" s="66"/>
    </row>
    <row r="31" ht="27.0" customHeight="1">
      <c r="A31" s="64" t="s">
        <v>728</v>
      </c>
      <c r="B31" s="65"/>
      <c r="C31" s="66"/>
      <c r="D31" s="79">
        <f>Location!R9</f>
        <v>0.05134948106</v>
      </c>
      <c r="E31" s="66"/>
      <c r="F31" s="64" t="s">
        <v>733</v>
      </c>
      <c r="G31" s="65"/>
      <c r="H31" s="66"/>
      <c r="I31" s="64" t="s">
        <v>734</v>
      </c>
      <c r="J31" s="65"/>
      <c r="K31" s="65"/>
      <c r="L31" s="65"/>
      <c r="M31" s="65"/>
      <c r="N31" s="65"/>
      <c r="O31" s="65"/>
      <c r="P31" s="66"/>
      <c r="Q31" s="69" t="s">
        <v>82</v>
      </c>
      <c r="R31" s="65"/>
      <c r="S31" s="66"/>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F25:H25"/>
    <mergeCell ref="I25:P25"/>
    <mergeCell ref="I26:P26"/>
    <mergeCell ref="Q26:S26"/>
    <mergeCell ref="I27:P27"/>
    <mergeCell ref="Q27:S27"/>
    <mergeCell ref="A24:C24"/>
    <mergeCell ref="D24:E24"/>
    <mergeCell ref="F24:H24"/>
    <mergeCell ref="I24:P24"/>
    <mergeCell ref="Q24:S24"/>
    <mergeCell ref="D25:E25"/>
    <mergeCell ref="Q25:S25"/>
    <mergeCell ref="A28:C28"/>
    <mergeCell ref="D28:E28"/>
    <mergeCell ref="F28:H28"/>
    <mergeCell ref="I28:P28"/>
    <mergeCell ref="Q28:S28"/>
    <mergeCell ref="A25:C25"/>
    <mergeCell ref="A26:C26"/>
    <mergeCell ref="D26:E26"/>
    <mergeCell ref="F26:H26"/>
    <mergeCell ref="A27:C27"/>
    <mergeCell ref="D27:E27"/>
    <mergeCell ref="F27:H27"/>
    <mergeCell ref="F30:H30"/>
    <mergeCell ref="I30:P30"/>
    <mergeCell ref="I31:P31"/>
    <mergeCell ref="Q31:S31"/>
    <mergeCell ref="A30:C30"/>
    <mergeCell ref="A31:C31"/>
    <mergeCell ref="D31:E31"/>
    <mergeCell ref="F31:H31"/>
    <mergeCell ref="A29:C29"/>
    <mergeCell ref="D29:E29"/>
    <mergeCell ref="F29:H29"/>
    <mergeCell ref="I29:P29"/>
    <mergeCell ref="Q29:S29"/>
    <mergeCell ref="D30:E30"/>
    <mergeCell ref="Q30:S30"/>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16.0"/>
    <col customWidth="1" min="2" max="2" width="52.29"/>
    <col customWidth="1" min="3" max="4" width="13.0"/>
    <col customWidth="1" min="5" max="5" width="9.0"/>
    <col customWidth="1" min="6" max="6" width="13.0"/>
    <col customWidth="1" min="7" max="7" width="11.0"/>
    <col customWidth="1" min="8" max="9" width="14.0"/>
    <col customWidth="1" min="10" max="11" width="9.0"/>
    <col customWidth="1" min="12" max="12" width="13.0"/>
    <col customWidth="1" min="13" max="14" width="14.0"/>
    <col customWidth="1" min="15" max="16" width="48.0"/>
    <col customWidth="1" min="17" max="17" width="20.0"/>
    <col customWidth="1" min="18" max="26" width="8.71"/>
  </cols>
  <sheetData>
    <row r="1" ht="17.25" customHeight="1">
      <c r="A1" s="1" t="s">
        <v>757</v>
      </c>
    </row>
    <row r="2" ht="15.0" customHeight="1">
      <c r="A2" s="2" t="s">
        <v>758</v>
      </c>
    </row>
    <row r="3">
      <c r="A3" s="11" t="s">
        <v>759</v>
      </c>
      <c r="B3" s="8" t="s">
        <v>760</v>
      </c>
      <c r="C3" s="8"/>
      <c r="D3" s="8"/>
      <c r="E3" s="8"/>
      <c r="F3" s="8"/>
      <c r="G3" s="8"/>
      <c r="H3" s="8"/>
      <c r="I3" s="8"/>
      <c r="J3" s="8"/>
    </row>
    <row r="4">
      <c r="B4" s="8" t="s">
        <v>761</v>
      </c>
      <c r="C4" s="8"/>
      <c r="D4" s="8"/>
      <c r="E4" s="8"/>
      <c r="F4" s="8"/>
      <c r="G4" s="8"/>
      <c r="H4" s="8"/>
    </row>
    <row r="5">
      <c r="B5" s="8" t="s">
        <v>762</v>
      </c>
      <c r="C5" s="8"/>
      <c r="D5" s="8"/>
      <c r="E5" s="8"/>
      <c r="F5" s="8"/>
      <c r="G5" s="8"/>
      <c r="H5" s="8"/>
    </row>
    <row r="6" ht="34.5" customHeight="1">
      <c r="A6" s="12" t="s">
        <v>52</v>
      </c>
      <c r="B6" s="12" t="s">
        <v>763</v>
      </c>
      <c r="C6" s="12" t="s">
        <v>764</v>
      </c>
      <c r="D6" s="12" t="s">
        <v>765</v>
      </c>
      <c r="E6" s="12" t="s">
        <v>766</v>
      </c>
      <c r="F6" s="12" t="s">
        <v>767</v>
      </c>
      <c r="G6" s="12" t="s">
        <v>768</v>
      </c>
      <c r="H6" s="12" t="s">
        <v>769</v>
      </c>
      <c r="I6" s="12" t="s">
        <v>770</v>
      </c>
      <c r="J6" s="12" t="s">
        <v>771</v>
      </c>
      <c r="K6" s="12" t="s">
        <v>772</v>
      </c>
      <c r="L6" s="83" t="s">
        <v>773</v>
      </c>
      <c r="M6" s="12" t="s">
        <v>774</v>
      </c>
      <c r="N6" s="12" t="s">
        <v>775</v>
      </c>
      <c r="O6" s="15" t="s">
        <v>776</v>
      </c>
      <c r="P6" s="15" t="s">
        <v>777</v>
      </c>
      <c r="Q6" s="15" t="s">
        <v>69</v>
      </c>
    </row>
    <row r="7" ht="40.5" customHeight="1">
      <c r="A7" s="13" t="s">
        <v>778</v>
      </c>
      <c r="B7" s="13" t="s">
        <v>779</v>
      </c>
      <c r="C7" s="16">
        <v>89000.0</v>
      </c>
      <c r="D7" s="16">
        <v>24000.0</v>
      </c>
      <c r="E7" s="36">
        <f t="shared" ref="E7:E26" si="1">D7/C7</f>
        <v>0.2696629213</v>
      </c>
      <c r="F7" s="22">
        <f t="shared" ref="F7:F26" si="2">C7-D7</f>
        <v>65000</v>
      </c>
      <c r="G7" s="6">
        <v>12.0</v>
      </c>
      <c r="H7" s="22">
        <f t="shared" ref="H7:H26" si="3">C7*G7</f>
        <v>1068000</v>
      </c>
      <c r="I7" s="22">
        <f t="shared" ref="I7:I26" si="4">D7*G7</f>
        <v>288000</v>
      </c>
      <c r="J7" s="36">
        <f t="shared" ref="J7:J26" si="5">H7/SUM($H$7:$H$26)</f>
        <v>0.1066719936</v>
      </c>
      <c r="K7" s="36">
        <f t="shared" ref="K7:K26" si="6">G7/SUMIF($A$7:$A$26,A7,$G$7:$G$26)</f>
        <v>0.2181818182</v>
      </c>
      <c r="L7" s="13" t="str">
        <f t="shared" ref="L7:L26" si="7">IF(AND(F7&gt;=SUMIF($A$7:$A$26,A7,$M$7:$M$26)/SUMIF($A$7:$A$26,A7,$G$7:$G$26),K7&gt;=0.7/COUNTIF($A$7:$A$26,A7)),"Star",IF(K7&gt;=0.7/COUNTIF($A$7:$A$26,A7),"Plowhorse",IF(F7&gt;=SUMIF($A$7:$A$26,A7,$M$7:$M$26)/SUMIF($A$7:$A$26,A7,$G$7:$G$26),"Puzzle","Dog")))</f>
        <v>Plowhorse</v>
      </c>
      <c r="M7" s="22">
        <f t="shared" ref="M7:M26" si="8">F7*G7</f>
        <v>780000</v>
      </c>
      <c r="N7" s="41">
        <f>C7*(1+Inputs!$H$17)</f>
        <v>97900</v>
      </c>
      <c r="O7" s="9" t="s">
        <v>780</v>
      </c>
      <c r="P7" s="9" t="s">
        <v>781</v>
      </c>
      <c r="Q7" s="84" t="s">
        <v>176</v>
      </c>
    </row>
    <row r="8" ht="40.5" customHeight="1">
      <c r="A8" s="13" t="s">
        <v>778</v>
      </c>
      <c r="B8" s="13" t="s">
        <v>782</v>
      </c>
      <c r="C8" s="16">
        <v>98000.0</v>
      </c>
      <c r="D8" s="16">
        <v>30000.0</v>
      </c>
      <c r="E8" s="36">
        <f t="shared" si="1"/>
        <v>0.306122449</v>
      </c>
      <c r="F8" s="22">
        <f t="shared" si="2"/>
        <v>68000</v>
      </c>
      <c r="G8" s="6">
        <v>15.0</v>
      </c>
      <c r="H8" s="22">
        <f t="shared" si="3"/>
        <v>1470000</v>
      </c>
      <c r="I8" s="22">
        <f t="shared" si="4"/>
        <v>450000</v>
      </c>
      <c r="J8" s="36">
        <f t="shared" si="5"/>
        <v>0.1468238114</v>
      </c>
      <c r="K8" s="36">
        <f t="shared" si="6"/>
        <v>0.2727272727</v>
      </c>
      <c r="L8" s="13" t="str">
        <f t="shared" si="7"/>
        <v>Plowhorse</v>
      </c>
      <c r="M8" s="22">
        <f t="shared" si="8"/>
        <v>1020000</v>
      </c>
      <c r="N8" s="41">
        <f>C8*(1+Inputs!$H$17)</f>
        <v>107800</v>
      </c>
      <c r="O8" s="9" t="s">
        <v>780</v>
      </c>
      <c r="P8" s="9" t="s">
        <v>792</v>
      </c>
      <c r="Q8" s="84" t="s">
        <v>176</v>
      </c>
    </row>
    <row r="9" ht="40.5" customHeight="1">
      <c r="A9" s="13" t="s">
        <v>778</v>
      </c>
      <c r="B9" s="13" t="s">
        <v>794</v>
      </c>
      <c r="C9" s="16">
        <v>105000.0</v>
      </c>
      <c r="D9" s="16">
        <v>34000.0</v>
      </c>
      <c r="E9" s="36">
        <f t="shared" si="1"/>
        <v>0.3238095238</v>
      </c>
      <c r="F9" s="22">
        <f t="shared" si="2"/>
        <v>71000</v>
      </c>
      <c r="G9" s="6">
        <v>11.0</v>
      </c>
      <c r="H9" s="22">
        <f t="shared" si="3"/>
        <v>1155000</v>
      </c>
      <c r="I9" s="22">
        <f t="shared" si="4"/>
        <v>374000</v>
      </c>
      <c r="J9" s="36">
        <f t="shared" si="5"/>
        <v>0.1153615661</v>
      </c>
      <c r="K9" s="36">
        <f t="shared" si="6"/>
        <v>0.2</v>
      </c>
      <c r="L9" s="13" t="str">
        <f t="shared" si="7"/>
        <v>Star</v>
      </c>
      <c r="M9" s="22">
        <f t="shared" si="8"/>
        <v>781000</v>
      </c>
      <c r="N9" s="41">
        <f>C9*(1+Inputs!$H$17)</f>
        <v>115500</v>
      </c>
      <c r="O9" s="9" t="s">
        <v>780</v>
      </c>
      <c r="P9" s="9" t="s">
        <v>821</v>
      </c>
      <c r="Q9" s="84" t="s">
        <v>176</v>
      </c>
    </row>
    <row r="10" ht="40.5" customHeight="1">
      <c r="A10" s="13" t="s">
        <v>778</v>
      </c>
      <c r="B10" s="13" t="s">
        <v>822</v>
      </c>
      <c r="C10" s="16">
        <v>95000.0</v>
      </c>
      <c r="D10" s="16">
        <v>28000.0</v>
      </c>
      <c r="E10" s="36">
        <f t="shared" si="1"/>
        <v>0.2947368421</v>
      </c>
      <c r="F10" s="22">
        <f t="shared" si="2"/>
        <v>67000</v>
      </c>
      <c r="G10" s="6">
        <v>8.0</v>
      </c>
      <c r="H10" s="22">
        <f t="shared" si="3"/>
        <v>760000</v>
      </c>
      <c r="I10" s="22">
        <f t="shared" si="4"/>
        <v>224000</v>
      </c>
      <c r="J10" s="36">
        <f t="shared" si="5"/>
        <v>0.07590890931</v>
      </c>
      <c r="K10" s="36">
        <f t="shared" si="6"/>
        <v>0.1454545455</v>
      </c>
      <c r="L10" s="13" t="str">
        <f t="shared" si="7"/>
        <v>Plowhorse</v>
      </c>
      <c r="M10" s="22">
        <f t="shared" si="8"/>
        <v>536000</v>
      </c>
      <c r="N10" s="41">
        <f>C10*(1+Inputs!$H$17)</f>
        <v>104500</v>
      </c>
      <c r="O10" s="9" t="s">
        <v>780</v>
      </c>
      <c r="P10" s="9" t="s">
        <v>823</v>
      </c>
      <c r="Q10" s="84" t="s">
        <v>176</v>
      </c>
    </row>
    <row r="11" ht="40.5" customHeight="1">
      <c r="A11" s="13" t="s">
        <v>778</v>
      </c>
      <c r="B11" s="13" t="s">
        <v>824</v>
      </c>
      <c r="C11" s="16">
        <v>135000.0</v>
      </c>
      <c r="D11" s="16">
        <v>45000.0</v>
      </c>
      <c r="E11" s="36">
        <f t="shared" si="1"/>
        <v>0.3333333333</v>
      </c>
      <c r="F11" s="22">
        <f t="shared" si="2"/>
        <v>90000</v>
      </c>
      <c r="G11" s="6">
        <v>5.0</v>
      </c>
      <c r="H11" s="22">
        <f t="shared" si="3"/>
        <v>675000</v>
      </c>
      <c r="I11" s="22">
        <f t="shared" si="4"/>
        <v>225000</v>
      </c>
      <c r="J11" s="36">
        <f t="shared" si="5"/>
        <v>0.06741909708</v>
      </c>
      <c r="K11" s="36">
        <f t="shared" si="6"/>
        <v>0.09090909091</v>
      </c>
      <c r="L11" s="13" t="str">
        <f t="shared" si="7"/>
        <v>Puzzle</v>
      </c>
      <c r="M11" s="22">
        <f t="shared" si="8"/>
        <v>450000</v>
      </c>
      <c r="N11" s="41">
        <f>C11*(1+Inputs!$H$17)</f>
        <v>148500</v>
      </c>
      <c r="O11" s="9" t="s">
        <v>780</v>
      </c>
      <c r="P11" s="9" t="s">
        <v>826</v>
      </c>
      <c r="Q11" s="84" t="s">
        <v>176</v>
      </c>
    </row>
    <row r="12" ht="40.5" customHeight="1">
      <c r="A12" s="13" t="s">
        <v>778</v>
      </c>
      <c r="B12" s="13" t="s">
        <v>827</v>
      </c>
      <c r="C12" s="16">
        <v>82000.0</v>
      </c>
      <c r="D12" s="16">
        <v>20000.0</v>
      </c>
      <c r="E12" s="36">
        <f t="shared" si="1"/>
        <v>0.243902439</v>
      </c>
      <c r="F12" s="22">
        <f t="shared" si="2"/>
        <v>62000</v>
      </c>
      <c r="G12" s="6">
        <v>4.0</v>
      </c>
      <c r="H12" s="22">
        <f t="shared" si="3"/>
        <v>328000</v>
      </c>
      <c r="I12" s="22">
        <f t="shared" si="4"/>
        <v>80000</v>
      </c>
      <c r="J12" s="36">
        <f t="shared" si="5"/>
        <v>0.03276068718</v>
      </c>
      <c r="K12" s="36">
        <f t="shared" si="6"/>
        <v>0.07272727273</v>
      </c>
      <c r="L12" s="13" t="str">
        <f t="shared" si="7"/>
        <v>Dog</v>
      </c>
      <c r="M12" s="22">
        <f t="shared" si="8"/>
        <v>248000</v>
      </c>
      <c r="N12" s="41">
        <f>C12*(1+Inputs!$H$17)</f>
        <v>90200</v>
      </c>
      <c r="O12" s="9" t="s">
        <v>780</v>
      </c>
      <c r="P12" s="9" t="s">
        <v>841</v>
      </c>
      <c r="Q12" s="84" t="s">
        <v>176</v>
      </c>
    </row>
    <row r="13" ht="40.5" customHeight="1">
      <c r="A13" s="13" t="s">
        <v>842</v>
      </c>
      <c r="B13" s="13" t="s">
        <v>843</v>
      </c>
      <c r="C13" s="16">
        <v>32000.0</v>
      </c>
      <c r="D13" s="16">
        <v>6000.0</v>
      </c>
      <c r="E13" s="36">
        <f t="shared" si="1"/>
        <v>0.1875</v>
      </c>
      <c r="F13" s="22">
        <f t="shared" si="2"/>
        <v>26000</v>
      </c>
      <c r="G13" s="6">
        <v>5.0</v>
      </c>
      <c r="H13" s="22">
        <f t="shared" si="3"/>
        <v>160000</v>
      </c>
      <c r="I13" s="22">
        <f t="shared" si="4"/>
        <v>30000</v>
      </c>
      <c r="J13" s="36">
        <f t="shared" si="5"/>
        <v>0.01598082301</v>
      </c>
      <c r="K13" s="36">
        <f t="shared" si="6"/>
        <v>0.1</v>
      </c>
      <c r="L13" s="13" t="str">
        <f t="shared" si="7"/>
        <v>Dog</v>
      </c>
      <c r="M13" s="22">
        <f t="shared" si="8"/>
        <v>130000</v>
      </c>
      <c r="N13" s="41">
        <f>C13*(1+Inputs!$H$17)</f>
        <v>35200</v>
      </c>
      <c r="O13" s="9" t="s">
        <v>848</v>
      </c>
      <c r="P13" s="9" t="s">
        <v>849</v>
      </c>
      <c r="Q13" s="84" t="s">
        <v>176</v>
      </c>
    </row>
    <row r="14" ht="40.5" customHeight="1">
      <c r="A14" s="13" t="s">
        <v>842</v>
      </c>
      <c r="B14" s="13" t="s">
        <v>850</v>
      </c>
      <c r="C14" s="16">
        <v>40000.0</v>
      </c>
      <c r="D14" s="16">
        <v>7000.0</v>
      </c>
      <c r="E14" s="36">
        <f t="shared" si="1"/>
        <v>0.175</v>
      </c>
      <c r="F14" s="22">
        <f t="shared" si="2"/>
        <v>33000</v>
      </c>
      <c r="G14" s="21">
        <v>12.0</v>
      </c>
      <c r="H14" s="22">
        <f t="shared" si="3"/>
        <v>480000</v>
      </c>
      <c r="I14" s="22">
        <f t="shared" si="4"/>
        <v>84000</v>
      </c>
      <c r="J14" s="36">
        <f t="shared" si="5"/>
        <v>0.04794246904</v>
      </c>
      <c r="K14" s="36">
        <f t="shared" si="6"/>
        <v>0.24</v>
      </c>
      <c r="L14" s="13" t="str">
        <f t="shared" si="7"/>
        <v>Plowhorse</v>
      </c>
      <c r="M14" s="22">
        <f t="shared" si="8"/>
        <v>396000</v>
      </c>
      <c r="N14" s="41">
        <f>C14*(1+Inputs!$H$17)</f>
        <v>44000</v>
      </c>
      <c r="O14" s="9" t="s">
        <v>855</v>
      </c>
      <c r="P14" s="9" t="s">
        <v>856</v>
      </c>
      <c r="Q14" s="84" t="s">
        <v>176</v>
      </c>
    </row>
    <row r="15" ht="40.5" customHeight="1">
      <c r="A15" s="13" t="s">
        <v>842</v>
      </c>
      <c r="B15" s="13" t="s">
        <v>857</v>
      </c>
      <c r="C15" s="16">
        <v>50000.0</v>
      </c>
      <c r="D15" s="16">
        <v>12000.0</v>
      </c>
      <c r="E15" s="36">
        <f t="shared" si="1"/>
        <v>0.24</v>
      </c>
      <c r="F15" s="22">
        <f t="shared" si="2"/>
        <v>38000</v>
      </c>
      <c r="G15" s="21">
        <v>19.0</v>
      </c>
      <c r="H15" s="22">
        <f t="shared" si="3"/>
        <v>950000</v>
      </c>
      <c r="I15" s="22">
        <f t="shared" si="4"/>
        <v>228000</v>
      </c>
      <c r="J15" s="36">
        <f t="shared" si="5"/>
        <v>0.09488613664</v>
      </c>
      <c r="K15" s="36">
        <f t="shared" si="6"/>
        <v>0.38</v>
      </c>
      <c r="L15" s="13" t="str">
        <f t="shared" si="7"/>
        <v>Star</v>
      </c>
      <c r="M15" s="22">
        <f t="shared" si="8"/>
        <v>722000</v>
      </c>
      <c r="N15" s="41">
        <f>C15*(1+Inputs!$H$17)</f>
        <v>55000</v>
      </c>
      <c r="O15" s="9" t="s">
        <v>855</v>
      </c>
      <c r="P15" s="9" t="s">
        <v>863</v>
      </c>
      <c r="Q15" s="84" t="s">
        <v>176</v>
      </c>
    </row>
    <row r="16" ht="40.5" customHeight="1">
      <c r="A16" s="13" t="s">
        <v>842</v>
      </c>
      <c r="B16" s="13" t="s">
        <v>864</v>
      </c>
      <c r="C16" s="16">
        <v>58000.0</v>
      </c>
      <c r="D16" s="16">
        <v>14000.0</v>
      </c>
      <c r="E16" s="36">
        <f t="shared" si="1"/>
        <v>0.2413793103</v>
      </c>
      <c r="F16" s="22">
        <f t="shared" si="2"/>
        <v>44000</v>
      </c>
      <c r="G16" s="21">
        <v>10.0</v>
      </c>
      <c r="H16" s="22">
        <f t="shared" si="3"/>
        <v>580000</v>
      </c>
      <c r="I16" s="22">
        <f t="shared" si="4"/>
        <v>140000</v>
      </c>
      <c r="J16" s="36">
        <f t="shared" si="5"/>
        <v>0.05793048342</v>
      </c>
      <c r="K16" s="36">
        <f t="shared" si="6"/>
        <v>0.2</v>
      </c>
      <c r="L16" s="13" t="str">
        <f t="shared" si="7"/>
        <v>Star</v>
      </c>
      <c r="M16" s="22">
        <f t="shared" si="8"/>
        <v>440000</v>
      </c>
      <c r="N16" s="41">
        <f>C16*(1+Inputs!$H$17)</f>
        <v>63800</v>
      </c>
      <c r="O16" s="9" t="s">
        <v>855</v>
      </c>
      <c r="P16" s="9" t="s">
        <v>863</v>
      </c>
      <c r="Q16" s="84" t="s">
        <v>176</v>
      </c>
    </row>
    <row r="17" ht="40.5" customHeight="1">
      <c r="A17" s="13" t="s">
        <v>842</v>
      </c>
      <c r="B17" s="13" t="s">
        <v>866</v>
      </c>
      <c r="C17" s="16">
        <v>55000.0</v>
      </c>
      <c r="D17" s="16">
        <v>12000.0</v>
      </c>
      <c r="E17" s="36">
        <f t="shared" si="1"/>
        <v>0.2181818182</v>
      </c>
      <c r="F17" s="22">
        <f t="shared" si="2"/>
        <v>43000</v>
      </c>
      <c r="G17" s="21">
        <v>4.0</v>
      </c>
      <c r="H17" s="22">
        <f t="shared" si="3"/>
        <v>220000</v>
      </c>
      <c r="I17" s="22">
        <f t="shared" si="4"/>
        <v>48000</v>
      </c>
      <c r="J17" s="36">
        <f t="shared" si="5"/>
        <v>0.02197363164</v>
      </c>
      <c r="K17" s="36">
        <f t="shared" si="6"/>
        <v>0.08</v>
      </c>
      <c r="L17" s="13" t="str">
        <f t="shared" si="7"/>
        <v>Puzzle</v>
      </c>
      <c r="M17" s="22">
        <f t="shared" si="8"/>
        <v>172000</v>
      </c>
      <c r="N17" s="41">
        <f>C17*(1+Inputs!$H$17)</f>
        <v>60500</v>
      </c>
      <c r="O17" s="9" t="s">
        <v>855</v>
      </c>
      <c r="P17" s="9" t="s">
        <v>873</v>
      </c>
      <c r="Q17" s="84" t="s">
        <v>176</v>
      </c>
    </row>
    <row r="18" ht="27.0" customHeight="1">
      <c r="A18" s="13" t="s">
        <v>874</v>
      </c>
      <c r="B18" s="13" t="s">
        <v>875</v>
      </c>
      <c r="C18" s="16">
        <v>55000.0</v>
      </c>
      <c r="D18" s="16">
        <v>15000.0</v>
      </c>
      <c r="E18" s="36">
        <f t="shared" si="1"/>
        <v>0.2727272727</v>
      </c>
      <c r="F18" s="22">
        <f t="shared" si="2"/>
        <v>40000</v>
      </c>
      <c r="G18" s="21">
        <v>6.0</v>
      </c>
      <c r="H18" s="22">
        <f t="shared" si="3"/>
        <v>330000</v>
      </c>
      <c r="I18" s="22">
        <f t="shared" si="4"/>
        <v>90000</v>
      </c>
      <c r="J18" s="36">
        <f t="shared" si="5"/>
        <v>0.03296044746</v>
      </c>
      <c r="K18" s="36">
        <f t="shared" si="6"/>
        <v>0.6</v>
      </c>
      <c r="L18" s="13" t="str">
        <f t="shared" si="7"/>
        <v>Star</v>
      </c>
      <c r="M18" s="22">
        <f t="shared" si="8"/>
        <v>240000</v>
      </c>
      <c r="N18" s="41">
        <f>C18*(1+Inputs!$H$17)</f>
        <v>60500</v>
      </c>
      <c r="O18" s="9" t="s">
        <v>880</v>
      </c>
      <c r="P18" s="9" t="s">
        <v>881</v>
      </c>
      <c r="Q18" s="84" t="s">
        <v>176</v>
      </c>
    </row>
    <row r="19" ht="27.0" customHeight="1">
      <c r="A19" s="13" t="s">
        <v>874</v>
      </c>
      <c r="B19" s="13" t="s">
        <v>883</v>
      </c>
      <c r="C19" s="16">
        <v>48000.0</v>
      </c>
      <c r="D19" s="16">
        <v>14000.0</v>
      </c>
      <c r="E19" s="36">
        <f t="shared" si="1"/>
        <v>0.2916666667</v>
      </c>
      <c r="F19" s="22">
        <f t="shared" si="2"/>
        <v>34000</v>
      </c>
      <c r="G19" s="21">
        <v>4.0</v>
      </c>
      <c r="H19" s="22">
        <f t="shared" si="3"/>
        <v>192000</v>
      </c>
      <c r="I19" s="22">
        <f t="shared" si="4"/>
        <v>56000</v>
      </c>
      <c r="J19" s="36">
        <f t="shared" si="5"/>
        <v>0.01917698761</v>
      </c>
      <c r="K19" s="36">
        <f t="shared" si="6"/>
        <v>0.4</v>
      </c>
      <c r="L19" s="13" t="str">
        <f t="shared" si="7"/>
        <v>Plowhorse</v>
      </c>
      <c r="M19" s="22">
        <f t="shared" si="8"/>
        <v>136000</v>
      </c>
      <c r="N19" s="41">
        <f>C19*(1+Inputs!$H$17)</f>
        <v>52800</v>
      </c>
      <c r="O19" s="9" t="s">
        <v>880</v>
      </c>
      <c r="P19" s="9" t="s">
        <v>892</v>
      </c>
      <c r="Q19" s="84" t="s">
        <v>176</v>
      </c>
    </row>
    <row r="20" ht="27.0" customHeight="1">
      <c r="A20" s="13" t="s">
        <v>893</v>
      </c>
      <c r="B20" s="13" t="s">
        <v>894</v>
      </c>
      <c r="C20" s="16">
        <v>38000.0</v>
      </c>
      <c r="D20" s="16">
        <v>13000.0</v>
      </c>
      <c r="E20" s="36">
        <f t="shared" si="1"/>
        <v>0.3421052632</v>
      </c>
      <c r="F20" s="22">
        <f t="shared" si="2"/>
        <v>25000</v>
      </c>
      <c r="G20" s="21">
        <v>10.0</v>
      </c>
      <c r="H20" s="22">
        <f t="shared" si="3"/>
        <v>380000</v>
      </c>
      <c r="I20" s="22">
        <f t="shared" si="4"/>
        <v>130000</v>
      </c>
      <c r="J20" s="36">
        <f t="shared" si="5"/>
        <v>0.03795445465</v>
      </c>
      <c r="K20" s="36">
        <f t="shared" si="6"/>
        <v>0.4</v>
      </c>
      <c r="L20" s="13" t="str">
        <f t="shared" si="7"/>
        <v>Plowhorse</v>
      </c>
      <c r="M20" s="22">
        <f t="shared" si="8"/>
        <v>250000</v>
      </c>
      <c r="N20" s="41">
        <f>C20*(1+Inputs!$H$17)</f>
        <v>41800</v>
      </c>
      <c r="O20" s="9" t="s">
        <v>902</v>
      </c>
      <c r="P20" s="9" t="s">
        <v>903</v>
      </c>
      <c r="Q20" s="84" t="s">
        <v>176</v>
      </c>
    </row>
    <row r="21" ht="27.0" customHeight="1">
      <c r="A21" s="13" t="s">
        <v>893</v>
      </c>
      <c r="B21" s="13" t="s">
        <v>904</v>
      </c>
      <c r="C21" s="16">
        <v>75000.0</v>
      </c>
      <c r="D21" s="16">
        <v>24000.0</v>
      </c>
      <c r="E21" s="36">
        <f t="shared" si="1"/>
        <v>0.32</v>
      </c>
      <c r="F21" s="22">
        <f t="shared" si="2"/>
        <v>51000</v>
      </c>
      <c r="G21" s="21">
        <v>6.0</v>
      </c>
      <c r="H21" s="22">
        <f t="shared" si="3"/>
        <v>450000</v>
      </c>
      <c r="I21" s="22">
        <f t="shared" si="4"/>
        <v>144000</v>
      </c>
      <c r="J21" s="36">
        <f t="shared" si="5"/>
        <v>0.04494606472</v>
      </c>
      <c r="K21" s="36">
        <f t="shared" si="6"/>
        <v>0.24</v>
      </c>
      <c r="L21" s="13" t="str">
        <f t="shared" si="7"/>
        <v>Star</v>
      </c>
      <c r="M21" s="22">
        <f t="shared" si="8"/>
        <v>306000</v>
      </c>
      <c r="N21" s="41">
        <f>C21*(1+Inputs!$H$17)</f>
        <v>82500</v>
      </c>
      <c r="O21" s="9" t="s">
        <v>902</v>
      </c>
      <c r="P21" s="9" t="s">
        <v>906</v>
      </c>
      <c r="Q21" s="84" t="s">
        <v>176</v>
      </c>
    </row>
    <row r="22" ht="27.0" customHeight="1">
      <c r="A22" s="13" t="s">
        <v>893</v>
      </c>
      <c r="B22" s="13" t="s">
        <v>908</v>
      </c>
      <c r="C22" s="16">
        <v>65000.0</v>
      </c>
      <c r="D22" s="16">
        <v>20000.0</v>
      </c>
      <c r="E22" s="36">
        <f t="shared" si="1"/>
        <v>0.3076923077</v>
      </c>
      <c r="F22" s="22">
        <f t="shared" si="2"/>
        <v>45000</v>
      </c>
      <c r="G22" s="21">
        <v>4.0</v>
      </c>
      <c r="H22" s="22">
        <f t="shared" si="3"/>
        <v>260000</v>
      </c>
      <c r="I22" s="22">
        <f t="shared" si="4"/>
        <v>80000</v>
      </c>
      <c r="J22" s="36">
        <f t="shared" si="5"/>
        <v>0.0259688374</v>
      </c>
      <c r="K22" s="36">
        <f t="shared" si="6"/>
        <v>0.16</v>
      </c>
      <c r="L22" s="13" t="str">
        <f t="shared" si="7"/>
        <v>Puzzle</v>
      </c>
      <c r="M22" s="22">
        <f t="shared" si="8"/>
        <v>180000</v>
      </c>
      <c r="N22" s="41">
        <f>C22*(1+Inputs!$H$17)</f>
        <v>71500</v>
      </c>
      <c r="O22" s="9" t="s">
        <v>902</v>
      </c>
      <c r="P22" s="9" t="s">
        <v>914</v>
      </c>
      <c r="Q22" s="84" t="s">
        <v>176</v>
      </c>
    </row>
    <row r="23" ht="27.0" customHeight="1">
      <c r="A23" s="13" t="s">
        <v>893</v>
      </c>
      <c r="B23" s="13" t="s">
        <v>915</v>
      </c>
      <c r="C23" s="16">
        <v>55000.0</v>
      </c>
      <c r="D23" s="16">
        <v>16000.0</v>
      </c>
      <c r="E23" s="36">
        <f t="shared" si="1"/>
        <v>0.2909090909</v>
      </c>
      <c r="F23" s="22">
        <f t="shared" si="2"/>
        <v>39000</v>
      </c>
      <c r="G23" s="21">
        <v>5.0</v>
      </c>
      <c r="H23" s="22">
        <f t="shared" si="3"/>
        <v>275000</v>
      </c>
      <c r="I23" s="22">
        <f t="shared" si="4"/>
        <v>80000</v>
      </c>
      <c r="J23" s="36">
        <f t="shared" si="5"/>
        <v>0.02746703955</v>
      </c>
      <c r="K23" s="36">
        <f t="shared" si="6"/>
        <v>0.2</v>
      </c>
      <c r="L23" s="13" t="str">
        <f t="shared" si="7"/>
        <v>Star</v>
      </c>
      <c r="M23" s="22">
        <f t="shared" si="8"/>
        <v>195000</v>
      </c>
      <c r="N23" s="41">
        <f>C23*(1+Inputs!$H$17)</f>
        <v>60500</v>
      </c>
      <c r="O23" s="9" t="s">
        <v>920</v>
      </c>
      <c r="P23" s="9" t="s">
        <v>921</v>
      </c>
      <c r="Q23" s="84" t="s">
        <v>176</v>
      </c>
    </row>
    <row r="24" ht="27.0" customHeight="1">
      <c r="A24" s="13" t="s">
        <v>923</v>
      </c>
      <c r="B24" s="13" t="s">
        <v>925</v>
      </c>
      <c r="C24" s="16">
        <v>15000.0</v>
      </c>
      <c r="D24" s="16">
        <v>5000.0</v>
      </c>
      <c r="E24" s="36">
        <f t="shared" si="1"/>
        <v>0.3333333333</v>
      </c>
      <c r="F24" s="22">
        <f t="shared" si="2"/>
        <v>10000</v>
      </c>
      <c r="G24" s="21">
        <v>6.0</v>
      </c>
      <c r="H24" s="22">
        <f t="shared" si="3"/>
        <v>90000</v>
      </c>
      <c r="I24" s="22">
        <f t="shared" si="4"/>
        <v>30000</v>
      </c>
      <c r="J24" s="36">
        <f t="shared" si="5"/>
        <v>0.008989212944</v>
      </c>
      <c r="K24" s="36">
        <f t="shared" si="6"/>
        <v>0.4</v>
      </c>
      <c r="L24" s="13" t="str">
        <f t="shared" si="7"/>
        <v>Plowhorse</v>
      </c>
      <c r="M24" s="22">
        <f t="shared" si="8"/>
        <v>60000</v>
      </c>
      <c r="N24" s="41">
        <f>C24*(1+Inputs!$H$17)</f>
        <v>16500</v>
      </c>
      <c r="O24" s="9" t="s">
        <v>929</v>
      </c>
      <c r="P24" s="9" t="s">
        <v>930</v>
      </c>
      <c r="Q24" s="84" t="s">
        <v>176</v>
      </c>
    </row>
    <row r="25" ht="27.0" customHeight="1">
      <c r="A25" s="13" t="s">
        <v>923</v>
      </c>
      <c r="B25" s="13" t="s">
        <v>931</v>
      </c>
      <c r="C25" s="16">
        <v>45000.0</v>
      </c>
      <c r="D25" s="16">
        <v>22000.0</v>
      </c>
      <c r="E25" s="36">
        <f t="shared" si="1"/>
        <v>0.4888888889</v>
      </c>
      <c r="F25" s="22">
        <f t="shared" si="2"/>
        <v>23000</v>
      </c>
      <c r="G25" s="21">
        <v>3.0</v>
      </c>
      <c r="H25" s="22">
        <f t="shared" si="3"/>
        <v>135000</v>
      </c>
      <c r="I25" s="22">
        <f t="shared" si="4"/>
        <v>66000</v>
      </c>
      <c r="J25" s="36">
        <f t="shared" si="5"/>
        <v>0.01348381942</v>
      </c>
      <c r="K25" s="36">
        <f t="shared" si="6"/>
        <v>0.2</v>
      </c>
      <c r="L25" s="13" t="str">
        <f t="shared" si="7"/>
        <v>Puzzle</v>
      </c>
      <c r="M25" s="22">
        <f t="shared" si="8"/>
        <v>69000</v>
      </c>
      <c r="N25" s="41">
        <f>C25*(1+Inputs!$H$17)</f>
        <v>49500</v>
      </c>
      <c r="O25" s="9" t="s">
        <v>929</v>
      </c>
      <c r="P25" s="9" t="s">
        <v>936</v>
      </c>
      <c r="Q25" s="84" t="s">
        <v>176</v>
      </c>
    </row>
    <row r="26" ht="27.0" customHeight="1">
      <c r="A26" s="13" t="s">
        <v>923</v>
      </c>
      <c r="B26" s="13" t="s">
        <v>938</v>
      </c>
      <c r="C26" s="16">
        <v>9000.0</v>
      </c>
      <c r="D26" s="16">
        <v>3000.0</v>
      </c>
      <c r="E26" s="36">
        <f t="shared" si="1"/>
        <v>0.3333333333</v>
      </c>
      <c r="F26" s="22">
        <f t="shared" si="2"/>
        <v>6000</v>
      </c>
      <c r="G26" s="21">
        <v>6.0</v>
      </c>
      <c r="H26" s="22">
        <f t="shared" si="3"/>
        <v>54000</v>
      </c>
      <c r="I26" s="22">
        <f t="shared" si="4"/>
        <v>18000</v>
      </c>
      <c r="J26" s="36">
        <f t="shared" si="5"/>
        <v>0.005393527767</v>
      </c>
      <c r="K26" s="36">
        <f t="shared" si="6"/>
        <v>0.4</v>
      </c>
      <c r="L26" s="13" t="str">
        <f t="shared" si="7"/>
        <v>Plowhorse</v>
      </c>
      <c r="M26" s="22">
        <f t="shared" si="8"/>
        <v>36000</v>
      </c>
      <c r="N26" s="41">
        <f>C26*(1+Inputs!$H$17)</f>
        <v>9900</v>
      </c>
      <c r="O26" s="9" t="s">
        <v>929</v>
      </c>
      <c r="P26" s="9" t="s">
        <v>930</v>
      </c>
      <c r="Q26" s="84" t="s">
        <v>176</v>
      </c>
    </row>
    <row r="27" ht="15.0" customHeight="1">
      <c r="B27" s="3" t="s">
        <v>942</v>
      </c>
      <c r="G27" s="91">
        <f t="shared" ref="G27:I27" si="9">SUM(G7:G26)</f>
        <v>155</v>
      </c>
      <c r="H27" s="93">
        <f t="shared" si="9"/>
        <v>10012000</v>
      </c>
      <c r="I27" s="93">
        <f t="shared" si="9"/>
        <v>2865000</v>
      </c>
    </row>
    <row r="28" ht="15.75" customHeight="1"/>
    <row r="29" ht="15.0" customHeight="1">
      <c r="B29" s="3" t="s">
        <v>946</v>
      </c>
      <c r="E29" s="32">
        <f>I27/H27</f>
        <v>0.2861566121</v>
      </c>
    </row>
    <row r="30" ht="15.0" customHeight="1">
      <c r="B30" s="13" t="s">
        <v>951</v>
      </c>
      <c r="E30" s="98">
        <f>H27/100</f>
        <v>100120</v>
      </c>
      <c r="F30" s="13" t="s">
        <v>954</v>
      </c>
      <c r="H30" s="41">
        <f>Revenue!$E$16</f>
        <v>103375</v>
      </c>
      <c r="I30" s="13" t="str">
        <f>IF(ABS(E30/H30-1)&gt;0.15,"Check: &gt;15% gap","OK")</f>
        <v>OK</v>
      </c>
    </row>
    <row r="31" ht="15.75" customHeight="1"/>
    <row r="32" ht="15.0" customHeight="1">
      <c r="A32" s="12" t="s">
        <v>52</v>
      </c>
      <c r="B32" s="12" t="s">
        <v>963</v>
      </c>
      <c r="C32" s="12" t="s">
        <v>766</v>
      </c>
      <c r="D32" s="12"/>
      <c r="E32" s="12"/>
      <c r="F32" s="12"/>
      <c r="G32" s="12"/>
      <c r="H32" s="12"/>
    </row>
    <row r="33" ht="15.0" customHeight="1">
      <c r="A33" s="13" t="s">
        <v>778</v>
      </c>
      <c r="B33" s="36">
        <f t="shared" ref="B33:B37" si="10">SUMIF($A$7:$A$26,A33,$H$7:$H$26)/$H$27</f>
        <v>0.5449460647</v>
      </c>
      <c r="C33" s="36">
        <f t="shared" ref="C33:C37" si="11">SUMIF($A$7:$A$26,A33,$I$7:$I$26)/SUMIF($A$7:$A$26,A33,$H$7:$H$26)</f>
        <v>0.3007697947</v>
      </c>
    </row>
    <row r="34" ht="15.0" customHeight="1">
      <c r="A34" s="13" t="s">
        <v>842</v>
      </c>
      <c r="B34" s="36">
        <f t="shared" si="10"/>
        <v>0.2387135437</v>
      </c>
      <c r="C34" s="36">
        <f t="shared" si="11"/>
        <v>0.2217573222</v>
      </c>
    </row>
    <row r="35" ht="15.0" customHeight="1">
      <c r="A35" s="13" t="s">
        <v>874</v>
      </c>
      <c r="B35" s="36">
        <f t="shared" si="10"/>
        <v>0.05213743508</v>
      </c>
      <c r="C35" s="36">
        <f t="shared" si="11"/>
        <v>0.2796934866</v>
      </c>
    </row>
    <row r="36" ht="15.0" customHeight="1">
      <c r="A36" s="13" t="s">
        <v>893</v>
      </c>
      <c r="B36" s="36">
        <f t="shared" si="10"/>
        <v>0.1363363963</v>
      </c>
      <c r="C36" s="36">
        <f t="shared" si="11"/>
        <v>0.3179487179</v>
      </c>
    </row>
    <row r="37" ht="15.0" customHeight="1">
      <c r="A37" s="13" t="s">
        <v>923</v>
      </c>
      <c r="B37" s="36">
        <f t="shared" si="10"/>
        <v>0.02786656013</v>
      </c>
      <c r="C37" s="36">
        <f t="shared" si="11"/>
        <v>0.4086021505</v>
      </c>
    </row>
    <row r="38" ht="15.75" customHeight="1"/>
    <row r="39" ht="15.0" customHeight="1">
      <c r="A39" s="100" t="s">
        <v>989</v>
      </c>
    </row>
    <row r="40" ht="15.0" customHeight="1">
      <c r="A40" s="12" t="s">
        <v>991</v>
      </c>
      <c r="B40" s="12" t="s">
        <v>763</v>
      </c>
      <c r="C40" s="12" t="s">
        <v>993</v>
      </c>
      <c r="D40" s="12" t="s">
        <v>994</v>
      </c>
      <c r="E40" s="12" t="s">
        <v>995</v>
      </c>
      <c r="F40" s="12" t="s">
        <v>45</v>
      </c>
      <c r="G40" s="12"/>
      <c r="H40" s="12"/>
    </row>
    <row r="41" ht="15.0" customHeight="1">
      <c r="A41" s="13" t="s">
        <v>997</v>
      </c>
      <c r="B41" s="13" t="s">
        <v>998</v>
      </c>
      <c r="C41" s="16">
        <v>48000.0</v>
      </c>
      <c r="D41" s="13" t="s">
        <v>1000</v>
      </c>
      <c r="E41" s="13" t="s">
        <v>1001</v>
      </c>
      <c r="F41" s="13" t="s">
        <v>1002</v>
      </c>
    </row>
    <row r="42" ht="15.0" customHeight="1">
      <c r="A42" s="13" t="s">
        <v>997</v>
      </c>
      <c r="B42" s="13" t="s">
        <v>843</v>
      </c>
      <c r="C42" s="16">
        <v>32000.0</v>
      </c>
      <c r="D42" s="13" t="s">
        <v>1004</v>
      </c>
      <c r="E42" s="13" t="s">
        <v>1001</v>
      </c>
      <c r="F42" s="13" t="s">
        <v>1002</v>
      </c>
    </row>
    <row r="43" ht="15.0" customHeight="1">
      <c r="A43" s="13" t="s">
        <v>997</v>
      </c>
      <c r="B43" s="13" t="s">
        <v>1005</v>
      </c>
      <c r="C43" s="16">
        <v>97500.0</v>
      </c>
      <c r="D43" s="13" t="s">
        <v>1006</v>
      </c>
      <c r="E43" s="13" t="s">
        <v>1001</v>
      </c>
      <c r="F43" s="13" t="s">
        <v>1002</v>
      </c>
    </row>
    <row r="44" ht="15.0" customHeight="1">
      <c r="A44" s="13" t="s">
        <v>1008</v>
      </c>
      <c r="B44" s="13" t="s">
        <v>1009</v>
      </c>
      <c r="C44" s="16">
        <v>61100.0</v>
      </c>
      <c r="D44" s="13" t="s">
        <v>1011</v>
      </c>
      <c r="E44" s="13" t="s">
        <v>1012</v>
      </c>
      <c r="F44" s="13" t="s">
        <v>1013</v>
      </c>
    </row>
    <row r="45" ht="15.0" customHeight="1">
      <c r="A45" s="13" t="s">
        <v>1008</v>
      </c>
      <c r="B45" s="13" t="s">
        <v>1014</v>
      </c>
      <c r="C45" s="16">
        <v>113600.0</v>
      </c>
      <c r="D45" s="13" t="s">
        <v>1011</v>
      </c>
      <c r="E45" s="13" t="s">
        <v>1012</v>
      </c>
      <c r="F45" s="13" t="s">
        <v>1013</v>
      </c>
    </row>
    <row r="46" ht="15.0" customHeight="1">
      <c r="A46" s="13" t="s">
        <v>1015</v>
      </c>
      <c r="B46" s="13" t="s">
        <v>1016</v>
      </c>
      <c r="C46" s="16">
        <v>86000.0</v>
      </c>
      <c r="D46" s="13" t="s">
        <v>1004</v>
      </c>
      <c r="E46" s="13" t="s">
        <v>364</v>
      </c>
      <c r="F46" s="13" t="s">
        <v>1018</v>
      </c>
    </row>
    <row r="47" ht="15.0" customHeight="1">
      <c r="A47" s="13" t="s">
        <v>1019</v>
      </c>
      <c r="B47" s="13" t="s">
        <v>1020</v>
      </c>
      <c r="C47" s="16">
        <v>155000.0</v>
      </c>
      <c r="D47" s="13" t="s">
        <v>1004</v>
      </c>
      <c r="E47" s="13" t="s">
        <v>364</v>
      </c>
      <c r="F47" s="13" t="s">
        <v>1018</v>
      </c>
    </row>
    <row r="48" ht="15.0" customHeight="1">
      <c r="A48" s="13" t="s">
        <v>1023</v>
      </c>
      <c r="B48" s="13" t="s">
        <v>1024</v>
      </c>
      <c r="C48" s="16">
        <v>75000.0</v>
      </c>
      <c r="D48" s="13" t="s">
        <v>1025</v>
      </c>
      <c r="E48" s="13" t="s">
        <v>1026</v>
      </c>
      <c r="F48" s="13" t="s">
        <v>1027</v>
      </c>
    </row>
    <row r="49" ht="15.0" customHeight="1">
      <c r="A49" s="13" t="s">
        <v>1028</v>
      </c>
      <c r="B49" s="13" t="s">
        <v>778</v>
      </c>
      <c r="C49" s="16">
        <v>32500.0</v>
      </c>
      <c r="D49" s="13" t="s">
        <v>1029</v>
      </c>
      <c r="E49" s="13" t="s">
        <v>364</v>
      </c>
      <c r="F49" s="13" t="s">
        <v>1027</v>
      </c>
    </row>
    <row r="50" ht="15.75" customHeight="1"/>
    <row r="51" ht="15.0" customHeight="1">
      <c r="A51" s="2" t="s">
        <v>1031</v>
      </c>
    </row>
    <row r="52" ht="15.75" customHeight="1"/>
    <row r="53" ht="15.75" customHeight="1"/>
    <row r="54" ht="15.75" customHeight="1">
      <c r="A54" s="60" t="s">
        <v>1033</v>
      </c>
    </row>
    <row r="55" ht="27.0" customHeight="1">
      <c r="A55" s="61" t="s">
        <v>624</v>
      </c>
      <c r="B55" s="63"/>
      <c r="C55" s="61" t="s">
        <v>631</v>
      </c>
      <c r="D55" s="63"/>
      <c r="E55" s="61" t="s">
        <v>633</v>
      </c>
      <c r="F55" s="62"/>
      <c r="G55" s="63"/>
      <c r="H55" s="61" t="s">
        <v>636</v>
      </c>
      <c r="I55" s="62"/>
      <c r="J55" s="62"/>
      <c r="K55" s="62"/>
      <c r="L55" s="62"/>
      <c r="M55" s="62"/>
      <c r="N55" s="63"/>
      <c r="O55" s="15" t="s">
        <v>69</v>
      </c>
    </row>
    <row r="56" ht="27.0" customHeight="1">
      <c r="A56" s="64" t="s">
        <v>1036</v>
      </c>
      <c r="B56" s="66"/>
      <c r="C56" s="67">
        <f>Menu!E30</f>
        <v>100120</v>
      </c>
      <c r="D56" s="66"/>
      <c r="E56" s="64" t="s">
        <v>1040</v>
      </c>
      <c r="F56" s="65"/>
      <c r="G56" s="66"/>
      <c r="H56" s="64" t="s">
        <v>1041</v>
      </c>
      <c r="I56" s="65"/>
      <c r="J56" s="65"/>
      <c r="K56" s="65"/>
      <c r="L56" s="65"/>
      <c r="M56" s="65"/>
      <c r="N56" s="66"/>
      <c r="O56" s="77" t="s">
        <v>176</v>
      </c>
    </row>
    <row r="57" ht="27.0" customHeight="1">
      <c r="A57" s="64" t="s">
        <v>1042</v>
      </c>
      <c r="B57" s="66"/>
      <c r="C57" s="79">
        <f>Menu!E29</f>
        <v>0.2861566121</v>
      </c>
      <c r="D57" s="66"/>
      <c r="E57" s="64" t="s">
        <v>1021</v>
      </c>
      <c r="F57" s="65"/>
      <c r="G57" s="66"/>
      <c r="H57" s="64" t="s">
        <v>1043</v>
      </c>
      <c r="I57" s="65"/>
      <c r="J57" s="65"/>
      <c r="K57" s="65"/>
      <c r="L57" s="65"/>
      <c r="M57" s="65"/>
      <c r="N57" s="66"/>
      <c r="O57" s="77" t="s">
        <v>176</v>
      </c>
    </row>
    <row r="58" ht="15.0" customHeight="1">
      <c r="A58" s="64" t="s">
        <v>1044</v>
      </c>
      <c r="B58" s="66"/>
      <c r="C58" s="67">
        <f>Menu!G27</f>
        <v>155</v>
      </c>
      <c r="D58" s="66"/>
      <c r="E58" s="64" t="s">
        <v>665</v>
      </c>
      <c r="F58" s="65"/>
      <c r="G58" s="66"/>
      <c r="H58" s="64" t="s">
        <v>1045</v>
      </c>
      <c r="I58" s="65"/>
      <c r="J58" s="65"/>
      <c r="K58" s="65"/>
      <c r="L58" s="65"/>
      <c r="M58" s="65"/>
      <c r="N58" s="66"/>
      <c r="O58" s="99" t="s">
        <v>91</v>
      </c>
    </row>
    <row r="59" ht="15.0" customHeight="1">
      <c r="A59" s="64" t="s">
        <v>1046</v>
      </c>
      <c r="B59" s="66"/>
      <c r="C59" s="79">
        <f>Inputs!H17</f>
        <v>0.1</v>
      </c>
      <c r="D59" s="66"/>
      <c r="E59" s="64" t="s">
        <v>1047</v>
      </c>
      <c r="F59" s="65"/>
      <c r="G59" s="66"/>
      <c r="H59" s="64" t="s">
        <v>1048</v>
      </c>
      <c r="I59" s="65"/>
      <c r="J59" s="65"/>
      <c r="K59" s="65"/>
      <c r="L59" s="65"/>
      <c r="M59" s="65"/>
      <c r="N59" s="66"/>
      <c r="O59" s="70" t="s">
        <v>124</v>
      </c>
    </row>
    <row r="60" ht="15.0" customHeight="1">
      <c r="A60" s="64" t="s">
        <v>1049</v>
      </c>
      <c r="B60" s="66"/>
      <c r="C60" s="76" t="s">
        <v>665</v>
      </c>
      <c r="D60" s="66"/>
      <c r="E60" s="64" t="s">
        <v>1050</v>
      </c>
      <c r="F60" s="65"/>
      <c r="G60" s="66"/>
      <c r="H60" s="64" t="s">
        <v>1051</v>
      </c>
      <c r="I60" s="65"/>
      <c r="J60" s="65"/>
      <c r="K60" s="65"/>
      <c r="L60" s="65"/>
      <c r="M60" s="65"/>
      <c r="N60" s="66"/>
      <c r="O60" s="70" t="s">
        <v>124</v>
      </c>
    </row>
    <row r="61" ht="15.0" customHeight="1">
      <c r="A61" s="64" t="s">
        <v>1052</v>
      </c>
      <c r="B61" s="66"/>
      <c r="C61" s="76" t="s">
        <v>665</v>
      </c>
      <c r="D61" s="66"/>
      <c r="E61" s="64" t="s">
        <v>1053</v>
      </c>
      <c r="F61" s="65"/>
      <c r="G61" s="66"/>
      <c r="H61" s="64" t="s">
        <v>1054</v>
      </c>
      <c r="I61" s="65"/>
      <c r="J61" s="65"/>
      <c r="K61" s="65"/>
      <c r="L61" s="65"/>
      <c r="M61" s="65"/>
      <c r="N61" s="66"/>
      <c r="O61" s="73" t="s">
        <v>680</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57:N57"/>
    <mergeCell ref="H58:N58"/>
    <mergeCell ref="A55:B55"/>
    <mergeCell ref="C55:D55"/>
    <mergeCell ref="E55:G55"/>
    <mergeCell ref="H55:N55"/>
    <mergeCell ref="C56:D56"/>
    <mergeCell ref="E56:G56"/>
    <mergeCell ref="H56:N56"/>
    <mergeCell ref="A59:B59"/>
    <mergeCell ref="C59:D59"/>
    <mergeCell ref="E59:G59"/>
    <mergeCell ref="H59:N59"/>
    <mergeCell ref="A60:B60"/>
    <mergeCell ref="C60:D60"/>
    <mergeCell ref="E60:G60"/>
    <mergeCell ref="H60:N60"/>
    <mergeCell ref="A61:B61"/>
    <mergeCell ref="C61:D61"/>
    <mergeCell ref="E61:G61"/>
    <mergeCell ref="H61:N61"/>
    <mergeCell ref="A56:B56"/>
    <mergeCell ref="A57:B57"/>
    <mergeCell ref="C57:D57"/>
    <mergeCell ref="E57:G57"/>
    <mergeCell ref="A58:B58"/>
    <mergeCell ref="C58:D58"/>
    <mergeCell ref="E58:G58"/>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9.0"/>
    <col customWidth="1" min="3" max="3" width="12.0"/>
    <col customWidth="1" min="4" max="4" width="13.0"/>
    <col customWidth="1" min="5" max="5" width="15.0"/>
    <col customWidth="1" min="6" max="6" width="11.0"/>
    <col customWidth="1" min="7" max="7" width="12.0"/>
    <col customWidth="1" min="8" max="8" width="11.0"/>
    <col customWidth="1" min="9" max="9" width="13.0"/>
    <col customWidth="1" min="10" max="10" width="12.0"/>
    <col customWidth="1" min="11" max="11" width="14.0"/>
    <col customWidth="1" min="12" max="26" width="8.71"/>
  </cols>
  <sheetData>
    <row r="1" ht="17.25" customHeight="1">
      <c r="A1" s="1" t="s">
        <v>783</v>
      </c>
    </row>
    <row r="2" ht="15.0" customHeight="1">
      <c r="A2" s="2" t="s">
        <v>784</v>
      </c>
    </row>
    <row r="3">
      <c r="A3" s="4" t="s">
        <v>785</v>
      </c>
      <c r="B3" s="8" t="s">
        <v>786</v>
      </c>
      <c r="C3" s="8"/>
      <c r="D3" s="8"/>
      <c r="E3" s="8"/>
      <c r="F3" s="8"/>
      <c r="G3" s="8"/>
      <c r="H3" s="8"/>
      <c r="I3" s="8"/>
      <c r="J3" s="8"/>
      <c r="K3" s="8"/>
      <c r="L3" s="8"/>
    </row>
    <row r="4">
      <c r="A4" s="4"/>
      <c r="B4" s="8" t="s">
        <v>787</v>
      </c>
      <c r="C4" s="8"/>
      <c r="D4" s="8"/>
      <c r="E4" s="8"/>
      <c r="F4" s="8"/>
      <c r="G4" s="8"/>
      <c r="H4" s="8"/>
      <c r="I4" s="8"/>
      <c r="J4" s="8"/>
      <c r="K4" s="8"/>
      <c r="L4" s="8"/>
    </row>
    <row r="5" ht="15.0" customHeight="1">
      <c r="A5" s="13" t="s">
        <v>789</v>
      </c>
      <c r="C5" s="85">
        <f>ROUNDDOWN(Inputs!$H$21*Inputs!$H$23/Inputs!$H$24,0)</f>
        <v>60</v>
      </c>
    </row>
    <row r="7" ht="34.5" customHeight="1">
      <c r="A7" s="12" t="s">
        <v>804</v>
      </c>
      <c r="B7" s="12" t="s">
        <v>807</v>
      </c>
      <c r="C7" s="12" t="s">
        <v>809</v>
      </c>
      <c r="D7" s="12" t="s">
        <v>810</v>
      </c>
      <c r="E7" s="12" t="s">
        <v>812</v>
      </c>
      <c r="F7" s="12" t="s">
        <v>813</v>
      </c>
      <c r="G7" s="12" t="s">
        <v>814</v>
      </c>
      <c r="H7" s="12" t="s">
        <v>816</v>
      </c>
      <c r="I7" s="12" t="s">
        <v>817</v>
      </c>
      <c r="J7" s="12" t="s">
        <v>818</v>
      </c>
      <c r="K7" s="12" t="s">
        <v>819</v>
      </c>
    </row>
    <row r="8" ht="15.0" customHeight="1">
      <c r="A8" s="13" t="s">
        <v>820</v>
      </c>
      <c r="B8" s="21">
        <v>4.0</v>
      </c>
      <c r="C8" s="43">
        <f>Inputs!$H$33</f>
        <v>45</v>
      </c>
      <c r="D8" s="41">
        <f>Inputs!$H$34</f>
        <v>65000</v>
      </c>
      <c r="E8" s="22">
        <f t="shared" ref="E8:E11" si="1">C8*D8</f>
        <v>2925000</v>
      </c>
      <c r="F8" s="56">
        <f>Inputs!$H$43</f>
        <v>0.3</v>
      </c>
      <c r="G8" s="87">
        <f t="shared" ref="G8:G11" si="2">C8*(1-F8)</f>
        <v>31.5</v>
      </c>
      <c r="H8" s="21">
        <v>30.0</v>
      </c>
      <c r="I8" s="87">
        <f t="shared" ref="I8:I11" si="3">$C$5*B8*60/H8</f>
        <v>480</v>
      </c>
      <c r="J8" s="36">
        <f t="shared" ref="J8:J12" si="4">G8/I8</f>
        <v>0.065625</v>
      </c>
      <c r="K8" s="22">
        <f t="shared" ref="K8:K11" si="5">E8*(1-F8)/($C$5*B8)</f>
        <v>8531.25</v>
      </c>
    </row>
    <row r="9" ht="15.0" customHeight="1">
      <c r="A9" s="13" t="s">
        <v>835</v>
      </c>
      <c r="B9" s="21">
        <v>4.0</v>
      </c>
      <c r="C9" s="43">
        <f>Inputs!$H$35</f>
        <v>75</v>
      </c>
      <c r="D9" s="41">
        <f>Inputs!$H$36</f>
        <v>120000</v>
      </c>
      <c r="E9" s="22">
        <f t="shared" si="1"/>
        <v>9000000</v>
      </c>
      <c r="F9" s="56">
        <f>Inputs!$H$43</f>
        <v>0.3</v>
      </c>
      <c r="G9" s="87">
        <f t="shared" si="2"/>
        <v>52.5</v>
      </c>
      <c r="H9" s="21">
        <v>50.0</v>
      </c>
      <c r="I9" s="87">
        <f t="shared" si="3"/>
        <v>288</v>
      </c>
      <c r="J9" s="36">
        <f t="shared" si="4"/>
        <v>0.1822916667</v>
      </c>
      <c r="K9" s="22">
        <f t="shared" si="5"/>
        <v>26250</v>
      </c>
    </row>
    <row r="10" ht="15.0" customHeight="1">
      <c r="A10" s="13" t="s">
        <v>847</v>
      </c>
      <c r="B10" s="21">
        <v>3.0</v>
      </c>
      <c r="C10" s="43">
        <f>Inputs!$H$37</f>
        <v>35</v>
      </c>
      <c r="D10" s="41">
        <f>Inputs!$H$38</f>
        <v>70000</v>
      </c>
      <c r="E10" s="22">
        <f t="shared" si="1"/>
        <v>2450000</v>
      </c>
      <c r="F10" s="56">
        <f>Inputs!$H$43</f>
        <v>0.3</v>
      </c>
      <c r="G10" s="87">
        <f t="shared" si="2"/>
        <v>24.5</v>
      </c>
      <c r="H10" s="21">
        <v>45.0</v>
      </c>
      <c r="I10" s="87">
        <f t="shared" si="3"/>
        <v>240</v>
      </c>
      <c r="J10" s="36">
        <f t="shared" si="4"/>
        <v>0.1020833333</v>
      </c>
      <c r="K10" s="22">
        <f t="shared" si="5"/>
        <v>9527.777778</v>
      </c>
    </row>
    <row r="11" ht="15.0" customHeight="1">
      <c r="A11" s="13" t="s">
        <v>852</v>
      </c>
      <c r="B11" s="21">
        <v>4.0</v>
      </c>
      <c r="C11" s="43">
        <f>Inputs!$H$39</f>
        <v>45</v>
      </c>
      <c r="D11" s="41">
        <f>Inputs!$H$40</f>
        <v>140000</v>
      </c>
      <c r="E11" s="22">
        <f t="shared" si="1"/>
        <v>6300000</v>
      </c>
      <c r="F11" s="56">
        <f>Inputs!$H$43</f>
        <v>0.3</v>
      </c>
      <c r="G11" s="87">
        <f t="shared" si="2"/>
        <v>31.5</v>
      </c>
      <c r="H11" s="21">
        <v>75.0</v>
      </c>
      <c r="I11" s="87">
        <f t="shared" si="3"/>
        <v>192</v>
      </c>
      <c r="J11" s="36">
        <f t="shared" si="4"/>
        <v>0.1640625</v>
      </c>
      <c r="K11" s="22">
        <f t="shared" si="5"/>
        <v>18375</v>
      </c>
    </row>
    <row r="12" ht="15.0" customHeight="1">
      <c r="A12" s="3" t="s">
        <v>858</v>
      </c>
      <c r="B12" s="87">
        <f t="shared" ref="B12:C12" si="6">SUM(B8:B11)</f>
        <v>15</v>
      </c>
      <c r="C12" s="91">
        <f t="shared" si="6"/>
        <v>200</v>
      </c>
      <c r="E12" s="93">
        <f>SUM(E8:E11)</f>
        <v>20675000</v>
      </c>
      <c r="G12" s="87">
        <f>SUM(G8:G11)</f>
        <v>140</v>
      </c>
      <c r="I12" s="87">
        <f>SUM(I8:I11)</f>
        <v>1200</v>
      </c>
      <c r="J12" s="36">
        <f t="shared" si="4"/>
        <v>0.1166666667</v>
      </c>
      <c r="K12" s="22">
        <f>SUMPRODUCT(E8:E11,1-F8:F11)/($C$5*B12)</f>
        <v>16080.55556</v>
      </c>
    </row>
    <row r="13" ht="15.0" customHeight="1">
      <c r="A13" s="13" t="s">
        <v>871</v>
      </c>
      <c r="C13" s="43">
        <f>Inputs!$H$41</f>
        <v>25</v>
      </c>
      <c r="D13" s="41">
        <f>Inputs!$H$42</f>
        <v>115000</v>
      </c>
      <c r="E13" s="22">
        <f>C13*D13</f>
        <v>2875000</v>
      </c>
    </row>
    <row r="14" ht="15.0" customHeight="1">
      <c r="A14" s="3" t="s">
        <v>877</v>
      </c>
      <c r="E14" s="46">
        <f>E12+E13</f>
        <v>23550000</v>
      </c>
    </row>
    <row r="16" ht="15.0" customHeight="1">
      <c r="A16" s="13" t="s">
        <v>879</v>
      </c>
      <c r="E16" s="22">
        <f>E12/C12</f>
        <v>103375</v>
      </c>
    </row>
    <row r="18" ht="15.0" customHeight="1">
      <c r="A18" s="3" t="s">
        <v>886</v>
      </c>
    </row>
    <row r="19" ht="15.0" customHeight="1">
      <c r="A19" s="13" t="s">
        <v>887</v>
      </c>
      <c r="E19" s="41">
        <f>E12*Inputs!$H$12</f>
        <v>620250000</v>
      </c>
    </row>
    <row r="20" ht="15.0" customHeight="1">
      <c r="A20" s="13" t="s">
        <v>890</v>
      </c>
      <c r="E20" s="41">
        <f>E13*Inputs!$H$12</f>
        <v>86250000</v>
      </c>
    </row>
    <row r="21" ht="15.0" customHeight="1">
      <c r="A21" s="13" t="s">
        <v>891</v>
      </c>
      <c r="E21" s="41">
        <f>Inputs!$H$44</f>
        <v>15000000</v>
      </c>
    </row>
    <row r="22" ht="15.0" customHeight="1">
      <c r="A22" s="13" t="s">
        <v>895</v>
      </c>
      <c r="E22" s="41">
        <f>(E19+E20)*Inputs!$H$45</f>
        <v>14130000</v>
      </c>
    </row>
    <row r="23" ht="15.0" customHeight="1">
      <c r="A23" s="3" t="s">
        <v>897</v>
      </c>
      <c r="E23" s="46">
        <f>SUM(E19:E22)</f>
        <v>735630000</v>
      </c>
      <c r="F23" s="52">
        <f>E23/Inputs!$H$10</f>
        <v>34056.94444</v>
      </c>
    </row>
    <row r="24" ht="15.0" customHeight="1">
      <c r="A24" s="13" t="s">
        <v>905</v>
      </c>
      <c r="E24" s="22">
        <f>E23*12</f>
        <v>8827560000</v>
      </c>
      <c r="F24" s="52">
        <f>E24/Inputs!$H$10</f>
        <v>408683.3333</v>
      </c>
    </row>
    <row r="25" ht="15.75" customHeight="1"/>
    <row r="26" ht="15.0" customHeight="1">
      <c r="A26" s="3" t="s">
        <v>909</v>
      </c>
      <c r="E26" s="13" t="str">
        <f>IF(MAX(J8:J11)&gt;0.85,"Peak daypart &gt;85% seat utilisation – demand may exceed capacity","OK – demand fits seat capacity")</f>
        <v>OK – demand fits seat capacity</v>
      </c>
    </row>
    <row r="27" ht="15.75" customHeight="1"/>
    <row r="28" ht="15.0" customHeight="1">
      <c r="A28" s="2" t="s">
        <v>916</v>
      </c>
    </row>
    <row r="29" ht="15.0" customHeight="1">
      <c r="A29" s="2" t="s">
        <v>917</v>
      </c>
    </row>
    <row r="30" ht="15.75" customHeight="1"/>
    <row r="31" ht="15.75" customHeight="1"/>
    <row r="32" ht="15.75" customHeight="1">
      <c r="A32" s="60" t="s">
        <v>919</v>
      </c>
    </row>
    <row r="33" ht="27.0" customHeight="1">
      <c r="A33" s="61" t="s">
        <v>624</v>
      </c>
      <c r="B33" s="63"/>
      <c r="C33" s="61" t="s">
        <v>631</v>
      </c>
      <c r="D33" s="63"/>
      <c r="E33" s="61" t="s">
        <v>633</v>
      </c>
      <c r="F33" s="62"/>
      <c r="G33" s="63"/>
      <c r="H33" s="61" t="s">
        <v>636</v>
      </c>
      <c r="I33" s="62"/>
      <c r="J33" s="62"/>
      <c r="K33" s="62"/>
      <c r="L33" s="62"/>
      <c r="M33" s="62"/>
      <c r="N33" s="63"/>
      <c r="O33" s="61" t="s">
        <v>69</v>
      </c>
      <c r="P33" s="62"/>
      <c r="Q33" s="63"/>
    </row>
    <row r="34" ht="15.0" customHeight="1">
      <c r="A34" s="64" t="s">
        <v>927</v>
      </c>
      <c r="B34" s="66"/>
      <c r="C34" s="67">
        <f>Revenue!C5</f>
        <v>60</v>
      </c>
      <c r="D34" s="66"/>
      <c r="E34" s="64" t="s">
        <v>933</v>
      </c>
      <c r="F34" s="65"/>
      <c r="G34" s="66"/>
      <c r="H34" s="64" t="s">
        <v>934</v>
      </c>
      <c r="I34" s="65"/>
      <c r="J34" s="65"/>
      <c r="K34" s="65"/>
      <c r="L34" s="65"/>
      <c r="M34" s="65"/>
      <c r="N34" s="66"/>
      <c r="O34" s="69" t="s">
        <v>82</v>
      </c>
      <c r="P34" s="65"/>
      <c r="Q34" s="66"/>
    </row>
    <row r="35" ht="15.0" customHeight="1">
      <c r="A35" s="64" t="s">
        <v>937</v>
      </c>
      <c r="B35" s="66"/>
      <c r="C35" s="67">
        <f>Revenue!B12</f>
        <v>15</v>
      </c>
      <c r="D35" s="66"/>
      <c r="E35" s="64" t="s">
        <v>665</v>
      </c>
      <c r="F35" s="65"/>
      <c r="G35" s="66"/>
      <c r="H35" s="64" t="s">
        <v>940</v>
      </c>
      <c r="I35" s="65"/>
      <c r="J35" s="65"/>
      <c r="K35" s="65"/>
      <c r="L35" s="65"/>
      <c r="M35" s="65"/>
      <c r="N35" s="66"/>
      <c r="O35" s="75" t="s">
        <v>91</v>
      </c>
      <c r="P35" s="65"/>
      <c r="Q35" s="66"/>
    </row>
    <row r="36" ht="15.0" customHeight="1">
      <c r="A36" s="64" t="s">
        <v>943</v>
      </c>
      <c r="B36" s="66"/>
      <c r="C36" s="67">
        <f>Revenue!C12</f>
        <v>200</v>
      </c>
      <c r="D36" s="66"/>
      <c r="E36" s="64" t="s">
        <v>945</v>
      </c>
      <c r="F36" s="65"/>
      <c r="G36" s="66"/>
      <c r="H36" s="64" t="s">
        <v>948</v>
      </c>
      <c r="I36" s="65"/>
      <c r="J36" s="65"/>
      <c r="K36" s="65"/>
      <c r="L36" s="65"/>
      <c r="M36" s="65"/>
      <c r="N36" s="66"/>
      <c r="O36" s="72" t="s">
        <v>176</v>
      </c>
      <c r="P36" s="65"/>
      <c r="Q36" s="66"/>
    </row>
    <row r="37" ht="27.0" customHeight="1">
      <c r="A37" s="64" t="s">
        <v>952</v>
      </c>
      <c r="B37" s="66"/>
      <c r="C37" s="67">
        <f>Revenue!H9</f>
        <v>50</v>
      </c>
      <c r="D37" s="66"/>
      <c r="E37" s="64" t="s">
        <v>953</v>
      </c>
      <c r="F37" s="65"/>
      <c r="G37" s="66"/>
      <c r="H37" s="64" t="s">
        <v>955</v>
      </c>
      <c r="I37" s="65"/>
      <c r="J37" s="65"/>
      <c r="K37" s="65"/>
      <c r="L37" s="65"/>
      <c r="M37" s="65"/>
      <c r="N37" s="66"/>
      <c r="O37" s="72" t="s">
        <v>176</v>
      </c>
      <c r="P37" s="65"/>
      <c r="Q37" s="66"/>
    </row>
    <row r="38" ht="15.0" customHeight="1">
      <c r="A38" s="64" t="s">
        <v>958</v>
      </c>
      <c r="B38" s="66"/>
      <c r="C38" s="67">
        <f>Revenue!E13</f>
        <v>2875000</v>
      </c>
      <c r="D38" s="66"/>
      <c r="E38" s="64" t="s">
        <v>961</v>
      </c>
      <c r="F38" s="65"/>
      <c r="G38" s="66"/>
      <c r="H38" s="64" t="s">
        <v>965</v>
      </c>
      <c r="I38" s="65"/>
      <c r="J38" s="65"/>
      <c r="K38" s="65"/>
      <c r="L38" s="65"/>
      <c r="M38" s="65"/>
      <c r="N38" s="66"/>
      <c r="O38" s="72" t="s">
        <v>176</v>
      </c>
      <c r="P38" s="65"/>
      <c r="Q38" s="66"/>
    </row>
    <row r="39" ht="27.0" customHeight="1">
      <c r="A39" s="64" t="s">
        <v>970</v>
      </c>
      <c r="B39" s="66"/>
      <c r="C39" s="76" t="s">
        <v>665</v>
      </c>
      <c r="D39" s="66"/>
      <c r="E39" s="64" t="s">
        <v>974</v>
      </c>
      <c r="F39" s="65"/>
      <c r="G39" s="66"/>
      <c r="H39" s="64" t="s">
        <v>976</v>
      </c>
      <c r="I39" s="65"/>
      <c r="J39" s="65"/>
      <c r="K39" s="65"/>
      <c r="L39" s="65"/>
      <c r="M39" s="65"/>
      <c r="N39" s="66"/>
      <c r="O39" s="75" t="s">
        <v>91</v>
      </c>
      <c r="P39" s="65"/>
      <c r="Q39" s="66"/>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E34:G34"/>
    <mergeCell ref="H34:N34"/>
    <mergeCell ref="H35:N35"/>
    <mergeCell ref="O35:Q35"/>
    <mergeCell ref="H36:N36"/>
    <mergeCell ref="O36:Q36"/>
    <mergeCell ref="A33:B33"/>
    <mergeCell ref="C33:D33"/>
    <mergeCell ref="E33:G33"/>
    <mergeCell ref="H33:N33"/>
    <mergeCell ref="O33:Q33"/>
    <mergeCell ref="C34:D34"/>
    <mergeCell ref="O34:Q34"/>
    <mergeCell ref="A37:B37"/>
    <mergeCell ref="C37:D37"/>
    <mergeCell ref="E37:G37"/>
    <mergeCell ref="H37:N37"/>
    <mergeCell ref="O37:Q37"/>
    <mergeCell ref="A34:B34"/>
    <mergeCell ref="A35:B35"/>
    <mergeCell ref="C35:D35"/>
    <mergeCell ref="E35:G35"/>
    <mergeCell ref="A36:B36"/>
    <mergeCell ref="C36:D36"/>
    <mergeCell ref="E36:G36"/>
    <mergeCell ref="E39:G39"/>
    <mergeCell ref="H39:N39"/>
    <mergeCell ref="A38:B38"/>
    <mergeCell ref="C38:D38"/>
    <mergeCell ref="E38:G38"/>
    <mergeCell ref="H38:N38"/>
    <mergeCell ref="O38:Q38"/>
    <mergeCell ref="A39:B39"/>
    <mergeCell ref="C39:D39"/>
    <mergeCell ref="O39:Q39"/>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0"/>
    <col customWidth="1" min="2" max="2" width="10.0"/>
    <col customWidth="1" min="3" max="4" width="15.0"/>
    <col customWidth="1" min="5" max="5" width="13.0"/>
    <col customWidth="1" min="6" max="6" width="15.0"/>
    <col customWidth="1" min="7" max="9" width="13.0"/>
    <col customWidth="1" min="10" max="10" width="15.0"/>
    <col customWidth="1" min="11" max="11" width="50.0"/>
    <col customWidth="1" min="12" max="12" width="60.0"/>
    <col customWidth="1" min="13" max="13" width="20.0"/>
    <col customWidth="1" min="14" max="26" width="8.71"/>
  </cols>
  <sheetData>
    <row r="1" ht="17.25" customHeight="1">
      <c r="A1" s="1" t="s">
        <v>788</v>
      </c>
    </row>
    <row r="2" ht="15.0" customHeight="1">
      <c r="A2" s="2" t="s">
        <v>790</v>
      </c>
    </row>
    <row r="3">
      <c r="A3" s="4" t="s">
        <v>791</v>
      </c>
      <c r="B3" s="8" t="s">
        <v>793</v>
      </c>
      <c r="C3" s="8"/>
      <c r="D3" s="8"/>
      <c r="E3" s="8"/>
      <c r="F3" s="8"/>
      <c r="G3" s="8"/>
      <c r="H3" s="8"/>
      <c r="I3" s="8"/>
      <c r="J3" s="8"/>
      <c r="K3" s="8"/>
    </row>
    <row r="4">
      <c r="A4" s="4"/>
      <c r="B4" s="8" t="s">
        <v>795</v>
      </c>
      <c r="C4" s="8"/>
      <c r="D4" s="8"/>
      <c r="E4" s="8"/>
      <c r="F4" s="8"/>
      <c r="G4" s="8"/>
      <c r="H4" s="8"/>
      <c r="I4" s="8"/>
      <c r="J4" s="8"/>
      <c r="K4" s="8"/>
    </row>
    <row r="5" ht="34.5" customHeight="1">
      <c r="A5" s="12" t="s">
        <v>796</v>
      </c>
      <c r="B5" s="12" t="s">
        <v>797</v>
      </c>
      <c r="C5" s="12" t="s">
        <v>798</v>
      </c>
      <c r="D5" s="12" t="s">
        <v>799</v>
      </c>
      <c r="E5" s="12" t="s">
        <v>800</v>
      </c>
      <c r="F5" s="12" t="s">
        <v>801</v>
      </c>
      <c r="G5" s="12" t="s">
        <v>802</v>
      </c>
      <c r="H5" s="12" t="s">
        <v>803</v>
      </c>
      <c r="I5" s="12" t="s">
        <v>805</v>
      </c>
      <c r="J5" s="12" t="s">
        <v>806</v>
      </c>
      <c r="K5" s="12" t="s">
        <v>808</v>
      </c>
      <c r="L5" s="15" t="s">
        <v>811</v>
      </c>
      <c r="M5" s="15" t="s">
        <v>69</v>
      </c>
    </row>
    <row r="6" ht="27.0" customHeight="1">
      <c r="A6" s="13" t="s">
        <v>815</v>
      </c>
      <c r="B6" s="21">
        <v>1.0</v>
      </c>
      <c r="C6" s="86">
        <v>1.6E7</v>
      </c>
      <c r="D6" s="41">
        <f>C6*Inputs!$H$62</f>
        <v>16000000</v>
      </c>
      <c r="E6" s="58" t="str">
        <f>IF(D6&lt;Inputs!$H$61,"Below UMP!","OK")</f>
        <v>OK</v>
      </c>
      <c r="F6" s="22">
        <f t="shared" ref="F6:F14" si="1">B6*D6</f>
        <v>16000000</v>
      </c>
      <c r="G6" s="41">
        <f>F6*Inputs!$H$63</f>
        <v>1840000</v>
      </c>
      <c r="H6" s="41">
        <f>F6*Inputs!$H$64</f>
        <v>1332800</v>
      </c>
      <c r="I6" s="41">
        <f>B6*Inputs!$H$65</f>
        <v>1000000</v>
      </c>
      <c r="J6" s="22">
        <f t="shared" ref="J6:J14" si="2">SUM(F6:I6)</f>
        <v>20172800</v>
      </c>
      <c r="K6" s="9" t="s">
        <v>828</v>
      </c>
      <c r="L6" s="9" t="s">
        <v>829</v>
      </c>
      <c r="M6" s="89" t="s">
        <v>82</v>
      </c>
    </row>
    <row r="7" ht="27.0" customHeight="1">
      <c r="A7" s="13" t="s">
        <v>832</v>
      </c>
      <c r="B7" s="21">
        <v>1.0</v>
      </c>
      <c r="C7" s="86">
        <v>1.3E7</v>
      </c>
      <c r="D7" s="41">
        <f>C7*Inputs!$H$62</f>
        <v>13000000</v>
      </c>
      <c r="E7" s="58" t="str">
        <f>IF(D7&lt;Inputs!$H$61,"Below UMP!","OK")</f>
        <v>OK</v>
      </c>
      <c r="F7" s="22">
        <f t="shared" si="1"/>
        <v>13000000</v>
      </c>
      <c r="G7" s="41">
        <f>F7*Inputs!$H$63</f>
        <v>1495000</v>
      </c>
      <c r="H7" s="41">
        <f>F7*Inputs!$H$64</f>
        <v>1082900</v>
      </c>
      <c r="I7" s="41">
        <f>B7*Inputs!$H$65</f>
        <v>1000000</v>
      </c>
      <c r="J7" s="22">
        <f t="shared" si="2"/>
        <v>16577900</v>
      </c>
      <c r="K7" s="9" t="s">
        <v>844</v>
      </c>
      <c r="L7" s="9" t="s">
        <v>845</v>
      </c>
      <c r="M7" s="89" t="s">
        <v>82</v>
      </c>
    </row>
    <row r="8" ht="15.0" customHeight="1">
      <c r="A8" s="14" t="s">
        <v>846</v>
      </c>
      <c r="B8" s="21">
        <v>1.0</v>
      </c>
      <c r="C8" s="86">
        <v>9000000.0</v>
      </c>
      <c r="D8" s="41">
        <f>C8*Inputs!$H$62</f>
        <v>9000000</v>
      </c>
      <c r="E8" s="58" t="str">
        <f>IF(D8&lt;Inputs!$H$61,"Below UMP!","OK")</f>
        <v>OK</v>
      </c>
      <c r="F8" s="22">
        <f t="shared" si="1"/>
        <v>9000000</v>
      </c>
      <c r="G8" s="41">
        <f>F8*Inputs!$H$63</f>
        <v>1035000</v>
      </c>
      <c r="H8" s="41">
        <f>F8*Inputs!$H$64</f>
        <v>749700</v>
      </c>
      <c r="I8" s="41">
        <f>B8*Inputs!$H$65</f>
        <v>1000000</v>
      </c>
      <c r="J8" s="22">
        <f t="shared" si="2"/>
        <v>11784700</v>
      </c>
      <c r="K8" s="9" t="s">
        <v>851</v>
      </c>
      <c r="L8" s="9" t="s">
        <v>853</v>
      </c>
      <c r="M8" s="89" t="s">
        <v>82</v>
      </c>
    </row>
    <row r="9" ht="15.0" customHeight="1">
      <c r="A9" s="13" t="s">
        <v>854</v>
      </c>
      <c r="B9" s="21">
        <v>3.0</v>
      </c>
      <c r="C9" s="86">
        <v>6500000.0</v>
      </c>
      <c r="D9" s="41">
        <f>C9*Inputs!$H$62</f>
        <v>6500000</v>
      </c>
      <c r="E9" s="58" t="str">
        <f>IF(D9&lt;Inputs!$H$61,"Below UMP!","OK")</f>
        <v>OK</v>
      </c>
      <c r="F9" s="22">
        <f t="shared" si="1"/>
        <v>19500000</v>
      </c>
      <c r="G9" s="41">
        <f>F9*Inputs!$H$63</f>
        <v>2242500</v>
      </c>
      <c r="H9" s="41">
        <f>F9*Inputs!$H$64</f>
        <v>1624350</v>
      </c>
      <c r="I9" s="41">
        <f>B9*Inputs!$H$65</f>
        <v>3000000</v>
      </c>
      <c r="J9" s="22">
        <f t="shared" si="2"/>
        <v>26366850</v>
      </c>
      <c r="K9" s="9" t="s">
        <v>860</v>
      </c>
      <c r="L9" s="9" t="s">
        <v>861</v>
      </c>
      <c r="M9" s="89" t="s">
        <v>82</v>
      </c>
    </row>
    <row r="10" ht="15.0" customHeight="1">
      <c r="A10" s="13" t="s">
        <v>862</v>
      </c>
      <c r="B10" s="21">
        <v>2.0</v>
      </c>
      <c r="C10" s="86">
        <v>5800000.0</v>
      </c>
      <c r="D10" s="41">
        <f>C10*Inputs!$H$62</f>
        <v>5800000</v>
      </c>
      <c r="E10" s="58" t="str">
        <f>IF(D10&lt;Inputs!$H$61,"Below UMP!","OK")</f>
        <v>OK</v>
      </c>
      <c r="F10" s="22">
        <f t="shared" si="1"/>
        <v>11600000</v>
      </c>
      <c r="G10" s="41">
        <f>F10*Inputs!$H$63</f>
        <v>1334000</v>
      </c>
      <c r="H10" s="41">
        <f>F10*Inputs!$H$64</f>
        <v>966280</v>
      </c>
      <c r="I10" s="41">
        <f>B10*Inputs!$H$65</f>
        <v>2000000</v>
      </c>
      <c r="J10" s="22">
        <f t="shared" si="2"/>
        <v>15900280</v>
      </c>
      <c r="K10" s="9" t="s">
        <v>867</v>
      </c>
      <c r="L10" s="9" t="s">
        <v>869</v>
      </c>
      <c r="M10" s="89" t="s">
        <v>82</v>
      </c>
    </row>
    <row r="11" ht="15.0" customHeight="1">
      <c r="A11" s="13" t="s">
        <v>870</v>
      </c>
      <c r="B11" s="21">
        <v>1.0</v>
      </c>
      <c r="C11" s="86">
        <v>8500000.0</v>
      </c>
      <c r="D11" s="41">
        <f>C11*Inputs!$H$62</f>
        <v>8500000</v>
      </c>
      <c r="E11" s="58" t="str">
        <f>IF(D11&lt;Inputs!$H$61,"Below UMP!","OK")</f>
        <v>OK</v>
      </c>
      <c r="F11" s="22">
        <f t="shared" si="1"/>
        <v>8500000</v>
      </c>
      <c r="G11" s="41">
        <f>F11*Inputs!$H$63</f>
        <v>977500</v>
      </c>
      <c r="H11" s="41">
        <f>F11*Inputs!$H$64</f>
        <v>708050</v>
      </c>
      <c r="I11" s="41">
        <f>B11*Inputs!$H$65</f>
        <v>1000000</v>
      </c>
      <c r="J11" s="22">
        <f t="shared" si="2"/>
        <v>11185550</v>
      </c>
      <c r="K11" s="9" t="s">
        <v>882</v>
      </c>
      <c r="L11" s="9" t="s">
        <v>884</v>
      </c>
      <c r="M11" s="89" t="s">
        <v>82</v>
      </c>
    </row>
    <row r="12" ht="27.0" customHeight="1">
      <c r="A12" s="13" t="s">
        <v>885</v>
      </c>
      <c r="B12" s="21">
        <v>3.0</v>
      </c>
      <c r="C12" s="86">
        <v>6000000.0</v>
      </c>
      <c r="D12" s="41">
        <f>C12*Inputs!$H$62</f>
        <v>6000000</v>
      </c>
      <c r="E12" s="58" t="str">
        <f>IF(D12&lt;Inputs!$H$61,"Below UMP!","OK")</f>
        <v>OK</v>
      </c>
      <c r="F12" s="22">
        <f t="shared" si="1"/>
        <v>18000000</v>
      </c>
      <c r="G12" s="41">
        <f>F12*Inputs!$H$63</f>
        <v>2070000</v>
      </c>
      <c r="H12" s="41">
        <f>F12*Inputs!$H$64</f>
        <v>1499400</v>
      </c>
      <c r="I12" s="41">
        <f>B12*Inputs!$H$65</f>
        <v>3000000</v>
      </c>
      <c r="J12" s="22">
        <f t="shared" si="2"/>
        <v>24569400</v>
      </c>
      <c r="K12" s="9" t="s">
        <v>899</v>
      </c>
      <c r="L12" s="9" t="s">
        <v>900</v>
      </c>
      <c r="M12" s="89" t="s">
        <v>82</v>
      </c>
    </row>
    <row r="13" ht="27.0" customHeight="1">
      <c r="A13" s="14" t="s">
        <v>901</v>
      </c>
      <c r="B13" s="21">
        <v>4.0</v>
      </c>
      <c r="C13" s="86">
        <v>5900000.0</v>
      </c>
      <c r="D13" s="41">
        <f>C13*Inputs!$H$62</f>
        <v>5900000</v>
      </c>
      <c r="E13" s="58" t="str">
        <f>IF(D13&lt;Inputs!$H$61,"Below UMP!","OK")</f>
        <v>OK</v>
      </c>
      <c r="F13" s="22">
        <f t="shared" si="1"/>
        <v>23600000</v>
      </c>
      <c r="G13" s="41">
        <f>F13*Inputs!$H$63</f>
        <v>2714000</v>
      </c>
      <c r="H13" s="41">
        <f>F13*Inputs!$H$64</f>
        <v>1965880</v>
      </c>
      <c r="I13" s="41">
        <f>B13*Inputs!$H$65</f>
        <v>4000000</v>
      </c>
      <c r="J13" s="22">
        <f t="shared" si="2"/>
        <v>32279880</v>
      </c>
      <c r="K13" s="9" t="s">
        <v>910</v>
      </c>
      <c r="L13" s="9" t="s">
        <v>911</v>
      </c>
      <c r="M13" s="89" t="s">
        <v>82</v>
      </c>
    </row>
    <row r="14" ht="15.0" customHeight="1">
      <c r="A14" s="13" t="s">
        <v>912</v>
      </c>
      <c r="B14" s="21">
        <v>1.0</v>
      </c>
      <c r="C14" s="86">
        <v>5900000.0</v>
      </c>
      <c r="D14" s="41">
        <f>C14*Inputs!$H$62</f>
        <v>5900000</v>
      </c>
      <c r="E14" s="58" t="str">
        <f>IF(D14&lt;Inputs!$H$61,"Below UMP!","OK")</f>
        <v>OK</v>
      </c>
      <c r="F14" s="22">
        <f t="shared" si="1"/>
        <v>5900000</v>
      </c>
      <c r="G14" s="41">
        <f>F14*Inputs!$H$63</f>
        <v>678500</v>
      </c>
      <c r="H14" s="41">
        <f>F14*Inputs!$H$64</f>
        <v>491470</v>
      </c>
      <c r="I14" s="41">
        <f>B14*Inputs!$H$65</f>
        <v>1000000</v>
      </c>
      <c r="J14" s="22">
        <f t="shared" si="2"/>
        <v>8069970</v>
      </c>
      <c r="K14" s="9" t="s">
        <v>867</v>
      </c>
      <c r="L14" s="9" t="s">
        <v>924</v>
      </c>
      <c r="M14" s="89" t="s">
        <v>82</v>
      </c>
    </row>
    <row r="15" ht="15.0" customHeight="1">
      <c r="A15" s="3" t="s">
        <v>926</v>
      </c>
      <c r="B15" s="91">
        <f>SUM(B6:B14)</f>
        <v>17</v>
      </c>
      <c r="F15" s="93">
        <f t="shared" ref="F15:J15" si="3">SUM(F6:F14)</f>
        <v>125100000</v>
      </c>
      <c r="G15" s="93">
        <f t="shared" si="3"/>
        <v>14386500</v>
      </c>
      <c r="H15" s="93">
        <f t="shared" si="3"/>
        <v>10420830</v>
      </c>
      <c r="I15" s="93">
        <f t="shared" si="3"/>
        <v>17000000</v>
      </c>
      <c r="J15" s="46">
        <f t="shared" si="3"/>
        <v>166907330</v>
      </c>
      <c r="K15" s="52">
        <f>J15/Inputs!$H$10</f>
        <v>7727.191204</v>
      </c>
    </row>
    <row r="17" ht="15.0" customHeight="1">
      <c r="A17" s="13" t="s">
        <v>935</v>
      </c>
      <c r="J17" s="22">
        <f>SUMPRODUCT(B6:B14,C6:C14)</f>
        <v>125100000</v>
      </c>
    </row>
    <row r="18" ht="15.0" customHeight="1">
      <c r="A18" s="13" t="s">
        <v>939</v>
      </c>
      <c r="J18" s="96">
        <f>B15*173/(15*30)</f>
        <v>6.535555556</v>
      </c>
      <c r="K18" s="13" t="s">
        <v>944</v>
      </c>
    </row>
    <row r="20" ht="15.0" customHeight="1">
      <c r="A20" s="2" t="s">
        <v>947</v>
      </c>
    </row>
    <row r="21" ht="15.75" customHeight="1"/>
    <row r="22" ht="15.75" customHeight="1"/>
    <row r="23" ht="15.75" customHeight="1">
      <c r="A23" s="60" t="s">
        <v>949</v>
      </c>
    </row>
    <row r="24" ht="27.0" customHeight="1">
      <c r="A24" s="15" t="s">
        <v>624</v>
      </c>
      <c r="B24" s="61" t="s">
        <v>631</v>
      </c>
      <c r="C24" s="63"/>
      <c r="D24" s="61" t="s">
        <v>633</v>
      </c>
      <c r="E24" s="62"/>
      <c r="F24" s="63"/>
      <c r="G24" s="61" t="s">
        <v>636</v>
      </c>
      <c r="H24" s="62"/>
      <c r="I24" s="62"/>
      <c r="J24" s="62"/>
      <c r="K24" s="63"/>
      <c r="L24" s="15" t="s">
        <v>69</v>
      </c>
    </row>
    <row r="25" ht="27.0" customHeight="1">
      <c r="A25" s="80" t="s">
        <v>957</v>
      </c>
      <c r="B25" s="67">
        <f>Staffing!B15</f>
        <v>17</v>
      </c>
      <c r="C25" s="66"/>
      <c r="D25" s="64" t="s">
        <v>665</v>
      </c>
      <c r="E25" s="65"/>
      <c r="F25" s="66"/>
      <c r="G25" s="64" t="s">
        <v>964</v>
      </c>
      <c r="H25" s="65"/>
      <c r="I25" s="65"/>
      <c r="J25" s="65"/>
      <c r="K25" s="66"/>
      <c r="L25" s="99" t="s">
        <v>91</v>
      </c>
    </row>
    <row r="26" ht="15.0" customHeight="1">
      <c r="A26" s="80" t="s">
        <v>968</v>
      </c>
      <c r="B26" s="67">
        <f>Inputs!H61</f>
        <v>5729876</v>
      </c>
      <c r="C26" s="66"/>
      <c r="D26" s="64" t="s">
        <v>973</v>
      </c>
      <c r="E26" s="65"/>
      <c r="F26" s="66"/>
      <c r="G26" s="64" t="s">
        <v>975</v>
      </c>
      <c r="H26" s="65"/>
      <c r="I26" s="65"/>
      <c r="J26" s="65"/>
      <c r="K26" s="66"/>
      <c r="L26" s="70" t="s">
        <v>124</v>
      </c>
    </row>
    <row r="27" ht="15.0" customHeight="1">
      <c r="A27" s="80" t="s">
        <v>978</v>
      </c>
      <c r="B27" s="79">
        <f>Inputs!H63</f>
        <v>0.115</v>
      </c>
      <c r="C27" s="66"/>
      <c r="D27" s="64" t="s">
        <v>982</v>
      </c>
      <c r="E27" s="65"/>
      <c r="F27" s="66"/>
      <c r="G27" s="64" t="s">
        <v>985</v>
      </c>
      <c r="H27" s="65"/>
      <c r="I27" s="65"/>
      <c r="J27" s="65"/>
      <c r="K27" s="66"/>
      <c r="L27" s="70" t="s">
        <v>82</v>
      </c>
    </row>
    <row r="28" ht="15.0" customHeight="1">
      <c r="A28" s="80" t="s">
        <v>986</v>
      </c>
      <c r="B28" s="79">
        <f>Inputs!H64</f>
        <v>0.0833</v>
      </c>
      <c r="C28" s="66"/>
      <c r="D28" s="64" t="s">
        <v>992</v>
      </c>
      <c r="E28" s="65"/>
      <c r="F28" s="66"/>
      <c r="G28" s="64" t="s">
        <v>1010</v>
      </c>
      <c r="H28" s="65"/>
      <c r="I28" s="65"/>
      <c r="J28" s="65"/>
      <c r="K28" s="66"/>
      <c r="L28" s="70" t="s">
        <v>124</v>
      </c>
    </row>
    <row r="29" ht="15.0" customHeight="1">
      <c r="A29" s="80" t="s">
        <v>1017</v>
      </c>
      <c r="B29" s="67">
        <f>Inputs!H65</f>
        <v>1000000</v>
      </c>
      <c r="C29" s="66"/>
      <c r="D29" s="64" t="s">
        <v>665</v>
      </c>
      <c r="E29" s="65"/>
      <c r="F29" s="66"/>
      <c r="G29" s="64" t="s">
        <v>1030</v>
      </c>
      <c r="H29" s="65"/>
      <c r="I29" s="65"/>
      <c r="J29" s="65"/>
      <c r="K29" s="66"/>
      <c r="L29" s="99" t="s">
        <v>91</v>
      </c>
    </row>
    <row r="30" ht="15.0" customHeight="1">
      <c r="A30" s="80" t="s">
        <v>1032</v>
      </c>
      <c r="B30" s="102">
        <f>Staffing!J18</f>
        <v>6.535555556</v>
      </c>
      <c r="C30" s="66"/>
      <c r="D30" s="64" t="s">
        <v>1034</v>
      </c>
      <c r="E30" s="65"/>
      <c r="F30" s="66"/>
      <c r="G30" s="64" t="s">
        <v>1035</v>
      </c>
      <c r="H30" s="65"/>
      <c r="I30" s="65"/>
      <c r="J30" s="65"/>
      <c r="K30" s="66"/>
      <c r="L30" s="73" t="s">
        <v>680</v>
      </c>
    </row>
    <row r="31" ht="27.0" customHeight="1">
      <c r="A31" s="80" t="s">
        <v>1037</v>
      </c>
      <c r="B31" s="79">
        <f>Scenarios!F38</f>
        <v>0.2268903253</v>
      </c>
      <c r="C31" s="66"/>
      <c r="D31" s="64" t="s">
        <v>1038</v>
      </c>
      <c r="E31" s="65"/>
      <c r="F31" s="66"/>
      <c r="G31" s="64" t="s">
        <v>1039</v>
      </c>
      <c r="H31" s="65"/>
      <c r="I31" s="65"/>
      <c r="J31" s="65"/>
      <c r="K31" s="66"/>
      <c r="L31" s="70" t="s">
        <v>82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D26:F26"/>
    <mergeCell ref="G26:K26"/>
    <mergeCell ref="B24:C24"/>
    <mergeCell ref="D24:F24"/>
    <mergeCell ref="G24:K24"/>
    <mergeCell ref="B25:C25"/>
    <mergeCell ref="D25:F25"/>
    <mergeCell ref="G25:K25"/>
    <mergeCell ref="B26:C26"/>
    <mergeCell ref="D29:F29"/>
    <mergeCell ref="G29:K29"/>
    <mergeCell ref="B30:C30"/>
    <mergeCell ref="D30:F30"/>
    <mergeCell ref="G30:K30"/>
    <mergeCell ref="B31:C31"/>
    <mergeCell ref="D31:F31"/>
    <mergeCell ref="G31:K31"/>
    <mergeCell ref="B27:C27"/>
    <mergeCell ref="D27:F27"/>
    <mergeCell ref="G27:K27"/>
    <mergeCell ref="B28:C28"/>
    <mergeCell ref="D28:F28"/>
    <mergeCell ref="G28:K28"/>
    <mergeCell ref="B29:C29"/>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2.0"/>
    <col customWidth="1" min="2" max="2" width="16.0"/>
    <col customWidth="1" min="3" max="3" width="18.0"/>
    <col customWidth="1" min="4" max="4" width="50.0"/>
    <col customWidth="1" min="5" max="26" width="8.71"/>
  </cols>
  <sheetData>
    <row r="1" ht="17.25" customHeight="1">
      <c r="A1" s="88" t="s">
        <v>825</v>
      </c>
    </row>
    <row r="2" ht="15.0" customHeight="1">
      <c r="A2" s="2" t="s">
        <v>830</v>
      </c>
    </row>
    <row r="3">
      <c r="A3" s="4" t="s">
        <v>831</v>
      </c>
      <c r="B3" s="8" t="s">
        <v>833</v>
      </c>
      <c r="C3" s="8"/>
      <c r="D3" s="8"/>
      <c r="E3" s="8"/>
      <c r="F3" s="8"/>
      <c r="G3" s="8"/>
    </row>
    <row r="4">
      <c r="A4" s="4"/>
      <c r="B4" s="8" t="s">
        <v>834</v>
      </c>
      <c r="C4" s="8"/>
      <c r="D4" s="8"/>
    </row>
    <row r="5" ht="15.0" customHeight="1">
      <c r="A5" s="12" t="s">
        <v>836</v>
      </c>
      <c r="B5" s="12" t="s">
        <v>837</v>
      </c>
      <c r="C5" s="12" t="s">
        <v>838</v>
      </c>
      <c r="D5" s="12" t="s">
        <v>839</v>
      </c>
    </row>
    <row r="6" ht="15.0" customHeight="1">
      <c r="A6" s="18" t="s">
        <v>840</v>
      </c>
      <c r="B6" s="19"/>
      <c r="C6" s="19"/>
      <c r="D6" s="19"/>
    </row>
    <row r="7" ht="15.0" customHeight="1">
      <c r="A7" s="58" t="str">
        <f>Inputs!$C$67</f>
        <v>Local management / area oversight (part-time)</v>
      </c>
      <c r="B7" s="90">
        <f>Inputs!$H$67</f>
        <v>25000000</v>
      </c>
      <c r="C7" s="13" t="s">
        <v>478</v>
      </c>
    </row>
    <row r="8" ht="15.0" customHeight="1">
      <c r="A8" s="58" t="str">
        <f>Inputs!$C$68</f>
        <v>Accounting, tax, payroll &amp; legal retainer</v>
      </c>
      <c r="B8" s="90">
        <f>Inputs!$H$68</f>
        <v>9000000</v>
      </c>
      <c r="C8" s="13" t="s">
        <v>478</v>
      </c>
    </row>
    <row r="9" ht="15.0" customHeight="1">
      <c r="A9" s="58" t="str">
        <f>Inputs!$C$69</f>
        <v>Insurance</v>
      </c>
      <c r="B9" s="90">
        <f>Inputs!$H$69</f>
        <v>3000000</v>
      </c>
      <c r="C9" s="13" t="s">
        <v>478</v>
      </c>
    </row>
    <row r="10" ht="15.0" customHeight="1">
      <c r="A10" s="58" t="str">
        <f>Inputs!$C$70</f>
        <v>POS/software, internet, music licence</v>
      </c>
      <c r="B10" s="90">
        <f>Inputs!$H$70</f>
        <v>3000000</v>
      </c>
      <c r="C10" s="13" t="s">
        <v>478</v>
      </c>
    </row>
    <row r="11" ht="15.0" customHeight="1">
      <c r="A11" s="58" t="str">
        <f>Inputs!$C$71</f>
        <v>Cleaning, pest control, waste &amp; laundry</v>
      </c>
      <c r="B11" s="90">
        <f>Inputs!$H$71</f>
        <v>5000000</v>
      </c>
      <c r="C11" s="13" t="s">
        <v>478</v>
      </c>
    </row>
    <row r="12" ht="15.0" customHeight="1">
      <c r="A12" s="58" t="str">
        <f>Inputs!$C$72</f>
        <v>Other admin (bank, permits renewal, travel)</v>
      </c>
      <c r="B12" s="90">
        <f>Inputs!$H$72</f>
        <v>4000000</v>
      </c>
      <c r="C12" s="13" t="s">
        <v>478</v>
      </c>
    </row>
    <row r="13" ht="15.0" customHeight="1">
      <c r="A13" s="3" t="s">
        <v>859</v>
      </c>
      <c r="B13" s="92">
        <f>SUM(B7:B12)</f>
        <v>49000000</v>
      </c>
    </row>
    <row r="14">
      <c r="B14" s="94"/>
    </row>
    <row r="15" ht="15.0" customHeight="1">
      <c r="A15" s="18" t="s">
        <v>510</v>
      </c>
      <c r="B15" s="19"/>
      <c r="C15" s="19"/>
      <c r="D15" s="19"/>
    </row>
    <row r="16" ht="15.0" customHeight="1">
      <c r="A16" s="13" t="s">
        <v>865</v>
      </c>
      <c r="B16" s="90">
        <f>Inputs!$H$73*Inputs!$H$74</f>
        <v>13002300</v>
      </c>
      <c r="C16" s="13" t="s">
        <v>868</v>
      </c>
    </row>
    <row r="17" ht="15.0" customHeight="1">
      <c r="A17" s="13" t="s">
        <v>529</v>
      </c>
      <c r="B17" s="90">
        <f>Inputs!$H$75</f>
        <v>6000000</v>
      </c>
    </row>
    <row r="18" ht="15.0" customHeight="1">
      <c r="A18" s="3" t="s">
        <v>872</v>
      </c>
      <c r="B18" s="92">
        <f>B16+B17</f>
        <v>19002300</v>
      </c>
    </row>
    <row r="19">
      <c r="B19" s="94"/>
    </row>
    <row r="20" ht="15.0" customHeight="1">
      <c r="A20" s="18" t="s">
        <v>876</v>
      </c>
      <c r="B20" s="19"/>
      <c r="C20" s="19"/>
      <c r="D20" s="19"/>
    </row>
    <row r="21" ht="15.0" customHeight="1">
      <c r="A21" s="13" t="s">
        <v>878</v>
      </c>
      <c r="B21" s="90">
        <f>Inputs!$H$25*Inputs!$H$21*Inputs!$H$22*(1+Inputs!$H$27)</f>
        <v>37774218.75</v>
      </c>
      <c r="D21" s="13" t="s">
        <v>888</v>
      </c>
    </row>
    <row r="22" ht="15.0" customHeight="1">
      <c r="A22" s="13" t="s">
        <v>889</v>
      </c>
      <c r="B22" s="90">
        <f>Inputs!$H$26*Inputs!$H$21*Inputs!$H$22</f>
        <v>0</v>
      </c>
    </row>
    <row r="23" ht="15.0" customHeight="1">
      <c r="A23" s="13" t="s">
        <v>896</v>
      </c>
      <c r="B23" s="90">
        <f>Staffing!$J$15</f>
        <v>166907330</v>
      </c>
    </row>
    <row r="24" ht="15.75" customHeight="1">
      <c r="B24" s="94"/>
    </row>
    <row r="25" ht="15.0" customHeight="1">
      <c r="A25" s="18" t="s">
        <v>898</v>
      </c>
      <c r="B25" s="19"/>
      <c r="C25" s="19"/>
      <c r="D25" s="19"/>
    </row>
    <row r="26" ht="15.0" customHeight="1">
      <c r="A26" s="58" t="str">
        <f>Inputs!$C$49</f>
        <v>Food &amp; beverage cost adjustment vs Menu sheet (pp)</v>
      </c>
      <c r="B26" s="95">
        <f>Inputs!$H$49</f>
        <v>0</v>
      </c>
      <c r="C26" s="13" t="s">
        <v>907</v>
      </c>
    </row>
    <row r="27" ht="15.0" customHeight="1">
      <c r="A27" s="58" t="str">
        <f>Inputs!$C$52</f>
        <v>Packaging % of take-away + delivery revenue</v>
      </c>
      <c r="B27" s="95">
        <f>Inputs!$H$52</f>
        <v>0.05</v>
      </c>
      <c r="C27" s="13" t="s">
        <v>913</v>
      </c>
    </row>
    <row r="28" ht="15.0" customHeight="1">
      <c r="A28" s="58" t="str">
        <f>Inputs!$C$53</f>
        <v>Waste &amp; spoilage % of F&amp;B revenue</v>
      </c>
      <c r="B28" s="95">
        <f>Inputs!$H$53</f>
        <v>0.015</v>
      </c>
      <c r="C28" s="13" t="s">
        <v>918</v>
      </c>
    </row>
    <row r="29" ht="15.0" customHeight="1">
      <c r="A29" s="58" t="str">
        <f>Inputs!$C$54</f>
        <v>Delivery platform commission % of delivery revenue</v>
      </c>
      <c r="B29" s="95">
        <f>Inputs!$H$54</f>
        <v>0.23</v>
      </c>
      <c r="C29" s="13" t="s">
        <v>922</v>
      </c>
    </row>
    <row r="30" ht="15.0" customHeight="1">
      <c r="A30" s="58" t="str">
        <f>Inputs!$C$55</f>
        <v>Payment fees % of in-store revenue</v>
      </c>
      <c r="B30" s="95">
        <f>Inputs!$H$55</f>
        <v>0.012</v>
      </c>
      <c r="C30" s="13" t="s">
        <v>928</v>
      </c>
    </row>
    <row r="31" ht="15.0" customHeight="1">
      <c r="A31" s="58" t="str">
        <f>Inputs!$C$56</f>
        <v>Marketing % of revenue (post-opening)</v>
      </c>
      <c r="B31" s="95">
        <f>Inputs!$H$56</f>
        <v>0.03</v>
      </c>
      <c r="C31" s="13" t="s">
        <v>932</v>
      </c>
    </row>
    <row r="32" ht="15.0" customHeight="1">
      <c r="A32" s="58" t="str">
        <f>Inputs!$C$57</f>
        <v>Repairs &amp; maintenance % of revenue</v>
      </c>
      <c r="B32" s="95">
        <f>Inputs!$H$57</f>
        <v>0.015</v>
      </c>
      <c r="C32" s="13" t="s">
        <v>932</v>
      </c>
    </row>
    <row r="33" ht="15.0" customHeight="1">
      <c r="A33" s="58" t="str">
        <f>Inputs!$C$58</f>
        <v>Miscellaneous operating costs % of revenue</v>
      </c>
      <c r="B33" s="95">
        <f>Inputs!$H$58</f>
        <v>0.01</v>
      </c>
      <c r="C33" s="13" t="s">
        <v>932</v>
      </c>
    </row>
    <row r="34" ht="15.0" customHeight="1">
      <c r="A34" s="58" t="str">
        <f>Inputs!$C$59</f>
        <v>Brand/royalty fee to CORSA CH % of revenue</v>
      </c>
      <c r="B34" s="95">
        <f>Inputs!$H$59</f>
        <v>0</v>
      </c>
      <c r="C34" s="13" t="s">
        <v>932</v>
      </c>
    </row>
    <row r="35" ht="15.0" customHeight="1">
      <c r="A35" s="3" t="s">
        <v>941</v>
      </c>
      <c r="B35" s="97">
        <f>Menu!$E$29+Inputs!$H$49</f>
        <v>0.2861566121</v>
      </c>
    </row>
    <row r="36" ht="15.75" customHeight="1"/>
    <row r="37" ht="15.75" customHeight="1"/>
    <row r="38" ht="15.75" customHeight="1">
      <c r="A38" s="60" t="s">
        <v>950</v>
      </c>
    </row>
    <row r="39" ht="27.0" customHeight="1">
      <c r="A39" s="15" t="s">
        <v>624</v>
      </c>
      <c r="B39" s="15" t="s">
        <v>631</v>
      </c>
      <c r="C39" s="61" t="s">
        <v>633</v>
      </c>
      <c r="D39" s="63"/>
      <c r="E39" s="61" t="s">
        <v>636</v>
      </c>
      <c r="F39" s="62"/>
      <c r="G39" s="62"/>
      <c r="H39" s="62"/>
      <c r="I39" s="62"/>
      <c r="J39" s="62"/>
      <c r="K39" s="62"/>
      <c r="L39" s="62"/>
      <c r="M39" s="63"/>
      <c r="N39" s="61" t="s">
        <v>69</v>
      </c>
      <c r="O39" s="62"/>
      <c r="P39" s="63"/>
    </row>
    <row r="40" ht="15.0" customHeight="1">
      <c r="A40" s="80" t="s">
        <v>956</v>
      </c>
      <c r="B40" s="81">
        <f>OPEX!B7</f>
        <v>25000000</v>
      </c>
      <c r="C40" s="64" t="s">
        <v>959</v>
      </c>
      <c r="D40" s="66"/>
      <c r="E40" s="64" t="s">
        <v>960</v>
      </c>
      <c r="F40" s="65"/>
      <c r="G40" s="65"/>
      <c r="H40" s="65"/>
      <c r="I40" s="65"/>
      <c r="J40" s="65"/>
      <c r="K40" s="65"/>
      <c r="L40" s="65"/>
      <c r="M40" s="66"/>
      <c r="N40" s="72" t="s">
        <v>176</v>
      </c>
      <c r="O40" s="65"/>
      <c r="P40" s="66"/>
    </row>
    <row r="41" ht="15.0" customHeight="1">
      <c r="A41" s="80" t="s">
        <v>962</v>
      </c>
      <c r="B41" s="81">
        <f>SUM(OPEX!B8:B12)</f>
        <v>24000000</v>
      </c>
      <c r="C41" s="64" t="s">
        <v>966</v>
      </c>
      <c r="D41" s="66"/>
      <c r="E41" s="64" t="s">
        <v>967</v>
      </c>
      <c r="F41" s="65"/>
      <c r="G41" s="65"/>
      <c r="H41" s="65"/>
      <c r="I41" s="65"/>
      <c r="J41" s="65"/>
      <c r="K41" s="65"/>
      <c r="L41" s="65"/>
      <c r="M41" s="66"/>
      <c r="N41" s="75" t="s">
        <v>91</v>
      </c>
      <c r="O41" s="65"/>
      <c r="P41" s="66"/>
    </row>
    <row r="42" ht="15.0" customHeight="1">
      <c r="A42" s="80" t="s">
        <v>969</v>
      </c>
      <c r="B42" s="81">
        <f>OPEX!B16</f>
        <v>13002300</v>
      </c>
      <c r="C42" s="64" t="s">
        <v>971</v>
      </c>
      <c r="D42" s="66"/>
      <c r="E42" s="64" t="s">
        <v>972</v>
      </c>
      <c r="F42" s="65"/>
      <c r="G42" s="65"/>
      <c r="H42" s="65"/>
      <c r="I42" s="65"/>
      <c r="J42" s="65"/>
      <c r="K42" s="65"/>
      <c r="L42" s="65"/>
      <c r="M42" s="66"/>
      <c r="N42" s="69" t="s">
        <v>82</v>
      </c>
      <c r="O42" s="65"/>
      <c r="P42" s="66"/>
    </row>
    <row r="43" ht="15.0" customHeight="1">
      <c r="A43" s="80" t="s">
        <v>977</v>
      </c>
      <c r="B43" s="81">
        <f>OPEX!B17</f>
        <v>6000000</v>
      </c>
      <c r="C43" s="64" t="s">
        <v>979</v>
      </c>
      <c r="D43" s="66"/>
      <c r="E43" s="64" t="s">
        <v>980</v>
      </c>
      <c r="F43" s="65"/>
      <c r="G43" s="65"/>
      <c r="H43" s="65"/>
      <c r="I43" s="65"/>
      <c r="J43" s="65"/>
      <c r="K43" s="65"/>
      <c r="L43" s="65"/>
      <c r="M43" s="66"/>
      <c r="N43" s="69" t="s">
        <v>82</v>
      </c>
      <c r="O43" s="65"/>
      <c r="P43" s="66"/>
    </row>
    <row r="44" ht="15.0" customHeight="1">
      <c r="A44" s="80" t="s">
        <v>981</v>
      </c>
      <c r="B44" s="81">
        <f>OPEX!B21+OPEX!B22</f>
        <v>37774218.75</v>
      </c>
      <c r="C44" s="64" t="s">
        <v>983</v>
      </c>
      <c r="D44" s="66"/>
      <c r="E44" s="64" t="s">
        <v>984</v>
      </c>
      <c r="F44" s="65"/>
      <c r="G44" s="65"/>
      <c r="H44" s="65"/>
      <c r="I44" s="65"/>
      <c r="J44" s="65"/>
      <c r="K44" s="65"/>
      <c r="L44" s="65"/>
      <c r="M44" s="66"/>
      <c r="N44" s="69" t="s">
        <v>82</v>
      </c>
      <c r="O44" s="65"/>
      <c r="P44" s="66"/>
    </row>
    <row r="45" ht="15.0" customHeight="1">
      <c r="A45" s="80" t="s">
        <v>987</v>
      </c>
      <c r="B45" s="81">
        <f>OPEX!B23</f>
        <v>166907330</v>
      </c>
      <c r="C45" s="64" t="s">
        <v>988</v>
      </c>
      <c r="D45" s="66"/>
      <c r="E45" s="64" t="s">
        <v>990</v>
      </c>
      <c r="F45" s="65"/>
      <c r="G45" s="65"/>
      <c r="H45" s="65"/>
      <c r="I45" s="65"/>
      <c r="J45" s="65"/>
      <c r="K45" s="65"/>
      <c r="L45" s="65"/>
      <c r="M45" s="66"/>
      <c r="N45" s="69" t="s">
        <v>82</v>
      </c>
      <c r="O45" s="65"/>
      <c r="P45" s="66"/>
    </row>
    <row r="46" ht="27.0" customHeight="1">
      <c r="A46" s="80" t="s">
        <v>996</v>
      </c>
      <c r="B46" s="68" t="s">
        <v>665</v>
      </c>
      <c r="C46" s="64" t="s">
        <v>999</v>
      </c>
      <c r="D46" s="66"/>
      <c r="E46" s="64" t="s">
        <v>1003</v>
      </c>
      <c r="F46" s="65"/>
      <c r="G46" s="65"/>
      <c r="H46" s="65"/>
      <c r="I46" s="65"/>
      <c r="J46" s="65"/>
      <c r="K46" s="65"/>
      <c r="L46" s="65"/>
      <c r="M46" s="66"/>
      <c r="N46" s="72" t="s">
        <v>176</v>
      </c>
      <c r="O46" s="65"/>
      <c r="P46" s="66"/>
    </row>
    <row r="47" ht="15.0" customHeight="1">
      <c r="A47" s="80" t="s">
        <v>1007</v>
      </c>
      <c r="B47" s="101">
        <f>OPEX!B35</f>
        <v>0.2861566121</v>
      </c>
      <c r="C47" s="64" t="s">
        <v>1021</v>
      </c>
      <c r="D47" s="66"/>
      <c r="E47" s="64" t="s">
        <v>1022</v>
      </c>
      <c r="F47" s="65"/>
      <c r="G47" s="65"/>
      <c r="H47" s="65"/>
      <c r="I47" s="65"/>
      <c r="J47" s="65"/>
      <c r="K47" s="65"/>
      <c r="L47" s="65"/>
      <c r="M47" s="66"/>
      <c r="N47" s="72" t="s">
        <v>176</v>
      </c>
      <c r="O47" s="65"/>
      <c r="P47" s="66"/>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E41:M41"/>
    <mergeCell ref="N41:P41"/>
    <mergeCell ref="C39:D39"/>
    <mergeCell ref="E39:M39"/>
    <mergeCell ref="N39:P39"/>
    <mergeCell ref="C40:D40"/>
    <mergeCell ref="E40:M40"/>
    <mergeCell ref="N40:P40"/>
    <mergeCell ref="C41:D41"/>
    <mergeCell ref="E44:M44"/>
    <mergeCell ref="N44:P44"/>
    <mergeCell ref="C42:D42"/>
    <mergeCell ref="E42:M42"/>
    <mergeCell ref="N42:P42"/>
    <mergeCell ref="C43:D43"/>
    <mergeCell ref="E43:M43"/>
    <mergeCell ref="N43:P43"/>
    <mergeCell ref="C44:D44"/>
    <mergeCell ref="E47:M47"/>
    <mergeCell ref="N47:P47"/>
    <mergeCell ref="C45:D45"/>
    <mergeCell ref="E45:M45"/>
    <mergeCell ref="N45:P45"/>
    <mergeCell ref="C46:D46"/>
    <mergeCell ref="E46:M46"/>
    <mergeCell ref="N46:P46"/>
    <mergeCell ref="C47:D47"/>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44.0"/>
    <col customWidth="1" min="3" max="3" width="11.0"/>
    <col customWidth="1" min="4" max="4" width="15.0"/>
    <col customWidth="1" min="5" max="5" width="16.0"/>
    <col customWidth="1" min="6" max="6" width="8.0"/>
    <col customWidth="1" min="7" max="7" width="7.0"/>
    <col customWidth="1" min="8" max="8" width="17.0"/>
    <col customWidth="1" min="9" max="9" width="14.0"/>
    <col customWidth="1" min="10" max="10" width="9.0"/>
    <col customWidth="1" min="11" max="11" width="50.0"/>
    <col customWidth="1" min="12" max="12" width="70.0"/>
    <col customWidth="1" min="13" max="13" width="20.0"/>
    <col customWidth="1" min="14" max="26" width="8.71"/>
  </cols>
  <sheetData>
    <row r="1" ht="17.25" customHeight="1">
      <c r="A1" s="1" t="s">
        <v>1055</v>
      </c>
    </row>
    <row r="2" ht="15.0" customHeight="1">
      <c r="A2" s="2" t="s">
        <v>1056</v>
      </c>
    </row>
    <row r="3">
      <c r="A3" s="4" t="s">
        <v>32</v>
      </c>
      <c r="B3" s="103" t="s">
        <v>1057</v>
      </c>
      <c r="C3" s="8"/>
      <c r="D3" s="8"/>
      <c r="E3" s="8"/>
      <c r="F3" s="8"/>
      <c r="G3" s="8"/>
      <c r="H3" s="8"/>
      <c r="I3" s="8"/>
      <c r="J3" s="8"/>
    </row>
    <row r="4">
      <c r="A4" s="4"/>
      <c r="B4" s="104" t="s">
        <v>1058</v>
      </c>
      <c r="C4" s="8"/>
      <c r="D4" s="8"/>
      <c r="E4" s="8"/>
      <c r="F4" s="8"/>
      <c r="G4" s="8"/>
      <c r="H4" s="8"/>
      <c r="I4" s="8"/>
      <c r="J4" s="8"/>
    </row>
    <row r="5" ht="15.0" customHeight="1">
      <c r="B5" s="13" t="s">
        <v>1059</v>
      </c>
      <c r="C5" s="43">
        <f>Revenue!$C$5</f>
        <v>60</v>
      </c>
    </row>
    <row r="7" ht="34.5" customHeight="1">
      <c r="A7" s="12" t="s">
        <v>1060</v>
      </c>
      <c r="B7" s="12" t="s">
        <v>763</v>
      </c>
      <c r="C7" s="12" t="s">
        <v>1061</v>
      </c>
      <c r="D7" s="12" t="s">
        <v>1062</v>
      </c>
      <c r="E7" s="12" t="s">
        <v>1063</v>
      </c>
      <c r="F7" s="12" t="s">
        <v>1064</v>
      </c>
      <c r="G7" s="12" t="s">
        <v>1065</v>
      </c>
      <c r="H7" s="12" t="s">
        <v>1066</v>
      </c>
      <c r="I7" s="12" t="s">
        <v>1067</v>
      </c>
      <c r="J7" s="12" t="s">
        <v>1068</v>
      </c>
      <c r="K7" s="12" t="s">
        <v>808</v>
      </c>
      <c r="L7" s="15" t="s">
        <v>1069</v>
      </c>
      <c r="M7" s="105" t="s">
        <v>69</v>
      </c>
    </row>
    <row r="8" ht="27.0" customHeight="1">
      <c r="A8" s="13" t="s">
        <v>1071</v>
      </c>
      <c r="B8" s="13" t="s">
        <v>1072</v>
      </c>
      <c r="C8" s="43">
        <f>Inputs!$H$21</f>
        <v>150</v>
      </c>
      <c r="D8" s="16">
        <v>3200000.0</v>
      </c>
      <c r="E8" s="22">
        <f t="shared" ref="E8:E22" si="1">C8*D8</f>
        <v>480000000</v>
      </c>
      <c r="F8" s="106">
        <v>1.0</v>
      </c>
      <c r="G8" s="21">
        <v>1.0</v>
      </c>
      <c r="H8" s="41">
        <f>E8*IF(F8=1,Inputs!$H$77,1)*(1+Inputs!$H$18*G8)</f>
        <v>532800000</v>
      </c>
      <c r="I8" s="52">
        <f>H8/Inputs!$H$10</f>
        <v>24666.66667</v>
      </c>
      <c r="J8" s="36">
        <f t="shared" ref="J8:J37" si="2">H8/$H$37</f>
        <v>0.1046301502</v>
      </c>
      <c r="K8" s="9" t="s">
        <v>1077</v>
      </c>
      <c r="L8" s="9" t="s">
        <v>1078</v>
      </c>
      <c r="M8" s="89" t="s">
        <v>82</v>
      </c>
    </row>
    <row r="9" ht="27.0" customHeight="1">
      <c r="A9" s="13" t="s">
        <v>1071</v>
      </c>
      <c r="B9" s="13" t="s">
        <v>1080</v>
      </c>
      <c r="C9" s="87">
        <f>C5</f>
        <v>60</v>
      </c>
      <c r="D9" s="16">
        <v>5000000.0</v>
      </c>
      <c r="E9" s="22">
        <f t="shared" si="1"/>
        <v>300000000</v>
      </c>
      <c r="F9" s="21">
        <v>1.0</v>
      </c>
      <c r="G9" s="21">
        <v>1.0</v>
      </c>
      <c r="H9" s="41">
        <f>E9*IF(F9=1,Inputs!$H$77,1)*(1+Inputs!$H$18*G9)</f>
        <v>333000000</v>
      </c>
      <c r="I9" s="52">
        <f>H9/Inputs!$H$10</f>
        <v>15416.66667</v>
      </c>
      <c r="J9" s="36">
        <f t="shared" si="2"/>
        <v>0.06539384386</v>
      </c>
      <c r="K9" s="9" t="s">
        <v>1083</v>
      </c>
      <c r="L9" s="9" t="s">
        <v>1084</v>
      </c>
      <c r="M9" s="89" t="s">
        <v>82</v>
      </c>
    </row>
    <row r="10" ht="15.0" customHeight="1">
      <c r="A10" s="13" t="s">
        <v>1071</v>
      </c>
      <c r="B10" s="13" t="s">
        <v>1085</v>
      </c>
      <c r="C10" s="21">
        <v>1.0</v>
      </c>
      <c r="D10" s="22">
        <f>0.1*(E8+E9)</f>
        <v>78000000</v>
      </c>
      <c r="E10" s="22">
        <f t="shared" si="1"/>
        <v>78000000</v>
      </c>
      <c r="F10" s="21">
        <v>1.0</v>
      </c>
      <c r="G10" s="21">
        <v>1.0</v>
      </c>
      <c r="H10" s="41">
        <f>E10*IF(F10=1,Inputs!$H$77,1)*(1+Inputs!$H$18*G10)</f>
        <v>86580000</v>
      </c>
      <c r="I10" s="52">
        <f>H10/Inputs!$H$10</f>
        <v>4008.333333</v>
      </c>
      <c r="J10" s="36">
        <f t="shared" si="2"/>
        <v>0.0170023994</v>
      </c>
      <c r="K10" s="9" t="s">
        <v>1087</v>
      </c>
      <c r="L10" s="9" t="s">
        <v>1088</v>
      </c>
      <c r="M10" s="89" t="s">
        <v>124</v>
      </c>
    </row>
    <row r="11" ht="40.5" customHeight="1">
      <c r="A11" s="13" t="s">
        <v>1071</v>
      </c>
      <c r="B11" s="13" t="s">
        <v>1089</v>
      </c>
      <c r="C11" s="21">
        <v>1.0</v>
      </c>
      <c r="D11" s="16">
        <v>2.8E8</v>
      </c>
      <c r="E11" s="22">
        <f t="shared" si="1"/>
        <v>280000000</v>
      </c>
      <c r="F11" s="21">
        <v>1.0</v>
      </c>
      <c r="G11" s="21">
        <v>1.0</v>
      </c>
      <c r="H11" s="41">
        <f>E11*IF(F11=1,Inputs!$H$77,1)*(1+Inputs!$H$18*G11)</f>
        <v>310800000</v>
      </c>
      <c r="I11" s="52">
        <f>H11/Inputs!$H$10</f>
        <v>14388.88889</v>
      </c>
      <c r="J11" s="36">
        <f t="shared" si="2"/>
        <v>0.06103425427</v>
      </c>
      <c r="K11" s="9" t="s">
        <v>1094</v>
      </c>
      <c r="L11" s="109" t="s">
        <v>1095</v>
      </c>
      <c r="M11" s="84" t="s">
        <v>176</v>
      </c>
    </row>
    <row r="12" ht="15.0" customHeight="1">
      <c r="A12" s="13" t="s">
        <v>1071</v>
      </c>
      <c r="B12" s="13" t="s">
        <v>1099</v>
      </c>
      <c r="C12" s="21">
        <v>1.0</v>
      </c>
      <c r="D12" s="16">
        <v>1.2E8</v>
      </c>
      <c r="E12" s="22">
        <f t="shared" si="1"/>
        <v>120000000</v>
      </c>
      <c r="F12" s="21">
        <v>1.0</v>
      </c>
      <c r="G12" s="21">
        <v>1.0</v>
      </c>
      <c r="H12" s="41">
        <f>E12*IF(F12=1,Inputs!$H$77,1)*(1+Inputs!$H$18*G12)</f>
        <v>133200000</v>
      </c>
      <c r="I12" s="52">
        <f>H12/Inputs!$H$10</f>
        <v>6166.666667</v>
      </c>
      <c r="J12" s="36">
        <f t="shared" si="2"/>
        <v>0.02615753754</v>
      </c>
      <c r="K12" s="9" t="s">
        <v>350</v>
      </c>
      <c r="L12" s="9" t="s">
        <v>1104</v>
      </c>
      <c r="M12" s="110" t="s">
        <v>91</v>
      </c>
    </row>
    <row r="13" ht="27.0" customHeight="1">
      <c r="A13" s="13" t="s">
        <v>1071</v>
      </c>
      <c r="B13" s="13" t="s">
        <v>1106</v>
      </c>
      <c r="C13" s="21">
        <v>1.0</v>
      </c>
      <c r="D13" s="16">
        <v>1.5E8</v>
      </c>
      <c r="E13" s="22">
        <f t="shared" si="1"/>
        <v>150000000</v>
      </c>
      <c r="F13" s="21">
        <v>1.0</v>
      </c>
      <c r="G13" s="21">
        <v>1.0</v>
      </c>
      <c r="H13" s="41">
        <f>E13*IF(F13=1,Inputs!$H$77,1)*(1+Inputs!$H$18*G13)</f>
        <v>166500000</v>
      </c>
      <c r="I13" s="52">
        <f>H13/Inputs!$H$10</f>
        <v>7708.333333</v>
      </c>
      <c r="J13" s="36">
        <f t="shared" si="2"/>
        <v>0.03269692193</v>
      </c>
      <c r="K13" s="9" t="s">
        <v>350</v>
      </c>
      <c r="L13" s="9" t="s">
        <v>1110</v>
      </c>
      <c r="M13" s="110" t="s">
        <v>91</v>
      </c>
    </row>
    <row r="14" ht="15.0" customHeight="1">
      <c r="A14" s="13" t="s">
        <v>1071</v>
      </c>
      <c r="B14" s="13" t="s">
        <v>1111</v>
      </c>
      <c r="C14" s="21">
        <v>1.0</v>
      </c>
      <c r="D14" s="16">
        <v>1.2E8</v>
      </c>
      <c r="E14" s="22">
        <f t="shared" si="1"/>
        <v>120000000</v>
      </c>
      <c r="F14" s="21">
        <v>1.0</v>
      </c>
      <c r="G14" s="21">
        <v>1.0</v>
      </c>
      <c r="H14" s="41">
        <f>E14*IF(F14=1,Inputs!$H$77,1)*(1+Inputs!$H$18*G14)</f>
        <v>133200000</v>
      </c>
      <c r="I14" s="52">
        <f>H14/Inputs!$H$10</f>
        <v>6166.666667</v>
      </c>
      <c r="J14" s="36">
        <f t="shared" si="2"/>
        <v>0.02615753754</v>
      </c>
      <c r="K14" s="9" t="s">
        <v>350</v>
      </c>
      <c r="L14" s="9" t="s">
        <v>1115</v>
      </c>
      <c r="M14" s="110" t="s">
        <v>91</v>
      </c>
    </row>
    <row r="15" ht="15.0" customHeight="1">
      <c r="A15" s="13" t="s">
        <v>1071</v>
      </c>
      <c r="B15" s="13" t="s">
        <v>1116</v>
      </c>
      <c r="C15" s="21">
        <v>1.0</v>
      </c>
      <c r="D15" s="16">
        <v>1.1E8</v>
      </c>
      <c r="E15" s="22">
        <f t="shared" si="1"/>
        <v>110000000</v>
      </c>
      <c r="F15" s="21">
        <v>1.0</v>
      </c>
      <c r="G15" s="21">
        <v>1.0</v>
      </c>
      <c r="H15" s="41">
        <f>E15*IF(F15=1,Inputs!$H$77,1)*(1+Inputs!$H$18*G15)</f>
        <v>122100000</v>
      </c>
      <c r="I15" s="52">
        <f>H15/Inputs!$H$10</f>
        <v>5652.777778</v>
      </c>
      <c r="J15" s="36">
        <f t="shared" si="2"/>
        <v>0.02397774275</v>
      </c>
      <c r="K15" s="9" t="s">
        <v>350</v>
      </c>
      <c r="L15" s="9" t="s">
        <v>1110</v>
      </c>
      <c r="M15" s="110" t="s">
        <v>91</v>
      </c>
    </row>
    <row r="16" ht="27.0" customHeight="1">
      <c r="A16" s="13" t="s">
        <v>1071</v>
      </c>
      <c r="B16" s="13" t="s">
        <v>1118</v>
      </c>
      <c r="C16" s="21">
        <v>1.0</v>
      </c>
      <c r="D16" s="16">
        <v>2.2E8</v>
      </c>
      <c r="E16" s="22">
        <f t="shared" si="1"/>
        <v>220000000</v>
      </c>
      <c r="F16" s="21">
        <v>1.0</v>
      </c>
      <c r="G16" s="21">
        <v>1.0</v>
      </c>
      <c r="H16" s="41">
        <f>E16*IF(F16=1,Inputs!$H$77,1)*(1+Inputs!$H$18*G16)</f>
        <v>244200000</v>
      </c>
      <c r="I16" s="52">
        <f>H16/Inputs!$H$10</f>
        <v>11305.55556</v>
      </c>
      <c r="J16" s="36">
        <f t="shared" si="2"/>
        <v>0.0479554855</v>
      </c>
      <c r="K16" s="9" t="s">
        <v>1122</v>
      </c>
      <c r="L16" s="109" t="s">
        <v>1123</v>
      </c>
      <c r="M16" s="84" t="s">
        <v>176</v>
      </c>
    </row>
    <row r="17" ht="27.0" customHeight="1">
      <c r="A17" s="13" t="s">
        <v>1071</v>
      </c>
      <c r="B17" s="13" t="s">
        <v>1125</v>
      </c>
      <c r="C17" s="21">
        <v>2.0</v>
      </c>
      <c r="D17" s="16">
        <v>4.0E7</v>
      </c>
      <c r="E17" s="22">
        <f t="shared" si="1"/>
        <v>80000000</v>
      </c>
      <c r="F17" s="21">
        <v>1.0</v>
      </c>
      <c r="G17" s="21">
        <v>1.0</v>
      </c>
      <c r="H17" s="41">
        <f>E17*IF(F17=1,Inputs!$H$77,1)*(1+Inputs!$H$18*G17)</f>
        <v>88800000</v>
      </c>
      <c r="I17" s="52">
        <f>H17/Inputs!$H$10</f>
        <v>4111.111111</v>
      </c>
      <c r="J17" s="36">
        <f t="shared" si="2"/>
        <v>0.01743835836</v>
      </c>
      <c r="K17" s="9" t="s">
        <v>1128</v>
      </c>
      <c r="L17" s="109" t="s">
        <v>1129</v>
      </c>
      <c r="M17" s="84" t="s">
        <v>176</v>
      </c>
    </row>
    <row r="18" ht="15.0" customHeight="1">
      <c r="A18" s="13" t="s">
        <v>1071</v>
      </c>
      <c r="B18" s="13" t="s">
        <v>1130</v>
      </c>
      <c r="C18" s="21">
        <v>1.0</v>
      </c>
      <c r="D18" s="16">
        <v>3.5E7</v>
      </c>
      <c r="E18" s="22">
        <f t="shared" si="1"/>
        <v>35000000</v>
      </c>
      <c r="F18" s="21">
        <v>1.0</v>
      </c>
      <c r="G18" s="21">
        <v>1.0</v>
      </c>
      <c r="H18" s="41">
        <f>E18*IF(F18=1,Inputs!$H$77,1)*(1+Inputs!$H$18*G18)</f>
        <v>38850000</v>
      </c>
      <c r="I18" s="52">
        <f>H18/Inputs!$H$10</f>
        <v>1798.611111</v>
      </c>
      <c r="J18" s="36">
        <f t="shared" si="2"/>
        <v>0.007629281784</v>
      </c>
      <c r="K18" s="9" t="s">
        <v>350</v>
      </c>
      <c r="L18" s="9" t="s">
        <v>1110</v>
      </c>
      <c r="M18" s="110" t="s">
        <v>91</v>
      </c>
    </row>
    <row r="19" ht="15.0" customHeight="1">
      <c r="A19" s="13" t="s">
        <v>1071</v>
      </c>
      <c r="B19" s="13" t="s">
        <v>1135</v>
      </c>
      <c r="C19" s="21">
        <v>1.0</v>
      </c>
      <c r="D19" s="16">
        <v>7.0E7</v>
      </c>
      <c r="E19" s="22">
        <f t="shared" si="1"/>
        <v>70000000</v>
      </c>
      <c r="F19" s="21">
        <v>1.0</v>
      </c>
      <c r="G19" s="21">
        <v>1.0</v>
      </c>
      <c r="H19" s="41">
        <f>E19*IF(F19=1,Inputs!$H$77,1)*(1+Inputs!$H$18*G19)</f>
        <v>77700000</v>
      </c>
      <c r="I19" s="52">
        <f>H19/Inputs!$H$10</f>
        <v>3597.222222</v>
      </c>
      <c r="J19" s="36">
        <f t="shared" si="2"/>
        <v>0.01525856357</v>
      </c>
      <c r="K19" s="9" t="s">
        <v>350</v>
      </c>
      <c r="L19" s="9" t="s">
        <v>1138</v>
      </c>
      <c r="M19" s="110" t="s">
        <v>91</v>
      </c>
    </row>
    <row r="20" ht="15.0" customHeight="1">
      <c r="A20" s="13" t="s">
        <v>1071</v>
      </c>
      <c r="B20" s="13" t="s">
        <v>1139</v>
      </c>
      <c r="C20" s="21">
        <v>1.0</v>
      </c>
      <c r="D20" s="16">
        <v>9.0E7</v>
      </c>
      <c r="E20" s="22">
        <f t="shared" si="1"/>
        <v>90000000</v>
      </c>
      <c r="F20" s="21">
        <v>1.0</v>
      </c>
      <c r="G20" s="21">
        <v>1.0</v>
      </c>
      <c r="H20" s="41">
        <f>E20*IF(F20=1,Inputs!$H$77,1)*(1+Inputs!$H$18*G20)</f>
        <v>99900000</v>
      </c>
      <c r="I20" s="52">
        <f>H20/Inputs!$H$10</f>
        <v>4625</v>
      </c>
      <c r="J20" s="36">
        <f t="shared" si="2"/>
        <v>0.01961815316</v>
      </c>
      <c r="K20" s="9" t="s">
        <v>350</v>
      </c>
      <c r="L20" s="9" t="s">
        <v>1143</v>
      </c>
      <c r="M20" s="110" t="s">
        <v>91</v>
      </c>
    </row>
    <row r="21" ht="15.0" customHeight="1">
      <c r="A21" s="13" t="s">
        <v>1071</v>
      </c>
      <c r="B21" s="13" t="s">
        <v>1144</v>
      </c>
      <c r="C21" s="21">
        <v>1.0</v>
      </c>
      <c r="D21" s="16">
        <v>1.2E8</v>
      </c>
      <c r="E21" s="22">
        <f t="shared" si="1"/>
        <v>120000000</v>
      </c>
      <c r="F21" s="21">
        <v>1.0</v>
      </c>
      <c r="G21" s="21">
        <v>1.0</v>
      </c>
      <c r="H21" s="41">
        <f>E21*IF(F21=1,Inputs!$H$77,1)*(1+Inputs!$H$18*G21)</f>
        <v>133200000</v>
      </c>
      <c r="I21" s="52">
        <f>H21/Inputs!$H$10</f>
        <v>6166.666667</v>
      </c>
      <c r="J21" s="36">
        <f t="shared" si="2"/>
        <v>0.02615753754</v>
      </c>
      <c r="K21" s="9" t="s">
        <v>1149</v>
      </c>
      <c r="L21" s="9" t="s">
        <v>1110</v>
      </c>
      <c r="M21" s="110" t="s">
        <v>91</v>
      </c>
    </row>
    <row r="22" ht="15.0" customHeight="1">
      <c r="A22" s="13" t="s">
        <v>1071</v>
      </c>
      <c r="B22" s="13" t="s">
        <v>1150</v>
      </c>
      <c r="C22" s="21">
        <v>1.0</v>
      </c>
      <c r="D22" s="16">
        <v>8.5E7</v>
      </c>
      <c r="E22" s="22">
        <f t="shared" si="1"/>
        <v>85000000</v>
      </c>
      <c r="F22" s="21">
        <v>1.0</v>
      </c>
      <c r="G22" s="21">
        <v>1.0</v>
      </c>
      <c r="H22" s="41">
        <f>E22*IF(F22=1,Inputs!$H$77,1)*(1+Inputs!$H$18*G22)</f>
        <v>94350000</v>
      </c>
      <c r="I22" s="52">
        <f>H22/Inputs!$H$10</f>
        <v>4368.055556</v>
      </c>
      <c r="J22" s="36">
        <f t="shared" si="2"/>
        <v>0.01852825576</v>
      </c>
      <c r="K22" s="9" t="s">
        <v>1154</v>
      </c>
      <c r="L22" s="9" t="s">
        <v>1155</v>
      </c>
      <c r="M22" s="110" t="s">
        <v>91</v>
      </c>
    </row>
    <row r="23" ht="15.0" customHeight="1">
      <c r="B23" s="3" t="s">
        <v>1157</v>
      </c>
      <c r="H23" s="93">
        <f>SUM(H8:H22)</f>
        <v>2595180000</v>
      </c>
      <c r="I23" s="52">
        <f>H23/Inputs!$H$10</f>
        <v>120147.2222</v>
      </c>
      <c r="J23" s="36">
        <f t="shared" si="2"/>
        <v>0.5096360232</v>
      </c>
    </row>
    <row r="24" ht="15.0" customHeight="1">
      <c r="A24" s="13" t="s">
        <v>1160</v>
      </c>
      <c r="B24" s="13" t="s">
        <v>1161</v>
      </c>
      <c r="C24" s="21">
        <v>1.0</v>
      </c>
      <c r="D24" s="16">
        <v>9.0E7</v>
      </c>
      <c r="E24" s="22">
        <f t="shared" ref="E24:E30" si="3">C24*D24</f>
        <v>90000000</v>
      </c>
      <c r="F24" s="21">
        <v>0.0</v>
      </c>
      <c r="G24" s="21">
        <v>1.0</v>
      </c>
      <c r="H24" s="41">
        <f>E24*IF(F24=1,Inputs!$H$77,1)*(1+Inputs!$H$18*G24)</f>
        <v>99900000</v>
      </c>
      <c r="I24" s="52">
        <f>H24/Inputs!$H$10</f>
        <v>4625</v>
      </c>
      <c r="J24" s="36">
        <f t="shared" si="2"/>
        <v>0.01961815316</v>
      </c>
      <c r="K24" s="9" t="s">
        <v>1164</v>
      </c>
      <c r="L24" s="9" t="s">
        <v>1165</v>
      </c>
      <c r="M24" s="89" t="s">
        <v>82</v>
      </c>
    </row>
    <row r="25" ht="27.0" customHeight="1">
      <c r="A25" s="13" t="s">
        <v>1160</v>
      </c>
      <c r="B25" s="13" t="s">
        <v>1166</v>
      </c>
      <c r="C25" s="21">
        <v>1.0</v>
      </c>
      <c r="D25" s="16">
        <v>6.0E7</v>
      </c>
      <c r="E25" s="22">
        <f t="shared" si="3"/>
        <v>60000000</v>
      </c>
      <c r="F25" s="21">
        <v>0.0</v>
      </c>
      <c r="G25" s="21">
        <v>1.0</v>
      </c>
      <c r="H25" s="41">
        <f>E25*IF(F25=1,Inputs!$H$77,1)*(1+Inputs!$H$18*G25)</f>
        <v>66600000</v>
      </c>
      <c r="I25" s="52">
        <f>H25/Inputs!$H$10</f>
        <v>3083.333333</v>
      </c>
      <c r="J25" s="36">
        <f t="shared" si="2"/>
        <v>0.01307876877</v>
      </c>
      <c r="K25" s="9" t="s">
        <v>1168</v>
      </c>
      <c r="L25" s="9" t="s">
        <v>1169</v>
      </c>
      <c r="M25" s="84" t="s">
        <v>176</v>
      </c>
    </row>
    <row r="26" ht="27.0" customHeight="1">
      <c r="A26" s="13" t="s">
        <v>1160</v>
      </c>
      <c r="B26" s="13" t="s">
        <v>1170</v>
      </c>
      <c r="C26" s="21">
        <v>1.0</v>
      </c>
      <c r="D26" s="16">
        <v>1.8E8</v>
      </c>
      <c r="E26" s="22">
        <f t="shared" si="3"/>
        <v>180000000</v>
      </c>
      <c r="F26" s="21">
        <v>0.0</v>
      </c>
      <c r="G26" s="21">
        <v>1.0</v>
      </c>
      <c r="H26" s="41">
        <f>E26*IF(F26=1,Inputs!$H$77,1)*(1+Inputs!$H$18*G26)</f>
        <v>199800000</v>
      </c>
      <c r="I26" s="52">
        <f>H26/Inputs!$H$10</f>
        <v>9250</v>
      </c>
      <c r="J26" s="36">
        <f t="shared" si="2"/>
        <v>0.03923630632</v>
      </c>
      <c r="K26" s="9" t="s">
        <v>1172</v>
      </c>
      <c r="L26" s="9" t="s">
        <v>1173</v>
      </c>
      <c r="M26" s="110" t="s">
        <v>91</v>
      </c>
    </row>
    <row r="27" ht="27.0" customHeight="1">
      <c r="A27" s="13" t="s">
        <v>1160</v>
      </c>
      <c r="B27" s="13" t="s">
        <v>1174</v>
      </c>
      <c r="C27" s="21">
        <v>1.0</v>
      </c>
      <c r="D27" s="16">
        <v>1.2E8</v>
      </c>
      <c r="E27" s="22">
        <f t="shared" si="3"/>
        <v>120000000</v>
      </c>
      <c r="F27" s="21">
        <v>0.0</v>
      </c>
      <c r="G27" s="21">
        <v>1.0</v>
      </c>
      <c r="H27" s="41">
        <f>E27*IF(F27=1,Inputs!$H$77,1)*(1+Inputs!$H$18*G27)</f>
        <v>133200000</v>
      </c>
      <c r="I27" s="52">
        <f>H27/Inputs!$H$10</f>
        <v>6166.666667</v>
      </c>
      <c r="J27" s="36">
        <f t="shared" si="2"/>
        <v>0.02615753754</v>
      </c>
      <c r="K27" s="9" t="s">
        <v>1175</v>
      </c>
      <c r="L27" s="9" t="s">
        <v>1176</v>
      </c>
      <c r="M27" s="110" t="s">
        <v>91</v>
      </c>
    </row>
    <row r="28" ht="15.0" customHeight="1">
      <c r="A28" s="13" t="s">
        <v>1160</v>
      </c>
      <c r="B28" s="13" t="s">
        <v>1177</v>
      </c>
      <c r="C28" s="21">
        <v>1.0</v>
      </c>
      <c r="D28" s="16">
        <v>1.2E8</v>
      </c>
      <c r="E28" s="22">
        <f t="shared" si="3"/>
        <v>120000000</v>
      </c>
      <c r="F28" s="21">
        <v>0.0</v>
      </c>
      <c r="G28" s="21">
        <v>1.0</v>
      </c>
      <c r="H28" s="41">
        <f>E28*IF(F28=1,Inputs!$H$77,1)*(1+Inputs!$H$18*G28)</f>
        <v>133200000</v>
      </c>
      <c r="I28" s="52">
        <f>H28/Inputs!$H$10</f>
        <v>6166.666667</v>
      </c>
      <c r="J28" s="36">
        <f t="shared" si="2"/>
        <v>0.02615753754</v>
      </c>
      <c r="K28" s="9" t="s">
        <v>1178</v>
      </c>
      <c r="L28" s="9" t="s">
        <v>1179</v>
      </c>
      <c r="M28" s="89" t="s">
        <v>82</v>
      </c>
    </row>
    <row r="29" ht="15.0" customHeight="1">
      <c r="A29" s="13" t="s">
        <v>1160</v>
      </c>
      <c r="B29" s="13" t="s">
        <v>1180</v>
      </c>
      <c r="C29" s="21">
        <v>1.0</v>
      </c>
      <c r="D29" s="16">
        <v>4.0E7</v>
      </c>
      <c r="E29" s="22">
        <f t="shared" si="3"/>
        <v>40000000</v>
      </c>
      <c r="F29" s="21">
        <v>0.0</v>
      </c>
      <c r="G29" s="21">
        <v>1.0</v>
      </c>
      <c r="H29" s="41">
        <f>E29*IF(F29=1,Inputs!$H$77,1)*(1+Inputs!$H$18*G29)</f>
        <v>44400000</v>
      </c>
      <c r="I29" s="52">
        <f>H29/Inputs!$H$10</f>
        <v>2055.555556</v>
      </c>
      <c r="J29" s="36">
        <f t="shared" si="2"/>
        <v>0.008719179182</v>
      </c>
      <c r="K29" s="9" t="s">
        <v>350</v>
      </c>
      <c r="L29" s="9" t="s">
        <v>1143</v>
      </c>
      <c r="M29" s="110" t="s">
        <v>91</v>
      </c>
    </row>
    <row r="30" ht="15.0" customHeight="1">
      <c r="A30" s="13" t="s">
        <v>1160</v>
      </c>
      <c r="B30" s="13" t="s">
        <v>1182</v>
      </c>
      <c r="C30" s="74">
        <f>Inputs!$H$79</f>
        <v>1</v>
      </c>
      <c r="D30" s="41">
        <f>Staffing!$J$15</f>
        <v>166907330</v>
      </c>
      <c r="E30" s="22">
        <f t="shared" si="3"/>
        <v>166907330</v>
      </c>
      <c r="F30" s="21">
        <v>0.0</v>
      </c>
      <c r="G30" s="21">
        <v>0.0</v>
      </c>
      <c r="H30" s="22">
        <f>E30</f>
        <v>166907330</v>
      </c>
      <c r="I30" s="52">
        <f>H30/Inputs!$H$10</f>
        <v>7727.191204</v>
      </c>
      <c r="J30" s="36">
        <f t="shared" si="2"/>
        <v>0.03277691254</v>
      </c>
      <c r="K30" s="9" t="s">
        <v>1183</v>
      </c>
      <c r="L30" s="9" t="s">
        <v>1184</v>
      </c>
      <c r="M30" s="89" t="s">
        <v>82</v>
      </c>
    </row>
    <row r="31" ht="15.0" customHeight="1">
      <c r="B31" s="3" t="s">
        <v>1185</v>
      </c>
      <c r="H31" s="93">
        <f>SUM(H24:H30)</f>
        <v>844007330</v>
      </c>
      <c r="I31" s="52">
        <f>H31/Inputs!$H$10</f>
        <v>39074.41343</v>
      </c>
      <c r="J31" s="36">
        <f t="shared" si="2"/>
        <v>0.1657443951</v>
      </c>
    </row>
    <row r="32" ht="15.0" customHeight="1">
      <c r="A32" s="13" t="s">
        <v>1186</v>
      </c>
      <c r="B32" s="13" t="s">
        <v>1187</v>
      </c>
      <c r="C32" s="56">
        <f>Inputs!$H$78</f>
        <v>0.1</v>
      </c>
      <c r="H32" s="22">
        <f>C32*(H23+H31)</f>
        <v>343918733</v>
      </c>
      <c r="I32" s="52">
        <f>H32/Inputs!$H$10</f>
        <v>15922.16356</v>
      </c>
      <c r="J32" s="36">
        <f t="shared" si="2"/>
        <v>0.06753804182</v>
      </c>
      <c r="K32" s="9" t="s">
        <v>1189</v>
      </c>
      <c r="L32" s="9" t="s">
        <v>1190</v>
      </c>
      <c r="M32" s="89" t="s">
        <v>82</v>
      </c>
    </row>
    <row r="33" ht="15.0" customHeight="1">
      <c r="A33" s="13" t="s">
        <v>1192</v>
      </c>
      <c r="B33" s="13" t="s">
        <v>1193</v>
      </c>
      <c r="C33" s="43">
        <f>Inputs!$H$31</f>
        <v>2</v>
      </c>
      <c r="D33" s="41">
        <f>OPEX!$B$21+OPEX!$B$22</f>
        <v>37774218.75</v>
      </c>
      <c r="E33" s="22">
        <f t="shared" ref="E33:E36" si="4">C33*D33</f>
        <v>75548437.5</v>
      </c>
      <c r="H33" s="22">
        <f t="shared" ref="H33:H36" si="5">E33</f>
        <v>75548437.5</v>
      </c>
      <c r="I33" s="52">
        <f>H33/Inputs!$H$10</f>
        <v>3497.612847</v>
      </c>
      <c r="J33" s="36">
        <f t="shared" si="2"/>
        <v>0.01483604422</v>
      </c>
      <c r="K33" s="9" t="s">
        <v>1194</v>
      </c>
      <c r="L33" s="9" t="s">
        <v>1195</v>
      </c>
      <c r="M33" s="89" t="s">
        <v>82</v>
      </c>
    </row>
    <row r="34" ht="15.0" customHeight="1">
      <c r="A34" s="13" t="s">
        <v>1192</v>
      </c>
      <c r="B34" s="13" t="s">
        <v>1197</v>
      </c>
      <c r="C34" s="43">
        <f>Inputs!$H$29</f>
        <v>12</v>
      </c>
      <c r="D34" s="41">
        <f>OPEX!$B$21</f>
        <v>37774218.75</v>
      </c>
      <c r="E34" s="22">
        <f t="shared" si="4"/>
        <v>453290625</v>
      </c>
      <c r="H34" s="22">
        <f t="shared" si="5"/>
        <v>453290625</v>
      </c>
      <c r="I34" s="52">
        <f>H34/Inputs!$H$10</f>
        <v>20985.67708</v>
      </c>
      <c r="J34" s="36">
        <f t="shared" si="2"/>
        <v>0.08901626533</v>
      </c>
      <c r="K34" s="9" t="s">
        <v>1198</v>
      </c>
      <c r="L34" s="9" t="s">
        <v>1199</v>
      </c>
      <c r="M34" s="89" t="s">
        <v>82</v>
      </c>
    </row>
    <row r="35" ht="15.0" customHeight="1">
      <c r="A35" s="13" t="s">
        <v>1192</v>
      </c>
      <c r="B35" s="13" t="s">
        <v>1200</v>
      </c>
      <c r="C35" s="43">
        <f>Inputs!$H$30</f>
        <v>2</v>
      </c>
      <c r="D35" s="41">
        <f>OPEX!$B$21</f>
        <v>37774218.75</v>
      </c>
      <c r="E35" s="22">
        <f t="shared" si="4"/>
        <v>75548437.5</v>
      </c>
      <c r="H35" s="22">
        <f t="shared" si="5"/>
        <v>75548437.5</v>
      </c>
      <c r="I35" s="52">
        <f>H35/Inputs!$H$10</f>
        <v>3497.612847</v>
      </c>
      <c r="J35" s="36">
        <f t="shared" si="2"/>
        <v>0.01483604422</v>
      </c>
      <c r="K35" s="9" t="s">
        <v>1202</v>
      </c>
      <c r="L35" s="9" t="s">
        <v>1199</v>
      </c>
      <c r="M35" s="89" t="s">
        <v>82</v>
      </c>
    </row>
    <row r="36" ht="27.0" customHeight="1">
      <c r="A36" s="13" t="s">
        <v>1203</v>
      </c>
      <c r="B36" s="13" t="s">
        <v>1204</v>
      </c>
      <c r="C36" s="74">
        <f>Inputs!$H$80</f>
        <v>3</v>
      </c>
      <c r="D36" s="41">
        <f>Staffing!$J$15+OPEX!$B$13+OPEX!$B$18</f>
        <v>234909630</v>
      </c>
      <c r="E36" s="22">
        <f t="shared" si="4"/>
        <v>704728890</v>
      </c>
      <c r="H36" s="22">
        <f t="shared" si="5"/>
        <v>704728890</v>
      </c>
      <c r="I36" s="52">
        <f>H36/Inputs!$H$10</f>
        <v>32626.3375</v>
      </c>
      <c r="J36" s="36">
        <f t="shared" si="2"/>
        <v>0.1383931862</v>
      </c>
      <c r="K36" s="9" t="s">
        <v>1206</v>
      </c>
      <c r="L36" s="9" t="s">
        <v>1207</v>
      </c>
      <c r="M36" s="89" t="s">
        <v>82</v>
      </c>
    </row>
    <row r="37" ht="15.0" customHeight="1">
      <c r="B37" s="3" t="s">
        <v>1208</v>
      </c>
      <c r="H37" s="46">
        <f>H23+H31+H32+SUM(H33:H35)+H36</f>
        <v>5092222453</v>
      </c>
      <c r="I37" s="119">
        <f>H37/Inputs!$H$10</f>
        <v>235751.0395</v>
      </c>
      <c r="J37" s="36">
        <f t="shared" si="2"/>
        <v>1</v>
      </c>
    </row>
    <row r="38" ht="15.75" customHeight="1"/>
    <row r="39" ht="15.0" customHeight="1">
      <c r="B39" s="3" t="s">
        <v>1210</v>
      </c>
    </row>
    <row r="40" ht="15.0" customHeight="1">
      <c r="B40" s="13" t="s">
        <v>1211</v>
      </c>
      <c r="H40" s="41">
        <f>SUMPRODUCT(E8:E22,1+Inputs!$H$18*G8:G22)</f>
        <v>2595180000</v>
      </c>
    </row>
    <row r="41" ht="15.0" customHeight="1">
      <c r="B41" s="13" t="s">
        <v>1213</v>
      </c>
      <c r="H41" s="22">
        <f>SUM(H24:H29)</f>
        <v>677100000</v>
      </c>
    </row>
    <row r="42" ht="15.0" customHeight="1">
      <c r="B42" s="13" t="s">
        <v>1214</v>
      </c>
      <c r="H42" s="22">
        <f>H23*(1+C32)</f>
        <v>2854698000</v>
      </c>
    </row>
    <row r="43" ht="15.0" customHeight="1">
      <c r="B43" s="13" t="s">
        <v>1217</v>
      </c>
      <c r="H43" s="22">
        <f>H37-H36</f>
        <v>4387493563</v>
      </c>
    </row>
    <row r="44" ht="15.75" customHeight="1"/>
    <row r="45" ht="15.0" customHeight="1">
      <c r="B45" s="2" t="s">
        <v>1218</v>
      </c>
    </row>
    <row r="46" ht="15.75" customHeight="1"/>
    <row r="47" ht="15.75" customHeight="1"/>
    <row r="48" ht="15.75" customHeight="1">
      <c r="A48" s="60" t="s">
        <v>1219</v>
      </c>
    </row>
    <row r="49" ht="27.0" customHeight="1">
      <c r="A49" s="61" t="s">
        <v>624</v>
      </c>
      <c r="B49" s="63"/>
      <c r="C49" s="61" t="s">
        <v>631</v>
      </c>
      <c r="D49" s="63"/>
      <c r="E49" s="61" t="s">
        <v>633</v>
      </c>
      <c r="F49" s="62"/>
      <c r="G49" s="63"/>
      <c r="H49" s="61" t="s">
        <v>636</v>
      </c>
      <c r="I49" s="62"/>
      <c r="J49" s="62"/>
      <c r="K49" s="63"/>
      <c r="L49" s="15" t="s">
        <v>69</v>
      </c>
    </row>
    <row r="50" ht="15.0" customHeight="1">
      <c r="A50" s="64" t="s">
        <v>1220</v>
      </c>
      <c r="B50" s="66"/>
      <c r="C50" s="67">
        <f>Inputs!H77</f>
        <v>1</v>
      </c>
      <c r="D50" s="66"/>
      <c r="E50" s="64" t="s">
        <v>1221</v>
      </c>
      <c r="F50" s="65"/>
      <c r="G50" s="66"/>
      <c r="H50" s="64" t="s">
        <v>1222</v>
      </c>
      <c r="I50" s="65"/>
      <c r="J50" s="65"/>
      <c r="K50" s="66"/>
      <c r="L50" s="99" t="s">
        <v>91</v>
      </c>
    </row>
    <row r="51" ht="15.0" customHeight="1">
      <c r="A51" s="64" t="s">
        <v>1224</v>
      </c>
      <c r="B51" s="66"/>
      <c r="C51" s="79">
        <f>Inputs!H18</f>
        <v>0.11</v>
      </c>
      <c r="D51" s="66"/>
      <c r="E51" s="64" t="s">
        <v>1225</v>
      </c>
      <c r="F51" s="65"/>
      <c r="G51" s="66"/>
      <c r="H51" s="64" t="s">
        <v>1226</v>
      </c>
      <c r="I51" s="65"/>
      <c r="J51" s="65"/>
      <c r="K51" s="66"/>
      <c r="L51" s="70" t="s">
        <v>124</v>
      </c>
    </row>
    <row r="52" ht="15.0" customHeight="1">
      <c r="A52" s="64" t="s">
        <v>1227</v>
      </c>
      <c r="B52" s="66"/>
      <c r="C52" s="79">
        <f>Inputs!H78</f>
        <v>0.1</v>
      </c>
      <c r="D52" s="66"/>
      <c r="E52" s="64" t="s">
        <v>1221</v>
      </c>
      <c r="F52" s="65"/>
      <c r="G52" s="66"/>
      <c r="H52" s="64" t="s">
        <v>1228</v>
      </c>
      <c r="I52" s="65"/>
      <c r="J52" s="65"/>
      <c r="K52" s="66"/>
      <c r="L52" s="70" t="s">
        <v>82</v>
      </c>
    </row>
    <row r="53" ht="15.0" customHeight="1">
      <c r="A53" s="64" t="s">
        <v>1229</v>
      </c>
      <c r="B53" s="66"/>
      <c r="C53" s="67">
        <f>'CAPEX (Buy)'!C5</f>
        <v>60</v>
      </c>
      <c r="D53" s="66"/>
      <c r="E53" s="64" t="s">
        <v>933</v>
      </c>
      <c r="F53" s="65"/>
      <c r="G53" s="66"/>
      <c r="H53" s="64" t="s">
        <v>1230</v>
      </c>
      <c r="I53" s="65"/>
      <c r="J53" s="65"/>
      <c r="K53" s="66"/>
      <c r="L53" s="70" t="s">
        <v>82</v>
      </c>
    </row>
    <row r="54" ht="15.0" customHeight="1">
      <c r="A54" s="64" t="s">
        <v>1231</v>
      </c>
      <c r="B54" s="66"/>
      <c r="C54" s="67">
        <f>Inputs!H10</f>
        <v>21600</v>
      </c>
      <c r="D54" s="66"/>
      <c r="E54" s="64" t="s">
        <v>1232</v>
      </c>
      <c r="F54" s="65"/>
      <c r="G54" s="66"/>
      <c r="H54" s="64" t="s">
        <v>1233</v>
      </c>
      <c r="I54" s="65"/>
      <c r="J54" s="65"/>
      <c r="K54" s="66"/>
      <c r="L54" s="70" t="s">
        <v>124</v>
      </c>
    </row>
    <row r="55" ht="27.0" customHeight="1">
      <c r="A55" s="64" t="s">
        <v>1234</v>
      </c>
      <c r="B55" s="66"/>
      <c r="C55" s="76" t="s">
        <v>665</v>
      </c>
      <c r="D55" s="66"/>
      <c r="E55" s="64" t="s">
        <v>1236</v>
      </c>
      <c r="F55" s="65"/>
      <c r="G55" s="66"/>
      <c r="H55" s="64" t="s">
        <v>1237</v>
      </c>
      <c r="I55" s="65"/>
      <c r="J55" s="65"/>
      <c r="K55" s="66"/>
      <c r="L55" s="77" t="s">
        <v>176</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49:B49"/>
    <mergeCell ref="C49:D49"/>
    <mergeCell ref="E49:G49"/>
    <mergeCell ref="H49:K49"/>
    <mergeCell ref="C50:D50"/>
    <mergeCell ref="E50:G50"/>
    <mergeCell ref="H50:K50"/>
    <mergeCell ref="E52:G52"/>
    <mergeCell ref="H52:K52"/>
    <mergeCell ref="A50:B50"/>
    <mergeCell ref="A51:B51"/>
    <mergeCell ref="C51:D51"/>
    <mergeCell ref="E51:G51"/>
    <mergeCell ref="H51:K51"/>
    <mergeCell ref="A52:B52"/>
    <mergeCell ref="C52:D52"/>
    <mergeCell ref="A54:B54"/>
    <mergeCell ref="A55:B55"/>
    <mergeCell ref="C55:D55"/>
    <mergeCell ref="E55:G55"/>
    <mergeCell ref="H55:K55"/>
    <mergeCell ref="A53:B53"/>
    <mergeCell ref="C53:D53"/>
    <mergeCell ref="E53:G53"/>
    <mergeCell ref="H53:K53"/>
    <mergeCell ref="C54:D54"/>
    <mergeCell ref="E54:G54"/>
    <mergeCell ref="H54:K54"/>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44.0"/>
    <col customWidth="1" min="3" max="3" width="11.0"/>
    <col customWidth="1" min="4" max="4" width="15.0"/>
    <col customWidth="1" min="5" max="5" width="16.0"/>
    <col customWidth="1" min="6" max="6" width="8.0"/>
    <col customWidth="1" min="7" max="7" width="7.0"/>
    <col customWidth="1" min="8" max="8" width="17.0"/>
    <col customWidth="1" min="9" max="9" width="14.0"/>
    <col customWidth="1" min="10" max="10" width="9.0"/>
    <col customWidth="1" min="11" max="11" width="50.0"/>
    <col customWidth="1" min="12" max="12" width="70.0"/>
    <col customWidth="1" min="13" max="13" width="20.0"/>
    <col customWidth="1" min="14" max="26" width="8.71"/>
  </cols>
  <sheetData>
    <row r="1" ht="17.25" customHeight="1">
      <c r="A1" s="1" t="s">
        <v>1055</v>
      </c>
    </row>
    <row r="2" ht="15.0" customHeight="1">
      <c r="A2" s="2" t="s">
        <v>1056</v>
      </c>
    </row>
    <row r="3">
      <c r="A3" s="4" t="s">
        <v>32</v>
      </c>
      <c r="B3" s="103" t="s">
        <v>1070</v>
      </c>
      <c r="C3" s="8"/>
      <c r="D3" s="8"/>
      <c r="E3" s="8"/>
      <c r="F3" s="8"/>
      <c r="G3" s="8"/>
      <c r="H3" s="8"/>
      <c r="I3" s="8"/>
      <c r="J3" s="8"/>
    </row>
    <row r="4">
      <c r="A4" s="4"/>
      <c r="B4" s="104"/>
      <c r="C4" s="8"/>
      <c r="D4" s="8"/>
      <c r="E4" s="8"/>
      <c r="F4" s="8"/>
      <c r="G4" s="8"/>
      <c r="H4" s="8"/>
      <c r="I4" s="8"/>
      <c r="J4" s="8"/>
    </row>
    <row r="5" ht="15.0" customHeight="1">
      <c r="B5" s="13" t="s">
        <v>1059</v>
      </c>
      <c r="C5" s="43">
        <f>Revenue!$C$5</f>
        <v>60</v>
      </c>
    </row>
    <row r="7" ht="34.5" customHeight="1">
      <c r="A7" s="12" t="s">
        <v>1060</v>
      </c>
      <c r="B7" s="12" t="s">
        <v>763</v>
      </c>
      <c r="C7" s="12" t="s">
        <v>1061</v>
      </c>
      <c r="D7" s="12" t="s">
        <v>1062</v>
      </c>
      <c r="E7" s="12" t="s">
        <v>1063</v>
      </c>
      <c r="F7" s="12" t="s">
        <v>1064</v>
      </c>
      <c r="G7" s="12" t="s">
        <v>1065</v>
      </c>
      <c r="H7" s="12" t="s">
        <v>1066</v>
      </c>
      <c r="I7" s="12" t="s">
        <v>1067</v>
      </c>
      <c r="J7" s="12" t="s">
        <v>1068</v>
      </c>
      <c r="K7" s="12" t="s">
        <v>808</v>
      </c>
      <c r="L7" s="15" t="s">
        <v>1069</v>
      </c>
      <c r="M7" s="105" t="s">
        <v>69</v>
      </c>
    </row>
    <row r="8" ht="27.0" customHeight="1">
      <c r="A8" s="13" t="s">
        <v>1071</v>
      </c>
      <c r="B8" s="13" t="s">
        <v>1072</v>
      </c>
      <c r="C8" s="43">
        <f>Inputs!$H$21</f>
        <v>150</v>
      </c>
      <c r="D8" s="16"/>
      <c r="E8" s="22">
        <f t="shared" ref="E8:E22" si="1">C8*D8</f>
        <v>0</v>
      </c>
      <c r="F8" s="21">
        <v>1.0</v>
      </c>
      <c r="G8" s="21">
        <v>1.0</v>
      </c>
      <c r="H8" s="41">
        <f>E8*IF(F8=1,Inputs!$H$77,1)*(1+Inputs!$H$18*G8)</f>
        <v>0</v>
      </c>
      <c r="I8" s="52">
        <f>H8/Inputs!$H$10</f>
        <v>0</v>
      </c>
      <c r="J8" s="36">
        <f t="shared" ref="J8:J37" si="2">H8/$H$37</f>
        <v>0</v>
      </c>
      <c r="K8" s="9" t="s">
        <v>1077</v>
      </c>
      <c r="L8" s="9" t="s">
        <v>1078</v>
      </c>
      <c r="M8" s="89" t="s">
        <v>82</v>
      </c>
    </row>
    <row r="9" ht="27.0" customHeight="1">
      <c r="A9" s="13" t="s">
        <v>1071</v>
      </c>
      <c r="B9" s="13" t="s">
        <v>1080</v>
      </c>
      <c r="C9" s="87">
        <f>C5</f>
        <v>60</v>
      </c>
      <c r="D9" s="16"/>
      <c r="E9" s="22">
        <f t="shared" si="1"/>
        <v>0</v>
      </c>
      <c r="F9" s="21">
        <v>1.0</v>
      </c>
      <c r="G9" s="21">
        <v>1.0</v>
      </c>
      <c r="H9" s="41">
        <f>E9*IF(F9=1,Inputs!$H$77,1)*(1+Inputs!$H$18*G9)</f>
        <v>0</v>
      </c>
      <c r="I9" s="52">
        <f>H9/Inputs!$H$10</f>
        <v>0</v>
      </c>
      <c r="J9" s="36">
        <f t="shared" si="2"/>
        <v>0</v>
      </c>
      <c r="K9" s="9" t="s">
        <v>1083</v>
      </c>
      <c r="L9" s="9" t="s">
        <v>1084</v>
      </c>
      <c r="M9" s="89" t="s">
        <v>82</v>
      </c>
    </row>
    <row r="10" ht="15.0" customHeight="1">
      <c r="A10" s="13" t="s">
        <v>1071</v>
      </c>
      <c r="B10" s="13" t="s">
        <v>1085</v>
      </c>
      <c r="C10" s="21">
        <v>1.0</v>
      </c>
      <c r="D10" s="22">
        <f>0.1*(E8+E9)</f>
        <v>0</v>
      </c>
      <c r="E10" s="22">
        <f t="shared" si="1"/>
        <v>0</v>
      </c>
      <c r="F10" s="21">
        <v>1.0</v>
      </c>
      <c r="G10" s="21">
        <v>1.0</v>
      </c>
      <c r="H10" s="41">
        <f>E10*IF(F10=1,Inputs!$H$77,1)*(1+Inputs!$H$18*G10)</f>
        <v>0</v>
      </c>
      <c r="I10" s="52">
        <f>H10/Inputs!$H$10</f>
        <v>0</v>
      </c>
      <c r="J10" s="36">
        <f t="shared" si="2"/>
        <v>0</v>
      </c>
      <c r="K10" s="9" t="s">
        <v>1087</v>
      </c>
      <c r="L10" s="9" t="s">
        <v>1088</v>
      </c>
      <c r="M10" s="89" t="s">
        <v>124</v>
      </c>
    </row>
    <row r="11" ht="40.5" customHeight="1">
      <c r="A11" s="13" t="s">
        <v>1071</v>
      </c>
      <c r="B11" s="13" t="s">
        <v>1089</v>
      </c>
      <c r="C11" s="21">
        <v>1.0</v>
      </c>
      <c r="D11" s="16"/>
      <c r="E11" s="22">
        <f t="shared" si="1"/>
        <v>0</v>
      </c>
      <c r="F11" s="21">
        <v>1.0</v>
      </c>
      <c r="G11" s="21">
        <v>1.0</v>
      </c>
      <c r="H11" s="41">
        <f>E11*IF(F11=1,Inputs!$H$77,1)*(1+Inputs!$H$18*G11)</f>
        <v>0</v>
      </c>
      <c r="I11" s="52">
        <f>H11/Inputs!$H$10</f>
        <v>0</v>
      </c>
      <c r="J11" s="36">
        <f t="shared" si="2"/>
        <v>0</v>
      </c>
      <c r="K11" s="9" t="s">
        <v>1094</v>
      </c>
      <c r="L11" s="109" t="s">
        <v>1095</v>
      </c>
      <c r="M11" s="84" t="s">
        <v>176</v>
      </c>
    </row>
    <row r="12" ht="15.0" customHeight="1">
      <c r="A12" s="13" t="s">
        <v>1071</v>
      </c>
      <c r="B12" s="13" t="s">
        <v>1099</v>
      </c>
      <c r="C12" s="21">
        <v>1.0</v>
      </c>
      <c r="D12" s="16"/>
      <c r="E12" s="22">
        <f t="shared" si="1"/>
        <v>0</v>
      </c>
      <c r="F12" s="21">
        <v>1.0</v>
      </c>
      <c r="G12" s="21">
        <v>1.0</v>
      </c>
      <c r="H12" s="41">
        <f>E12*IF(F12=1,Inputs!$H$77,1)*(1+Inputs!$H$18*G12)</f>
        <v>0</v>
      </c>
      <c r="I12" s="52">
        <f>H12/Inputs!$H$10</f>
        <v>0</v>
      </c>
      <c r="J12" s="36">
        <f t="shared" si="2"/>
        <v>0</v>
      </c>
      <c r="K12" s="9" t="s">
        <v>350</v>
      </c>
      <c r="L12" s="9" t="s">
        <v>1104</v>
      </c>
      <c r="M12" s="110" t="s">
        <v>91</v>
      </c>
    </row>
    <row r="13" ht="27.0" customHeight="1">
      <c r="A13" s="13" t="s">
        <v>1071</v>
      </c>
      <c r="B13" s="13" t="s">
        <v>1106</v>
      </c>
      <c r="C13" s="21">
        <v>1.0</v>
      </c>
      <c r="D13" s="16"/>
      <c r="E13" s="22">
        <f t="shared" si="1"/>
        <v>0</v>
      </c>
      <c r="F13" s="21">
        <v>1.0</v>
      </c>
      <c r="G13" s="21">
        <v>1.0</v>
      </c>
      <c r="H13" s="41">
        <f>E13*IF(F13=1,Inputs!$H$77,1)*(1+Inputs!$H$18*G13)</f>
        <v>0</v>
      </c>
      <c r="I13" s="52">
        <f>H13/Inputs!$H$10</f>
        <v>0</v>
      </c>
      <c r="J13" s="36">
        <f t="shared" si="2"/>
        <v>0</v>
      </c>
      <c r="K13" s="9" t="s">
        <v>350</v>
      </c>
      <c r="L13" s="9" t="s">
        <v>1110</v>
      </c>
      <c r="M13" s="110" t="s">
        <v>91</v>
      </c>
    </row>
    <row r="14" ht="15.0" customHeight="1">
      <c r="A14" s="13" t="s">
        <v>1071</v>
      </c>
      <c r="B14" s="13" t="s">
        <v>1111</v>
      </c>
      <c r="C14" s="21">
        <v>1.0</v>
      </c>
      <c r="D14" s="16"/>
      <c r="E14" s="22">
        <f t="shared" si="1"/>
        <v>0</v>
      </c>
      <c r="F14" s="21">
        <v>1.0</v>
      </c>
      <c r="G14" s="21">
        <v>1.0</v>
      </c>
      <c r="H14" s="41">
        <f>E14*IF(F14=1,Inputs!$H$77,1)*(1+Inputs!$H$18*G14)</f>
        <v>0</v>
      </c>
      <c r="I14" s="52">
        <f>H14/Inputs!$H$10</f>
        <v>0</v>
      </c>
      <c r="J14" s="36">
        <f t="shared" si="2"/>
        <v>0</v>
      </c>
      <c r="K14" s="9" t="s">
        <v>350</v>
      </c>
      <c r="L14" s="9" t="s">
        <v>1115</v>
      </c>
      <c r="M14" s="110" t="s">
        <v>91</v>
      </c>
    </row>
    <row r="15" ht="15.0" customHeight="1">
      <c r="A15" s="13" t="s">
        <v>1071</v>
      </c>
      <c r="B15" s="13" t="s">
        <v>1116</v>
      </c>
      <c r="C15" s="21">
        <v>1.0</v>
      </c>
      <c r="D15" s="16"/>
      <c r="E15" s="22">
        <f t="shared" si="1"/>
        <v>0</v>
      </c>
      <c r="F15" s="21">
        <v>1.0</v>
      </c>
      <c r="G15" s="21">
        <v>1.0</v>
      </c>
      <c r="H15" s="41">
        <f>E15*IF(F15=1,Inputs!$H$77,1)*(1+Inputs!$H$18*G15)</f>
        <v>0</v>
      </c>
      <c r="I15" s="52">
        <f>H15/Inputs!$H$10</f>
        <v>0</v>
      </c>
      <c r="J15" s="36">
        <f t="shared" si="2"/>
        <v>0</v>
      </c>
      <c r="K15" s="9" t="s">
        <v>350</v>
      </c>
      <c r="L15" s="9" t="s">
        <v>1110</v>
      </c>
      <c r="M15" s="110" t="s">
        <v>91</v>
      </c>
    </row>
    <row r="16" ht="27.0" customHeight="1">
      <c r="A16" s="13" t="s">
        <v>1071</v>
      </c>
      <c r="B16" s="13" t="s">
        <v>1118</v>
      </c>
      <c r="C16" s="21">
        <v>1.0</v>
      </c>
      <c r="D16" s="16"/>
      <c r="E16" s="22">
        <f t="shared" si="1"/>
        <v>0</v>
      </c>
      <c r="F16" s="21">
        <v>1.0</v>
      </c>
      <c r="G16" s="21">
        <v>1.0</v>
      </c>
      <c r="H16" s="41">
        <f>E16*IF(F16=1,Inputs!$H$77,1)*(1+Inputs!$H$18*G16)</f>
        <v>0</v>
      </c>
      <c r="I16" s="52">
        <f>H16/Inputs!$H$10</f>
        <v>0</v>
      </c>
      <c r="J16" s="36">
        <f t="shared" si="2"/>
        <v>0</v>
      </c>
      <c r="K16" s="9" t="s">
        <v>1122</v>
      </c>
      <c r="L16" s="109" t="s">
        <v>1123</v>
      </c>
      <c r="M16" s="84" t="s">
        <v>176</v>
      </c>
    </row>
    <row r="17" ht="27.0" customHeight="1">
      <c r="A17" s="13" t="s">
        <v>1071</v>
      </c>
      <c r="B17" s="13" t="s">
        <v>1125</v>
      </c>
      <c r="C17" s="21">
        <v>2.0</v>
      </c>
      <c r="D17" s="16"/>
      <c r="E17" s="22">
        <f t="shared" si="1"/>
        <v>0</v>
      </c>
      <c r="F17" s="21">
        <v>1.0</v>
      </c>
      <c r="G17" s="21">
        <v>1.0</v>
      </c>
      <c r="H17" s="41">
        <f>E17*IF(F17=1,Inputs!$H$77,1)*(1+Inputs!$H$18*G17)</f>
        <v>0</v>
      </c>
      <c r="I17" s="52">
        <f>H17/Inputs!$H$10</f>
        <v>0</v>
      </c>
      <c r="J17" s="36">
        <f t="shared" si="2"/>
        <v>0</v>
      </c>
      <c r="K17" s="9" t="s">
        <v>1128</v>
      </c>
      <c r="L17" s="109" t="s">
        <v>1129</v>
      </c>
      <c r="M17" s="84" t="s">
        <v>176</v>
      </c>
    </row>
    <row r="18" ht="15.0" customHeight="1">
      <c r="A18" s="13" t="s">
        <v>1071</v>
      </c>
      <c r="B18" s="13" t="s">
        <v>1130</v>
      </c>
      <c r="C18" s="21">
        <v>1.0</v>
      </c>
      <c r="D18" s="16"/>
      <c r="E18" s="22">
        <f t="shared" si="1"/>
        <v>0</v>
      </c>
      <c r="F18" s="21">
        <v>1.0</v>
      </c>
      <c r="G18" s="21">
        <v>1.0</v>
      </c>
      <c r="H18" s="41">
        <f>E18*IF(F18=1,Inputs!$H$77,1)*(1+Inputs!$H$18*G18)</f>
        <v>0</v>
      </c>
      <c r="I18" s="52">
        <f>H18/Inputs!$H$10</f>
        <v>0</v>
      </c>
      <c r="J18" s="36">
        <f t="shared" si="2"/>
        <v>0</v>
      </c>
      <c r="K18" s="9" t="s">
        <v>350</v>
      </c>
      <c r="L18" s="9" t="s">
        <v>1110</v>
      </c>
      <c r="M18" s="110" t="s">
        <v>91</v>
      </c>
    </row>
    <row r="19" ht="15.0" customHeight="1">
      <c r="A19" s="13" t="s">
        <v>1071</v>
      </c>
      <c r="B19" s="13" t="s">
        <v>1135</v>
      </c>
      <c r="C19" s="21">
        <v>1.0</v>
      </c>
      <c r="D19" s="16"/>
      <c r="E19" s="22">
        <f t="shared" si="1"/>
        <v>0</v>
      </c>
      <c r="F19" s="21">
        <v>1.0</v>
      </c>
      <c r="G19" s="21">
        <v>1.0</v>
      </c>
      <c r="H19" s="41">
        <f>E19*IF(F19=1,Inputs!$H$77,1)*(1+Inputs!$H$18*G19)</f>
        <v>0</v>
      </c>
      <c r="I19" s="52">
        <f>H19/Inputs!$H$10</f>
        <v>0</v>
      </c>
      <c r="J19" s="36">
        <f t="shared" si="2"/>
        <v>0</v>
      </c>
      <c r="K19" s="9" t="s">
        <v>350</v>
      </c>
      <c r="L19" s="9" t="s">
        <v>1138</v>
      </c>
      <c r="M19" s="110" t="s">
        <v>91</v>
      </c>
    </row>
    <row r="20" ht="15.0" customHeight="1">
      <c r="A20" s="13" t="s">
        <v>1071</v>
      </c>
      <c r="B20" s="13" t="s">
        <v>1139</v>
      </c>
      <c r="C20" s="21">
        <v>1.0</v>
      </c>
      <c r="D20" s="16"/>
      <c r="E20" s="22">
        <f t="shared" si="1"/>
        <v>0</v>
      </c>
      <c r="F20" s="21">
        <v>1.0</v>
      </c>
      <c r="G20" s="21">
        <v>1.0</v>
      </c>
      <c r="H20" s="41">
        <f>E20*IF(F20=1,Inputs!$H$77,1)*(1+Inputs!$H$18*G20)</f>
        <v>0</v>
      </c>
      <c r="I20" s="52">
        <f>H20/Inputs!$H$10</f>
        <v>0</v>
      </c>
      <c r="J20" s="36">
        <f t="shared" si="2"/>
        <v>0</v>
      </c>
      <c r="K20" s="9" t="s">
        <v>350</v>
      </c>
      <c r="L20" s="9" t="s">
        <v>1143</v>
      </c>
      <c r="M20" s="110" t="s">
        <v>91</v>
      </c>
    </row>
    <row r="21" ht="15.0" customHeight="1">
      <c r="A21" s="13" t="s">
        <v>1071</v>
      </c>
      <c r="B21" s="13" t="s">
        <v>1144</v>
      </c>
      <c r="C21" s="21">
        <v>1.0</v>
      </c>
      <c r="D21" s="16"/>
      <c r="E21" s="22">
        <f t="shared" si="1"/>
        <v>0</v>
      </c>
      <c r="F21" s="21">
        <v>1.0</v>
      </c>
      <c r="G21" s="21">
        <v>1.0</v>
      </c>
      <c r="H21" s="41">
        <f>E21*IF(F21=1,Inputs!$H$77,1)*(1+Inputs!$H$18*G21)</f>
        <v>0</v>
      </c>
      <c r="I21" s="52">
        <f>H21/Inputs!$H$10</f>
        <v>0</v>
      </c>
      <c r="J21" s="36">
        <f t="shared" si="2"/>
        <v>0</v>
      </c>
      <c r="K21" s="9" t="s">
        <v>1149</v>
      </c>
      <c r="L21" s="9" t="s">
        <v>1110</v>
      </c>
      <c r="M21" s="110" t="s">
        <v>91</v>
      </c>
    </row>
    <row r="22" ht="15.0" customHeight="1">
      <c r="A22" s="13" t="s">
        <v>1071</v>
      </c>
      <c r="B22" s="13" t="s">
        <v>1150</v>
      </c>
      <c r="C22" s="21">
        <v>1.0</v>
      </c>
      <c r="D22" s="16"/>
      <c r="E22" s="22">
        <f t="shared" si="1"/>
        <v>0</v>
      </c>
      <c r="F22" s="21">
        <v>1.0</v>
      </c>
      <c r="G22" s="21">
        <v>1.0</v>
      </c>
      <c r="H22" s="41">
        <f>E22*IF(F22=1,Inputs!$H$77,1)*(1+Inputs!$H$18*G22)</f>
        <v>0</v>
      </c>
      <c r="I22" s="52">
        <f>H22/Inputs!$H$10</f>
        <v>0</v>
      </c>
      <c r="J22" s="36">
        <f t="shared" si="2"/>
        <v>0</v>
      </c>
      <c r="K22" s="9" t="s">
        <v>1154</v>
      </c>
      <c r="L22" s="9" t="s">
        <v>1155</v>
      </c>
      <c r="M22" s="110" t="s">
        <v>91</v>
      </c>
    </row>
    <row r="23" ht="15.0" customHeight="1">
      <c r="B23" s="3" t="s">
        <v>1157</v>
      </c>
      <c r="H23" s="93">
        <f>SUM(H8:H22)</f>
        <v>0</v>
      </c>
      <c r="I23" s="52">
        <f>H23/Inputs!$H$10</f>
        <v>0</v>
      </c>
      <c r="J23" s="36">
        <f t="shared" si="2"/>
        <v>0</v>
      </c>
    </row>
    <row r="24" ht="15.0" customHeight="1">
      <c r="A24" s="13" t="s">
        <v>1160</v>
      </c>
      <c r="B24" s="13" t="s">
        <v>1161</v>
      </c>
      <c r="C24" s="21">
        <v>1.0</v>
      </c>
      <c r="D24" s="16"/>
      <c r="E24" s="22">
        <f t="shared" ref="E24:E30" si="3">C24*D24</f>
        <v>0</v>
      </c>
      <c r="F24" s="21">
        <v>0.0</v>
      </c>
      <c r="G24" s="21">
        <v>1.0</v>
      </c>
      <c r="H24" s="41">
        <f>E24*IF(F24=1,Inputs!$H$77,1)*(1+Inputs!$H$18*G24)</f>
        <v>0</v>
      </c>
      <c r="I24" s="52">
        <f>H24/Inputs!$H$10</f>
        <v>0</v>
      </c>
      <c r="J24" s="36">
        <f t="shared" si="2"/>
        <v>0</v>
      </c>
      <c r="K24" s="9" t="s">
        <v>1164</v>
      </c>
      <c r="L24" s="9" t="s">
        <v>1165</v>
      </c>
      <c r="M24" s="89" t="s">
        <v>82</v>
      </c>
    </row>
    <row r="25" ht="27.0" customHeight="1">
      <c r="A25" s="13" t="s">
        <v>1160</v>
      </c>
      <c r="B25" s="13" t="s">
        <v>1166</v>
      </c>
      <c r="C25" s="21">
        <v>1.0</v>
      </c>
      <c r="D25" s="16"/>
      <c r="E25" s="22">
        <f t="shared" si="3"/>
        <v>0</v>
      </c>
      <c r="F25" s="21">
        <v>0.0</v>
      </c>
      <c r="G25" s="21">
        <v>1.0</v>
      </c>
      <c r="H25" s="41">
        <f>E25*IF(F25=1,Inputs!$H$77,1)*(1+Inputs!$H$18*G25)</f>
        <v>0</v>
      </c>
      <c r="I25" s="52">
        <f>H25/Inputs!$H$10</f>
        <v>0</v>
      </c>
      <c r="J25" s="36">
        <f t="shared" si="2"/>
        <v>0</v>
      </c>
      <c r="K25" s="9" t="s">
        <v>1168</v>
      </c>
      <c r="L25" s="9" t="s">
        <v>1169</v>
      </c>
      <c r="M25" s="84" t="s">
        <v>176</v>
      </c>
    </row>
    <row r="26" ht="27.0" customHeight="1">
      <c r="A26" s="13" t="s">
        <v>1160</v>
      </c>
      <c r="B26" s="13" t="s">
        <v>1170</v>
      </c>
      <c r="C26" s="21">
        <v>1.0</v>
      </c>
      <c r="D26" s="16"/>
      <c r="E26" s="22">
        <f t="shared" si="3"/>
        <v>0</v>
      </c>
      <c r="F26" s="21">
        <v>0.0</v>
      </c>
      <c r="G26" s="21">
        <v>1.0</v>
      </c>
      <c r="H26" s="41">
        <f>E26*IF(F26=1,Inputs!$H$77,1)*(1+Inputs!$H$18*G26)</f>
        <v>0</v>
      </c>
      <c r="I26" s="52">
        <f>H26/Inputs!$H$10</f>
        <v>0</v>
      </c>
      <c r="J26" s="36">
        <f t="shared" si="2"/>
        <v>0</v>
      </c>
      <c r="K26" s="9" t="s">
        <v>1172</v>
      </c>
      <c r="L26" s="9" t="s">
        <v>1173</v>
      </c>
      <c r="M26" s="110" t="s">
        <v>91</v>
      </c>
    </row>
    <row r="27" ht="27.0" customHeight="1">
      <c r="A27" s="13" t="s">
        <v>1160</v>
      </c>
      <c r="B27" s="13" t="s">
        <v>1174</v>
      </c>
      <c r="C27" s="21">
        <v>1.0</v>
      </c>
      <c r="D27" s="16"/>
      <c r="E27" s="22">
        <f t="shared" si="3"/>
        <v>0</v>
      </c>
      <c r="F27" s="21">
        <v>0.0</v>
      </c>
      <c r="G27" s="21">
        <v>1.0</v>
      </c>
      <c r="H27" s="41">
        <f>E27*IF(F27=1,Inputs!$H$77,1)*(1+Inputs!$H$18*G27)</f>
        <v>0</v>
      </c>
      <c r="I27" s="52">
        <f>H27/Inputs!$H$10</f>
        <v>0</v>
      </c>
      <c r="J27" s="36">
        <f t="shared" si="2"/>
        <v>0</v>
      </c>
      <c r="K27" s="9" t="s">
        <v>1175</v>
      </c>
      <c r="L27" s="9" t="s">
        <v>1176</v>
      </c>
      <c r="M27" s="110" t="s">
        <v>91</v>
      </c>
    </row>
    <row r="28" ht="15.0" customHeight="1">
      <c r="A28" s="13" t="s">
        <v>1160</v>
      </c>
      <c r="B28" s="13" t="s">
        <v>1177</v>
      </c>
      <c r="C28" s="21">
        <v>1.0</v>
      </c>
      <c r="D28" s="16"/>
      <c r="E28" s="22">
        <f t="shared" si="3"/>
        <v>0</v>
      </c>
      <c r="F28" s="21">
        <v>0.0</v>
      </c>
      <c r="G28" s="21">
        <v>1.0</v>
      </c>
      <c r="H28" s="41">
        <f>E28*IF(F28=1,Inputs!$H$77,1)*(1+Inputs!$H$18*G28)</f>
        <v>0</v>
      </c>
      <c r="I28" s="52">
        <f>H28/Inputs!$H$10</f>
        <v>0</v>
      </c>
      <c r="J28" s="36">
        <f t="shared" si="2"/>
        <v>0</v>
      </c>
      <c r="K28" s="9" t="s">
        <v>1178</v>
      </c>
      <c r="L28" s="9" t="s">
        <v>1179</v>
      </c>
      <c r="M28" s="89" t="s">
        <v>82</v>
      </c>
    </row>
    <row r="29" ht="15.0" customHeight="1">
      <c r="A29" s="13" t="s">
        <v>1160</v>
      </c>
      <c r="B29" s="13" t="s">
        <v>1180</v>
      </c>
      <c r="C29" s="21">
        <v>1.0</v>
      </c>
      <c r="D29" s="16"/>
      <c r="E29" s="22">
        <f t="shared" si="3"/>
        <v>0</v>
      </c>
      <c r="F29" s="21">
        <v>0.0</v>
      </c>
      <c r="G29" s="21">
        <v>1.0</v>
      </c>
      <c r="H29" s="41">
        <f>E29*IF(F29=1,Inputs!$H$77,1)*(1+Inputs!$H$18*G29)</f>
        <v>0</v>
      </c>
      <c r="I29" s="52">
        <f>H29/Inputs!$H$10</f>
        <v>0</v>
      </c>
      <c r="J29" s="36">
        <f t="shared" si="2"/>
        <v>0</v>
      </c>
      <c r="K29" s="9" t="s">
        <v>350</v>
      </c>
      <c r="L29" s="9" t="s">
        <v>1143</v>
      </c>
      <c r="M29" s="110" t="s">
        <v>91</v>
      </c>
    </row>
    <row r="30" ht="15.0" customHeight="1">
      <c r="A30" s="13" t="s">
        <v>1160</v>
      </c>
      <c r="B30" s="13" t="s">
        <v>1182</v>
      </c>
      <c r="C30" s="74">
        <f>Inputs!$H$79</f>
        <v>1</v>
      </c>
      <c r="D30" s="41">
        <f>Staffing!$J$15</f>
        <v>166907330</v>
      </c>
      <c r="E30" s="22">
        <f t="shared" si="3"/>
        <v>166907330</v>
      </c>
      <c r="F30" s="21">
        <v>0.0</v>
      </c>
      <c r="G30" s="21">
        <v>0.0</v>
      </c>
      <c r="H30" s="22">
        <f>E30</f>
        <v>166907330</v>
      </c>
      <c r="I30" s="52">
        <f>H30/Inputs!$H$10</f>
        <v>7727.191204</v>
      </c>
      <c r="J30" s="36">
        <f t="shared" si="2"/>
        <v>0.1118146405</v>
      </c>
      <c r="K30" s="9" t="s">
        <v>1183</v>
      </c>
      <c r="L30" s="9" t="s">
        <v>1184</v>
      </c>
      <c r="M30" s="89" t="s">
        <v>82</v>
      </c>
    </row>
    <row r="31" ht="15.0" customHeight="1">
      <c r="B31" s="3" t="s">
        <v>1185</v>
      </c>
      <c r="H31" s="93">
        <f>SUM(H24:H30)</f>
        <v>166907330</v>
      </c>
      <c r="I31" s="52">
        <f>H31/Inputs!$H$10</f>
        <v>7727.191204</v>
      </c>
      <c r="J31" s="36">
        <f t="shared" si="2"/>
        <v>0.1118146405</v>
      </c>
    </row>
    <row r="32" ht="15.0" customHeight="1">
      <c r="A32" s="13" t="s">
        <v>1186</v>
      </c>
      <c r="B32" s="13" t="s">
        <v>1187</v>
      </c>
      <c r="C32" s="56">
        <f>Inputs!$H$78</f>
        <v>0.1</v>
      </c>
      <c r="H32" s="22">
        <f>C32*(H23+H31)</f>
        <v>16690733</v>
      </c>
      <c r="I32" s="52">
        <f>H32/Inputs!$H$10</f>
        <v>772.7191204</v>
      </c>
      <c r="J32" s="36">
        <f t="shared" si="2"/>
        <v>0.01118146405</v>
      </c>
      <c r="K32" s="9" t="s">
        <v>1189</v>
      </c>
      <c r="L32" s="9" t="s">
        <v>1190</v>
      </c>
      <c r="M32" s="89" t="s">
        <v>82</v>
      </c>
    </row>
    <row r="33" ht="15.0" customHeight="1">
      <c r="A33" s="13" t="s">
        <v>1192</v>
      </c>
      <c r="B33" s="13" t="s">
        <v>1193</v>
      </c>
      <c r="C33" s="43">
        <f>Inputs!$H$31</f>
        <v>2</v>
      </c>
      <c r="D33" s="41">
        <f>OPEX!$B$21+OPEX!$B$22</f>
        <v>37774218.75</v>
      </c>
      <c r="E33" s="22">
        <f t="shared" ref="E33:E36" si="4">C33*D33</f>
        <v>75548437.5</v>
      </c>
      <c r="H33" s="22">
        <f t="shared" ref="H33:H36" si="5">E33</f>
        <v>75548437.5</v>
      </c>
      <c r="I33" s="52">
        <f>H33/Inputs!$H$10</f>
        <v>3497.612847</v>
      </c>
      <c r="J33" s="36">
        <f t="shared" si="2"/>
        <v>0.05061144638</v>
      </c>
      <c r="K33" s="9" t="s">
        <v>1194</v>
      </c>
      <c r="L33" s="9" t="s">
        <v>1195</v>
      </c>
      <c r="M33" s="89" t="s">
        <v>82</v>
      </c>
    </row>
    <row r="34" ht="15.0" customHeight="1">
      <c r="A34" s="13" t="s">
        <v>1192</v>
      </c>
      <c r="B34" s="13" t="s">
        <v>1197</v>
      </c>
      <c r="C34" s="43">
        <f>Inputs!$H$29</f>
        <v>12</v>
      </c>
      <c r="D34" s="41">
        <f>OPEX!$B$21</f>
        <v>37774218.75</v>
      </c>
      <c r="E34" s="22">
        <f t="shared" si="4"/>
        <v>453290625</v>
      </c>
      <c r="H34" s="22">
        <f t="shared" si="5"/>
        <v>453290625</v>
      </c>
      <c r="I34" s="52">
        <f>H34/Inputs!$H$10</f>
        <v>20985.67708</v>
      </c>
      <c r="J34" s="36">
        <f t="shared" si="2"/>
        <v>0.3036686783</v>
      </c>
      <c r="K34" s="9" t="s">
        <v>1198</v>
      </c>
      <c r="L34" s="9" t="s">
        <v>1199</v>
      </c>
      <c r="M34" s="89" t="s">
        <v>82</v>
      </c>
    </row>
    <row r="35" ht="15.0" customHeight="1">
      <c r="A35" s="13" t="s">
        <v>1192</v>
      </c>
      <c r="B35" s="13" t="s">
        <v>1200</v>
      </c>
      <c r="C35" s="43">
        <f>Inputs!$H$30</f>
        <v>2</v>
      </c>
      <c r="D35" s="41">
        <f>OPEX!$B$21</f>
        <v>37774218.75</v>
      </c>
      <c r="E35" s="22">
        <f t="shared" si="4"/>
        <v>75548437.5</v>
      </c>
      <c r="H35" s="22">
        <f t="shared" si="5"/>
        <v>75548437.5</v>
      </c>
      <c r="I35" s="52">
        <f>H35/Inputs!$H$10</f>
        <v>3497.612847</v>
      </c>
      <c r="J35" s="36">
        <f t="shared" si="2"/>
        <v>0.05061144638</v>
      </c>
      <c r="K35" s="9" t="s">
        <v>1202</v>
      </c>
      <c r="L35" s="9" t="s">
        <v>1199</v>
      </c>
      <c r="M35" s="89" t="s">
        <v>82</v>
      </c>
    </row>
    <row r="36" ht="27.0" customHeight="1">
      <c r="A36" s="13" t="s">
        <v>1203</v>
      </c>
      <c r="B36" s="13" t="s">
        <v>1204</v>
      </c>
      <c r="C36" s="74">
        <f>Inputs!$H$80</f>
        <v>3</v>
      </c>
      <c r="D36" s="41">
        <f>Staffing!$J$15+OPEX!$B$13+OPEX!$B$18</f>
        <v>234909630</v>
      </c>
      <c r="E36" s="22">
        <f t="shared" si="4"/>
        <v>704728890</v>
      </c>
      <c r="H36" s="22">
        <f t="shared" si="5"/>
        <v>704728890</v>
      </c>
      <c r="I36" s="52">
        <f>H36/Inputs!$H$10</f>
        <v>32626.3375</v>
      </c>
      <c r="J36" s="36">
        <f t="shared" si="2"/>
        <v>0.4721123244</v>
      </c>
      <c r="K36" s="9" t="s">
        <v>1206</v>
      </c>
      <c r="L36" s="9" t="s">
        <v>1207</v>
      </c>
      <c r="M36" s="89" t="s">
        <v>82</v>
      </c>
    </row>
    <row r="37" ht="15.0" customHeight="1">
      <c r="B37" s="3" t="s">
        <v>1208</v>
      </c>
      <c r="H37" s="46">
        <f>H23+H31+H32+SUM(H33:H35)+H36</f>
        <v>1492714453</v>
      </c>
      <c r="I37" s="119">
        <f>H37/Inputs!$H$10</f>
        <v>69107.1506</v>
      </c>
      <c r="J37" s="36">
        <f t="shared" si="2"/>
        <v>1</v>
      </c>
    </row>
    <row r="38" ht="15.75" customHeight="1"/>
    <row r="39" ht="15.0" customHeight="1">
      <c r="B39" s="3" t="s">
        <v>1210</v>
      </c>
    </row>
    <row r="40" ht="15.0" customHeight="1">
      <c r="B40" s="13" t="s">
        <v>1211</v>
      </c>
      <c r="H40" s="41">
        <f>SUMPRODUCT(E8:E22,1+Inputs!$H$18*G8:G22)</f>
        <v>0</v>
      </c>
    </row>
    <row r="41" ht="15.0" customHeight="1">
      <c r="B41" s="13" t="s">
        <v>1213</v>
      </c>
      <c r="H41" s="22">
        <f>SUM(H24:H29)</f>
        <v>0</v>
      </c>
    </row>
    <row r="42" ht="15.0" customHeight="1">
      <c r="B42" s="13" t="s">
        <v>1214</v>
      </c>
      <c r="H42" s="22">
        <f>H23*(1+C32)</f>
        <v>0</v>
      </c>
    </row>
    <row r="43" ht="15.0" customHeight="1">
      <c r="B43" s="13" t="s">
        <v>1217</v>
      </c>
      <c r="H43" s="22">
        <f>H37-H36</f>
        <v>787985563</v>
      </c>
    </row>
    <row r="44" ht="15.75" customHeight="1"/>
    <row r="45" ht="15.0" customHeight="1">
      <c r="B45" s="2" t="s">
        <v>1218</v>
      </c>
    </row>
    <row r="46" ht="15.75" customHeight="1"/>
    <row r="47" ht="15.75" customHeight="1"/>
    <row r="48" ht="15.75" customHeight="1">
      <c r="A48" s="60" t="s">
        <v>1219</v>
      </c>
    </row>
    <row r="49" ht="27.0" customHeight="1">
      <c r="A49" s="61" t="s">
        <v>624</v>
      </c>
      <c r="B49" s="63"/>
      <c r="C49" s="61" t="s">
        <v>631</v>
      </c>
      <c r="D49" s="63"/>
      <c r="E49" s="61" t="s">
        <v>633</v>
      </c>
      <c r="F49" s="62"/>
      <c r="G49" s="63"/>
      <c r="H49" s="61" t="s">
        <v>636</v>
      </c>
      <c r="I49" s="62"/>
      <c r="J49" s="62"/>
      <c r="K49" s="63"/>
      <c r="L49" s="15" t="s">
        <v>69</v>
      </c>
    </row>
    <row r="50" ht="15.0" customHeight="1">
      <c r="A50" s="64" t="s">
        <v>1220</v>
      </c>
      <c r="B50" s="66"/>
      <c r="C50" s="67">
        <f>Inputs!H77</f>
        <v>1</v>
      </c>
      <c r="D50" s="66"/>
      <c r="E50" s="64" t="s">
        <v>1221</v>
      </c>
      <c r="F50" s="65"/>
      <c r="G50" s="66"/>
      <c r="H50" s="64" t="s">
        <v>1222</v>
      </c>
      <c r="I50" s="65"/>
      <c r="J50" s="65"/>
      <c r="K50" s="66"/>
      <c r="L50" s="99" t="s">
        <v>91</v>
      </c>
    </row>
    <row r="51" ht="15.0" customHeight="1">
      <c r="A51" s="64" t="s">
        <v>1224</v>
      </c>
      <c r="B51" s="66"/>
      <c r="C51" s="79">
        <f>Inputs!H18</f>
        <v>0.11</v>
      </c>
      <c r="D51" s="66"/>
      <c r="E51" s="64" t="s">
        <v>1225</v>
      </c>
      <c r="F51" s="65"/>
      <c r="G51" s="66"/>
      <c r="H51" s="64" t="s">
        <v>1226</v>
      </c>
      <c r="I51" s="65"/>
      <c r="J51" s="65"/>
      <c r="K51" s="66"/>
      <c r="L51" s="70" t="s">
        <v>124</v>
      </c>
    </row>
    <row r="52" ht="15.0" customHeight="1">
      <c r="A52" s="64" t="s">
        <v>1227</v>
      </c>
      <c r="B52" s="66"/>
      <c r="C52" s="79">
        <f>Inputs!H78</f>
        <v>0.1</v>
      </c>
      <c r="D52" s="66"/>
      <c r="E52" s="64" t="s">
        <v>1221</v>
      </c>
      <c r="F52" s="65"/>
      <c r="G52" s="66"/>
      <c r="H52" s="64" t="s">
        <v>1228</v>
      </c>
      <c r="I52" s="65"/>
      <c r="J52" s="65"/>
      <c r="K52" s="66"/>
      <c r="L52" s="70" t="s">
        <v>82</v>
      </c>
    </row>
    <row r="53" ht="15.0" customHeight="1">
      <c r="A53" s="64" t="s">
        <v>1229</v>
      </c>
      <c r="B53" s="66"/>
      <c r="C53" s="67">
        <f>'CAPEX (Rent)'!C5</f>
        <v>60</v>
      </c>
      <c r="D53" s="66"/>
      <c r="E53" s="64" t="s">
        <v>933</v>
      </c>
      <c r="F53" s="65"/>
      <c r="G53" s="66"/>
      <c r="H53" s="64" t="s">
        <v>1230</v>
      </c>
      <c r="I53" s="65"/>
      <c r="J53" s="65"/>
      <c r="K53" s="66"/>
      <c r="L53" s="70" t="s">
        <v>82</v>
      </c>
    </row>
    <row r="54" ht="15.0" customHeight="1">
      <c r="A54" s="64" t="s">
        <v>1231</v>
      </c>
      <c r="B54" s="66"/>
      <c r="C54" s="67">
        <f>Inputs!H10</f>
        <v>21600</v>
      </c>
      <c r="D54" s="66"/>
      <c r="E54" s="64" t="s">
        <v>1232</v>
      </c>
      <c r="F54" s="65"/>
      <c r="G54" s="66"/>
      <c r="H54" s="64" t="s">
        <v>1233</v>
      </c>
      <c r="I54" s="65"/>
      <c r="J54" s="65"/>
      <c r="K54" s="66"/>
      <c r="L54" s="70" t="s">
        <v>124</v>
      </c>
    </row>
    <row r="55" ht="27.0" customHeight="1">
      <c r="A55" s="64" t="s">
        <v>1234</v>
      </c>
      <c r="B55" s="66"/>
      <c r="C55" s="76" t="s">
        <v>665</v>
      </c>
      <c r="D55" s="66"/>
      <c r="E55" s="64" t="s">
        <v>1236</v>
      </c>
      <c r="F55" s="65"/>
      <c r="G55" s="66"/>
      <c r="H55" s="64" t="s">
        <v>1237</v>
      </c>
      <c r="I55" s="65"/>
      <c r="J55" s="65"/>
      <c r="K55" s="66"/>
      <c r="L55" s="77" t="s">
        <v>176</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49:B49"/>
    <mergeCell ref="C49:D49"/>
    <mergeCell ref="E49:G49"/>
    <mergeCell ref="H49:K49"/>
    <mergeCell ref="C50:D50"/>
    <mergeCell ref="E50:G50"/>
    <mergeCell ref="H50:K50"/>
    <mergeCell ref="E52:G52"/>
    <mergeCell ref="H52:K52"/>
    <mergeCell ref="A50:B50"/>
    <mergeCell ref="A51:B51"/>
    <mergeCell ref="C51:D51"/>
    <mergeCell ref="E51:G51"/>
    <mergeCell ref="H51:K51"/>
    <mergeCell ref="A52:B52"/>
    <mergeCell ref="C52:D52"/>
    <mergeCell ref="A54:B54"/>
    <mergeCell ref="A55:B55"/>
    <mergeCell ref="C55:D55"/>
    <mergeCell ref="E55:G55"/>
    <mergeCell ref="H55:K55"/>
    <mergeCell ref="A53:B53"/>
    <mergeCell ref="C53:D53"/>
    <mergeCell ref="E53:G53"/>
    <mergeCell ref="H53:K53"/>
    <mergeCell ref="C54:D54"/>
    <mergeCell ref="E54:G54"/>
    <mergeCell ref="H54:K54"/>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0"/>
    <col customWidth="1" min="2" max="2" width="20.0"/>
    <col customWidth="1" min="3" max="3" width="18.0"/>
    <col customWidth="1" min="4" max="4" width="50.0"/>
    <col customWidth="1" min="5" max="26" width="8.71"/>
  </cols>
  <sheetData>
    <row r="1" ht="17.25" customHeight="1">
      <c r="A1" s="88" t="s">
        <v>1073</v>
      </c>
    </row>
    <row r="2" ht="15.0" customHeight="1">
      <c r="A2" s="2" t="s">
        <v>1074</v>
      </c>
    </row>
    <row r="3">
      <c r="A3" s="4" t="s">
        <v>1075</v>
      </c>
      <c r="B3" s="8" t="s">
        <v>1076</v>
      </c>
      <c r="C3" s="8"/>
      <c r="D3" s="8"/>
    </row>
    <row r="4">
      <c r="A4" s="4"/>
      <c r="B4" s="8" t="s">
        <v>1079</v>
      </c>
      <c r="C4" s="8"/>
      <c r="D4" s="8"/>
    </row>
    <row r="5">
      <c r="A5" s="4"/>
      <c r="B5" s="8" t="s">
        <v>1081</v>
      </c>
      <c r="C5" s="8"/>
      <c r="D5" s="8"/>
    </row>
    <row r="6" ht="15.0" customHeight="1">
      <c r="A6" s="12" t="s">
        <v>763</v>
      </c>
      <c r="B6" s="12" t="s">
        <v>210</v>
      </c>
      <c r="C6" s="12" t="s">
        <v>388</v>
      </c>
      <c r="D6" s="12" t="s">
        <v>839</v>
      </c>
    </row>
    <row r="7" ht="15.0" customHeight="1">
      <c r="A7" s="13" t="s">
        <v>1082</v>
      </c>
      <c r="B7" s="90">
        <f>'CAPEX (Buy)'!$H$37</f>
        <v>5092222453</v>
      </c>
      <c r="C7" s="107">
        <f>B7/Inputs!$H$10</f>
        <v>235751.0395</v>
      </c>
      <c r="D7" s="9"/>
    </row>
    <row r="8" ht="15.0" customHeight="1">
      <c r="A8" s="13" t="s">
        <v>404</v>
      </c>
      <c r="B8" s="90">
        <f>Inputs!$H$82*Inputs!$H$10</f>
        <v>4320000000</v>
      </c>
      <c r="C8" s="107">
        <f>B8/Inputs!$H$10</f>
        <v>200000</v>
      </c>
      <c r="D8" s="9" t="s">
        <v>1086</v>
      </c>
    </row>
    <row r="9" ht="15.0" customHeight="1">
      <c r="A9" s="3" t="s">
        <v>413</v>
      </c>
      <c r="B9" s="108">
        <f>B7-B8</f>
        <v>772222453</v>
      </c>
      <c r="C9" s="107">
        <f>B9/Inputs!$H$10</f>
        <v>35751.03949</v>
      </c>
      <c r="D9" s="9"/>
    </row>
    <row r="10" ht="34.5" customHeight="1">
      <c r="A10" s="3" t="s">
        <v>1090</v>
      </c>
      <c r="B10" s="90">
        <f>IF(Inputs!$H$83=1,MAX(0,B9),0)</f>
        <v>772222453</v>
      </c>
      <c r="C10" s="107">
        <f>B10/Inputs!$H$10</f>
        <v>35751.03949</v>
      </c>
      <c r="D10" s="9" t="s">
        <v>1096</v>
      </c>
    </row>
    <row r="11" ht="15.0" customHeight="1">
      <c r="A11" s="3" t="s">
        <v>1098</v>
      </c>
      <c r="B11" s="108">
        <f>MAX(0,B7-B8-B10)</f>
        <v>0</v>
      </c>
      <c r="C11" s="107">
        <f>B11/Inputs!$H$10</f>
        <v>0</v>
      </c>
      <c r="D11" s="9" t="s">
        <v>1101</v>
      </c>
    </row>
    <row r="12" ht="15.0" customHeight="1">
      <c r="A12" s="13" t="s">
        <v>1103</v>
      </c>
      <c r="B12" s="108">
        <f>MAX(0,B8-B7)</f>
        <v>0</v>
      </c>
      <c r="C12" s="107">
        <f>B12/Inputs!$H$10</f>
        <v>0</v>
      </c>
      <c r="D12" s="9"/>
    </row>
    <row r="13" ht="15.0" customHeight="1">
      <c r="A13" s="13" t="s">
        <v>1105</v>
      </c>
      <c r="B13" s="90">
        <f>'CAPEX (Buy)'!$H$36+B12</f>
        <v>704728890</v>
      </c>
      <c r="C13" s="107">
        <f>B13/Inputs!$H$10</f>
        <v>32626.3375</v>
      </c>
      <c r="D13" s="9" t="s">
        <v>1107</v>
      </c>
    </row>
    <row r="14">
      <c r="B14" s="94"/>
      <c r="C14" s="94"/>
    </row>
    <row r="15" ht="15.0" customHeight="1">
      <c r="A15" s="3" t="s">
        <v>1108</v>
      </c>
      <c r="B15" s="94"/>
      <c r="C15" s="94"/>
    </row>
    <row r="16" ht="15.0" customHeight="1">
      <c r="A16" s="13" t="s">
        <v>1109</v>
      </c>
      <c r="B16" s="95">
        <f>Inputs!$H$84</f>
        <v>0.105</v>
      </c>
      <c r="C16" s="94"/>
    </row>
    <row r="17" ht="15.0" customHeight="1">
      <c r="A17" s="13" t="s">
        <v>1112</v>
      </c>
      <c r="B17" s="111">
        <f>Inputs!$H$85</f>
        <v>48</v>
      </c>
      <c r="C17" s="94"/>
    </row>
    <row r="18" ht="15.0" customHeight="1">
      <c r="A18" s="13" t="s">
        <v>1113</v>
      </c>
      <c r="B18" s="108">
        <f>IF(B10&gt;0,PMT(B16/12,B17,-B10),0)</f>
        <v>19771504.72</v>
      </c>
      <c r="C18" s="107">
        <f>B18/Inputs!$H$10</f>
        <v>915.3474406</v>
      </c>
    </row>
    <row r="19" ht="15.0" customHeight="1">
      <c r="A19" s="13" t="s">
        <v>1117</v>
      </c>
      <c r="B19" s="113">
        <f>IFERROR(Annual!D11/(B18*12),"n/a")</f>
        <v>0.6546153362</v>
      </c>
      <c r="C19" s="94"/>
      <c r="D19" s="13" t="s">
        <v>1119</v>
      </c>
    </row>
    <row r="20">
      <c r="B20" s="94"/>
      <c r="C20" s="94"/>
    </row>
    <row r="21" ht="15.0" customHeight="1">
      <c r="A21" s="3" t="s">
        <v>1120</v>
      </c>
      <c r="B21" s="94"/>
      <c r="C21" s="94"/>
    </row>
    <row r="22" ht="15.0" customHeight="1">
      <c r="A22" s="13" t="s">
        <v>1121</v>
      </c>
      <c r="B22" s="90">
        <f>Inputs!$H$87*Inputs!$H$86</f>
        <v>2500000000</v>
      </c>
      <c r="C22" s="107">
        <f>B22/Inputs!$H$10</f>
        <v>115740.7407</v>
      </c>
    </row>
    <row r="23" ht="15.0" customHeight="1">
      <c r="A23" s="13" t="s">
        <v>1124</v>
      </c>
      <c r="B23" s="115" t="str">
        <f>IF(B8&gt;=B22,"OK – equity covers paid-up capital","SHORT by "&amp;TEXT(B22-B8,"#,##0")&amp;" IDR")</f>
        <v>OK – equity covers paid-up capital</v>
      </c>
      <c r="C23" s="94"/>
    </row>
    <row r="24" ht="15.0" customHeight="1">
      <c r="A24" s="13" t="s">
        <v>1127</v>
      </c>
      <c r="B24" s="90">
        <f>Inputs!$H$88*Inputs!$H$86</f>
        <v>10000000000</v>
      </c>
      <c r="C24" s="107">
        <f>B24/Inputs!$H$10</f>
        <v>462962.963</v>
      </c>
    </row>
    <row r="25" ht="15.0" customHeight="1">
      <c r="A25" s="13" t="s">
        <v>1131</v>
      </c>
      <c r="B25" s="116">
        <f>B7/B24</f>
        <v>0.5092222453</v>
      </c>
      <c r="C25" s="94"/>
      <c r="D25" s="13" t="s">
        <v>1133</v>
      </c>
    </row>
    <row r="26" ht="15.75" customHeight="1">
      <c r="B26" s="94"/>
      <c r="C26" s="94"/>
    </row>
    <row r="27" ht="15.0" customHeight="1">
      <c r="A27" s="2" t="s">
        <v>1134</v>
      </c>
    </row>
    <row r="28" ht="15.75" customHeight="1"/>
    <row r="29" ht="15.75" customHeight="1"/>
    <row r="30" ht="15.75" customHeight="1"/>
    <row r="31" ht="15.75" customHeight="1"/>
    <row r="32" ht="15.75" customHeight="1">
      <c r="A32" s="60" t="s">
        <v>1136</v>
      </c>
    </row>
    <row r="33" ht="27.0" customHeight="1">
      <c r="A33" s="15" t="s">
        <v>624</v>
      </c>
      <c r="B33" s="15" t="s">
        <v>631</v>
      </c>
      <c r="C33" s="61" t="s">
        <v>633</v>
      </c>
      <c r="D33" s="63"/>
      <c r="E33" s="61" t="s">
        <v>636</v>
      </c>
      <c r="F33" s="62"/>
      <c r="G33" s="62"/>
      <c r="H33" s="62"/>
      <c r="I33" s="62"/>
      <c r="J33" s="62"/>
      <c r="K33" s="62"/>
      <c r="L33" s="62"/>
      <c r="M33" s="63"/>
      <c r="N33" s="61" t="s">
        <v>69</v>
      </c>
      <c r="O33" s="62"/>
      <c r="P33" s="63"/>
    </row>
    <row r="34" ht="15.0" customHeight="1">
      <c r="A34" s="80" t="s">
        <v>1140</v>
      </c>
      <c r="B34" s="81">
        <f>Funding!B7</f>
        <v>5092222453</v>
      </c>
      <c r="C34" s="64" t="s">
        <v>1141</v>
      </c>
      <c r="D34" s="66"/>
      <c r="E34" s="64" t="s">
        <v>1142</v>
      </c>
      <c r="F34" s="65"/>
      <c r="G34" s="65"/>
      <c r="H34" s="65"/>
      <c r="I34" s="65"/>
      <c r="J34" s="65"/>
      <c r="K34" s="65"/>
      <c r="L34" s="65"/>
      <c r="M34" s="66"/>
      <c r="N34" s="72" t="s">
        <v>176</v>
      </c>
      <c r="O34" s="65"/>
      <c r="P34" s="66"/>
    </row>
    <row r="35" ht="15.0" customHeight="1">
      <c r="A35" s="80" t="s">
        <v>1145</v>
      </c>
      <c r="B35" s="81">
        <f>Funding!B8</f>
        <v>4320000000</v>
      </c>
      <c r="C35" s="64" t="s">
        <v>1146</v>
      </c>
      <c r="D35" s="66"/>
      <c r="E35" s="64" t="s">
        <v>1147</v>
      </c>
      <c r="F35" s="65"/>
      <c r="G35" s="65"/>
      <c r="H35" s="65"/>
      <c r="I35" s="65"/>
      <c r="J35" s="65"/>
      <c r="K35" s="65"/>
      <c r="L35" s="65"/>
      <c r="M35" s="66"/>
      <c r="N35" s="78" t="s">
        <v>153</v>
      </c>
      <c r="O35" s="65"/>
      <c r="P35" s="66"/>
    </row>
    <row r="36" ht="15.0" customHeight="1">
      <c r="A36" s="80" t="s">
        <v>1148</v>
      </c>
      <c r="B36" s="101">
        <f>Funding!B16</f>
        <v>0.105</v>
      </c>
      <c r="C36" s="64" t="s">
        <v>1151</v>
      </c>
      <c r="D36" s="66"/>
      <c r="E36" s="64" t="s">
        <v>1152</v>
      </c>
      <c r="F36" s="65"/>
      <c r="G36" s="65"/>
      <c r="H36" s="65"/>
      <c r="I36" s="65"/>
      <c r="J36" s="65"/>
      <c r="K36" s="65"/>
      <c r="L36" s="65"/>
      <c r="M36" s="66"/>
      <c r="N36" s="69" t="s">
        <v>82</v>
      </c>
      <c r="O36" s="65"/>
      <c r="P36" s="66"/>
    </row>
    <row r="37" ht="15.0" customHeight="1">
      <c r="A37" s="80" t="s">
        <v>1153</v>
      </c>
      <c r="B37" s="117">
        <f>Funding!B19</f>
        <v>0.6546153362</v>
      </c>
      <c r="C37" s="64" t="s">
        <v>665</v>
      </c>
      <c r="D37" s="66"/>
      <c r="E37" s="64" t="s">
        <v>1158</v>
      </c>
      <c r="F37" s="65"/>
      <c r="G37" s="65"/>
      <c r="H37" s="65"/>
      <c r="I37" s="65"/>
      <c r="J37" s="65"/>
      <c r="K37" s="65"/>
      <c r="L37" s="65"/>
      <c r="M37" s="66"/>
      <c r="N37" s="75" t="s">
        <v>91</v>
      </c>
      <c r="O37" s="65"/>
      <c r="P37" s="66"/>
    </row>
    <row r="38" ht="15.0" customHeight="1">
      <c r="A38" s="80" t="s">
        <v>1159</v>
      </c>
      <c r="B38" s="81">
        <f>Funding!B22</f>
        <v>2500000000</v>
      </c>
      <c r="C38" s="64" t="s">
        <v>753</v>
      </c>
      <c r="D38" s="66"/>
      <c r="E38" s="64" t="s">
        <v>1163</v>
      </c>
      <c r="F38" s="65"/>
      <c r="G38" s="65"/>
      <c r="H38" s="65"/>
      <c r="I38" s="65"/>
      <c r="J38" s="65"/>
      <c r="K38" s="65"/>
      <c r="L38" s="65"/>
      <c r="M38" s="66"/>
      <c r="N38" s="69" t="s">
        <v>124</v>
      </c>
      <c r="O38" s="65"/>
      <c r="P38" s="66"/>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E35:M35"/>
    <mergeCell ref="N35:P35"/>
    <mergeCell ref="C33:D33"/>
    <mergeCell ref="E33:M33"/>
    <mergeCell ref="N33:P33"/>
    <mergeCell ref="C34:D34"/>
    <mergeCell ref="E34:M34"/>
    <mergeCell ref="N34:P34"/>
    <mergeCell ref="C35:D35"/>
    <mergeCell ref="E38:M38"/>
    <mergeCell ref="N38:P38"/>
    <mergeCell ref="C36:D36"/>
    <mergeCell ref="E36:M36"/>
    <mergeCell ref="N36:P36"/>
    <mergeCell ref="C37:D37"/>
    <mergeCell ref="E37:M37"/>
    <mergeCell ref="N37:P37"/>
    <mergeCell ref="C38:D38"/>
  </mergeCells>
  <printOptions/>
  <pageMargins bottom="1.0" footer="0.0" header="0.0" left="0.75" right="0.75" top="1.0"/>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52.0"/>
    <col customWidth="1" min="2" max="2" width="10.0"/>
    <col customWidth="1" min="3" max="6" width="17.0"/>
    <col customWidth="1" min="7" max="7" width="40.0"/>
    <col customWidth="1" min="8" max="26" width="8.71"/>
  </cols>
  <sheetData>
    <row r="1" ht="17.25" customHeight="1">
      <c r="A1" s="1" t="s">
        <v>1091</v>
      </c>
    </row>
    <row r="2" ht="15.0" customHeight="1">
      <c r="A2" s="2" t="s">
        <v>1092</v>
      </c>
    </row>
    <row r="3">
      <c r="A3" s="103" t="s">
        <v>1093</v>
      </c>
      <c r="B3" s="8"/>
      <c r="C3" s="8"/>
    </row>
    <row r="4" ht="15.0" customHeight="1">
      <c r="A4" s="12" t="s">
        <v>1097</v>
      </c>
      <c r="B4" s="12" t="s">
        <v>57</v>
      </c>
      <c r="C4" s="12" t="s">
        <v>59</v>
      </c>
      <c r="D4" s="12" t="s">
        <v>60</v>
      </c>
      <c r="E4" s="12" t="s">
        <v>61</v>
      </c>
      <c r="F4" s="12" t="s">
        <v>62</v>
      </c>
      <c r="G4" s="12" t="s">
        <v>839</v>
      </c>
    </row>
    <row r="5" ht="15.0" customHeight="1">
      <c r="A5" s="18" t="s">
        <v>1100</v>
      </c>
      <c r="B5" s="19"/>
      <c r="C5" s="19"/>
      <c r="D5" s="19"/>
      <c r="E5" s="19"/>
      <c r="F5" s="19"/>
      <c r="G5" s="19"/>
    </row>
    <row r="6" ht="15.0" customHeight="1">
      <c r="A6" s="13" t="s">
        <v>1102</v>
      </c>
      <c r="B6" s="13" t="s">
        <v>34</v>
      </c>
      <c r="C6" s="43">
        <f>Inputs!$E$33+Inputs!$E$35+Inputs!$E$37+Inputs!$E$39</f>
        <v>155</v>
      </c>
      <c r="D6" s="43">
        <f>Inputs!$F$33+Inputs!$F$35+Inputs!$F$37+Inputs!$F$39</f>
        <v>200</v>
      </c>
      <c r="E6" s="43">
        <f>Inputs!$G$33+Inputs!$G$35+Inputs!$G$37+Inputs!$G$39</f>
        <v>255</v>
      </c>
      <c r="F6" s="112">
        <f>CHOOSE(Inputs!$D$4,C6,D6,E6)</f>
        <v>200</v>
      </c>
      <c r="G6" s="13"/>
    </row>
    <row r="7" ht="15.0" customHeight="1">
      <c r="A7" s="13" t="s">
        <v>1114</v>
      </c>
      <c r="B7" s="13" t="s">
        <v>210</v>
      </c>
      <c r="C7" s="41">
        <f>Inputs!$E$33*Inputs!$E$34+Inputs!$E$35*Inputs!$E$36+Inputs!$E$37*Inputs!$E$38+Inputs!$E$39*Inputs!$E$40</f>
        <v>14400000</v>
      </c>
      <c r="D7" s="41">
        <f>Inputs!$F$33*Inputs!$F$34+Inputs!$F$35*Inputs!$F$36+Inputs!$F$37*Inputs!$F$38+Inputs!$F$39*Inputs!$F$40</f>
        <v>20675000</v>
      </c>
      <c r="E7" s="41">
        <f>Inputs!$G$33*Inputs!$G$34+Inputs!$G$35*Inputs!$G$36+Inputs!$G$37*Inputs!$G$38+Inputs!$G$39*Inputs!$G$40</f>
        <v>29550000</v>
      </c>
      <c r="F7" s="114">
        <f>CHOOSE(Inputs!$D$4,C7,D7,E7)</f>
        <v>20675000</v>
      </c>
      <c r="G7" s="13"/>
    </row>
    <row r="8" ht="15.0" customHeight="1">
      <c r="A8" s="13" t="s">
        <v>1126</v>
      </c>
      <c r="B8" s="13" t="s">
        <v>210</v>
      </c>
      <c r="C8" s="22">
        <f t="shared" ref="C8:E8" si="1">C7/C6</f>
        <v>92903.22581</v>
      </c>
      <c r="D8" s="22">
        <f t="shared" si="1"/>
        <v>103375</v>
      </c>
      <c r="E8" s="22">
        <f t="shared" si="1"/>
        <v>115882.3529</v>
      </c>
      <c r="F8" s="114">
        <f>CHOOSE(Inputs!$D$4,C8,D8,E8)</f>
        <v>103375</v>
      </c>
      <c r="G8" s="13"/>
    </row>
    <row r="9" ht="15.0" customHeight="1">
      <c r="A9" s="13" t="s">
        <v>1132</v>
      </c>
      <c r="B9" s="13" t="s">
        <v>210</v>
      </c>
      <c r="C9" s="41">
        <f>Inputs!$E$41*Inputs!$E$42</f>
        <v>1500000</v>
      </c>
      <c r="D9" s="41">
        <f>Inputs!$F$41*Inputs!$F$42</f>
        <v>2875000</v>
      </c>
      <c r="E9" s="41">
        <f>Inputs!$G$41*Inputs!$G$42</f>
        <v>4550000</v>
      </c>
      <c r="F9" s="114">
        <f>CHOOSE(Inputs!$D$4,C9,D9,E9)</f>
        <v>2875000</v>
      </c>
      <c r="G9" s="13"/>
    </row>
    <row r="10" ht="15.0" customHeight="1">
      <c r="A10" s="13" t="s">
        <v>1137</v>
      </c>
      <c r="B10" s="13" t="s">
        <v>210</v>
      </c>
      <c r="C10" s="41">
        <f>(C7+C9)*Inputs!$E$12</f>
        <v>477000000</v>
      </c>
      <c r="D10" s="41">
        <f>(D7+D9)*Inputs!$F$12</f>
        <v>706500000</v>
      </c>
      <c r="E10" s="41">
        <f>(E7+E9)*Inputs!$G$12</f>
        <v>1023000000</v>
      </c>
      <c r="F10" s="114">
        <f>CHOOSE(Inputs!$D$4,C10,D10,E10)</f>
        <v>706500000</v>
      </c>
      <c r="G10" s="13"/>
    </row>
    <row r="11" ht="15.0" customHeight="1">
      <c r="A11" s="13" t="s">
        <v>891</v>
      </c>
      <c r="B11" s="13" t="s">
        <v>210</v>
      </c>
      <c r="C11" s="41">
        <f>Inputs!$E$44</f>
        <v>0</v>
      </c>
      <c r="D11" s="41">
        <f>Inputs!$F$44</f>
        <v>15000000</v>
      </c>
      <c r="E11" s="41">
        <f>Inputs!$G$44</f>
        <v>25000000</v>
      </c>
      <c r="F11" s="114">
        <f>CHOOSE(Inputs!$D$4,C11,D11,E11)</f>
        <v>15000000</v>
      </c>
      <c r="G11" s="13"/>
    </row>
    <row r="12" ht="15.0" customHeight="1">
      <c r="A12" s="13" t="s">
        <v>895</v>
      </c>
      <c r="B12" s="13" t="s">
        <v>210</v>
      </c>
      <c r="C12" s="41">
        <f>C10*Inputs!$E$45</f>
        <v>4770000</v>
      </c>
      <c r="D12" s="41">
        <f>D10*Inputs!$F$45</f>
        <v>14130000</v>
      </c>
      <c r="E12" s="41">
        <f>E10*Inputs!$G$45</f>
        <v>35805000</v>
      </c>
      <c r="F12" s="114">
        <f>CHOOSE(Inputs!$D$4,C12,D12,E12)</f>
        <v>14130000</v>
      </c>
      <c r="G12" s="13"/>
    </row>
    <row r="13" ht="15.0" customHeight="1">
      <c r="A13" s="3" t="s">
        <v>1156</v>
      </c>
      <c r="B13" s="13" t="s">
        <v>210</v>
      </c>
      <c r="C13" s="93">
        <f t="shared" ref="C13:E13" si="2">C10+C11+C12</f>
        <v>481770000</v>
      </c>
      <c r="D13" s="93">
        <f t="shared" si="2"/>
        <v>735630000</v>
      </c>
      <c r="E13" s="93">
        <f t="shared" si="2"/>
        <v>1083805000</v>
      </c>
      <c r="F13" s="114">
        <f>CHOOSE(Inputs!$D$4,C13,D13,E13)</f>
        <v>735630000</v>
      </c>
      <c r="G13" s="13"/>
    </row>
    <row r="14" ht="15.0" customHeight="1">
      <c r="A14" s="13" t="s">
        <v>1162</v>
      </c>
      <c r="B14" s="13" t="s">
        <v>388</v>
      </c>
      <c r="C14" s="52">
        <f>C13*12/Inputs!$E$10</f>
        <v>282011.7073</v>
      </c>
      <c r="D14" s="52">
        <f>D13*12/Inputs!$F$10</f>
        <v>408683.3333</v>
      </c>
      <c r="E14" s="52">
        <f>E13*12/Inputs!$G$10</f>
        <v>578029.3333</v>
      </c>
      <c r="F14" s="118">
        <f>CHOOSE(Inputs!$D$4,C14,D14,E14)</f>
        <v>408683.3333</v>
      </c>
      <c r="G14" s="13"/>
    </row>
    <row r="15" ht="15.0" customHeight="1">
      <c r="A15" s="18" t="s">
        <v>1167</v>
      </c>
      <c r="B15" s="19"/>
      <c r="C15" s="19"/>
      <c r="D15" s="19"/>
      <c r="E15" s="19"/>
      <c r="F15" s="19"/>
      <c r="G15" s="19"/>
    </row>
    <row r="16" ht="15.0" customHeight="1">
      <c r="A16" s="13" t="s">
        <v>1171</v>
      </c>
      <c r="B16" s="13" t="s">
        <v>210</v>
      </c>
      <c r="C16" s="41">
        <f>C10*(Menu!$E$29+Inputs!$E$49)+C11*Inputs!$E$50+C12*Inputs!$E$51</f>
        <v>153668704</v>
      </c>
      <c r="D16" s="41">
        <f>D10*(Menu!$E$29+Inputs!$F$49)+D11*Inputs!$F$50+D12*Inputs!$F$51</f>
        <v>215191146.4</v>
      </c>
      <c r="E16" s="41">
        <f>E10*(Menu!$E$29+Inputs!$G$49)+E11*Inputs!$G$50+E12*Inputs!$G$51</f>
        <v>297680714.1</v>
      </c>
      <c r="F16" s="114">
        <f>CHOOSE(Inputs!$D$4,C16,D16,E16)</f>
        <v>215191146.4</v>
      </c>
      <c r="G16" s="13"/>
    </row>
    <row r="17" ht="15.0" customHeight="1">
      <c r="A17" s="13" t="s">
        <v>1181</v>
      </c>
      <c r="B17" s="13" t="s">
        <v>210</v>
      </c>
      <c r="C17" s="41">
        <f>(C7*Inputs!$E$43+C9)*Inputs!$E$12*Inputs!$E$52</f>
        <v>10476000</v>
      </c>
      <c r="D17" s="41">
        <f>(D7*Inputs!$F$43+D9)*Inputs!$F$12*Inputs!$F$52</f>
        <v>13616250</v>
      </c>
      <c r="E17" s="41">
        <f>(E7*Inputs!$G$43+E9)*Inputs!$G$12*Inputs!$G$52</f>
        <v>16098000</v>
      </c>
      <c r="F17" s="114">
        <f>CHOOSE(Inputs!$D$4,C17,D17,E17)</f>
        <v>13616250</v>
      </c>
      <c r="G17" s="13"/>
    </row>
    <row r="18" ht="15.0" customHeight="1">
      <c r="A18" s="13" t="s">
        <v>1188</v>
      </c>
      <c r="B18" s="13" t="s">
        <v>210</v>
      </c>
      <c r="C18" s="41">
        <f>C10*Inputs!$E$53</f>
        <v>9540000</v>
      </c>
      <c r="D18" s="41">
        <f>D10*Inputs!$F$53</f>
        <v>10597500</v>
      </c>
      <c r="E18" s="41">
        <f>E10*Inputs!$G$53</f>
        <v>10230000</v>
      </c>
      <c r="F18" s="114">
        <f>CHOOSE(Inputs!$D$4,C18,D18,E18)</f>
        <v>10597500</v>
      </c>
      <c r="G18" s="13"/>
    </row>
    <row r="19" ht="15.0" customHeight="1">
      <c r="A19" s="13" t="s">
        <v>1191</v>
      </c>
      <c r="B19" s="13" t="s">
        <v>210</v>
      </c>
      <c r="C19" s="41">
        <f>C9*Inputs!$E$12*Inputs!$E$54*(1+Inputs!$E$18)</f>
        <v>13986000</v>
      </c>
      <c r="D19" s="41">
        <f>D9*Inputs!$F$12*Inputs!$F$54*(1+Inputs!$F$18)</f>
        <v>22019625</v>
      </c>
      <c r="E19" s="41">
        <f>E9*Inputs!$G$12*Inputs!$G$54*(1+Inputs!$G$18)</f>
        <v>30303000</v>
      </c>
      <c r="F19" s="114">
        <f>CHOOSE(Inputs!$D$4,C19,D19,E19)</f>
        <v>22019625</v>
      </c>
      <c r="G19" s="13"/>
    </row>
    <row r="20" ht="15.0" customHeight="1">
      <c r="A20" s="13" t="s">
        <v>1196</v>
      </c>
      <c r="B20" s="13" t="s">
        <v>210</v>
      </c>
      <c r="C20" s="41">
        <f>(C13-C9*Inputs!$E$12)*Inputs!$E$55</f>
        <v>6551550</v>
      </c>
      <c r="D20" s="41">
        <f>(D13-D9*Inputs!$F$12)*Inputs!$F$55</f>
        <v>7792560</v>
      </c>
      <c r="E20" s="41">
        <f>(E13-E9*Inputs!$G$12)*Inputs!$G$55</f>
        <v>8525745</v>
      </c>
      <c r="F20" s="114">
        <f>CHOOSE(Inputs!$D$4,C20,D20,E20)</f>
        <v>7792560</v>
      </c>
      <c r="G20" s="13"/>
    </row>
    <row r="21" ht="15.0" customHeight="1">
      <c r="A21" s="13" t="s">
        <v>1201</v>
      </c>
      <c r="B21" s="13" t="s">
        <v>210</v>
      </c>
      <c r="C21" s="41">
        <f>C13*(Inputs!$E$56+Inputs!$E$57+Inputs!$E$58+Inputs!$E$59)</f>
        <v>36132750</v>
      </c>
      <c r="D21" s="41">
        <f>D13*(Inputs!$F$56+Inputs!$F$57+Inputs!$F$58+Inputs!$F$59)</f>
        <v>40459650</v>
      </c>
      <c r="E21" s="41">
        <f>E13*(Inputs!$G$56+Inputs!$G$57+Inputs!$G$58+Inputs!$G$59)</f>
        <v>43352200</v>
      </c>
      <c r="F21" s="114">
        <f>CHOOSE(Inputs!$D$4,C21,D21,E21)</f>
        <v>40459650</v>
      </c>
      <c r="G21" s="13"/>
    </row>
    <row r="22" ht="15.0" customHeight="1">
      <c r="A22" s="3" t="s">
        <v>1205</v>
      </c>
      <c r="B22" s="13" t="s">
        <v>210</v>
      </c>
      <c r="C22" s="93">
        <f t="shared" ref="C22:E22" si="3">SUM(C16:C21)</f>
        <v>230355004</v>
      </c>
      <c r="D22" s="93">
        <f t="shared" si="3"/>
        <v>309676731.4</v>
      </c>
      <c r="E22" s="93">
        <f t="shared" si="3"/>
        <v>406189659.1</v>
      </c>
      <c r="F22" s="114">
        <f>CHOOSE(Inputs!$D$4,C22,D22,E22)</f>
        <v>309676731.4</v>
      </c>
      <c r="G22" s="13"/>
    </row>
    <row r="23" ht="15.0" customHeight="1">
      <c r="A23" s="3" t="s">
        <v>1209</v>
      </c>
      <c r="B23" s="13" t="s">
        <v>210</v>
      </c>
      <c r="C23" s="93">
        <f t="shared" ref="C23:E23" si="4">C13-C22</f>
        <v>251414996</v>
      </c>
      <c r="D23" s="93">
        <f t="shared" si="4"/>
        <v>425953268.6</v>
      </c>
      <c r="E23" s="93">
        <f t="shared" si="4"/>
        <v>677615340.9</v>
      </c>
      <c r="F23" s="114">
        <f>CHOOSE(Inputs!$D$4,C23,D23,E23)</f>
        <v>425953268.6</v>
      </c>
      <c r="G23" s="13"/>
    </row>
    <row r="24" ht="15.0" customHeight="1">
      <c r="A24" s="13" t="s">
        <v>1212</v>
      </c>
      <c r="B24" s="13" t="s">
        <v>99</v>
      </c>
      <c r="C24" s="36">
        <f t="shared" ref="C24:E24" si="5">C23/C13</f>
        <v>0.5218568945</v>
      </c>
      <c r="D24" s="36">
        <f t="shared" si="5"/>
        <v>0.5790319435</v>
      </c>
      <c r="E24" s="36">
        <f t="shared" si="5"/>
        <v>0.6252188732</v>
      </c>
      <c r="F24" s="120">
        <f>CHOOSE(Inputs!$D$4,C24,D24,E24)</f>
        <v>0.5790319435</v>
      </c>
      <c r="G24" s="13"/>
    </row>
    <row r="25" ht="15.0" customHeight="1">
      <c r="A25" s="18" t="s">
        <v>1215</v>
      </c>
      <c r="B25" s="19"/>
      <c r="C25" s="19"/>
      <c r="D25" s="19"/>
      <c r="E25" s="19"/>
      <c r="F25" s="19"/>
      <c r="G25" s="19"/>
    </row>
    <row r="26" ht="15.0" customHeight="1">
      <c r="A26" s="13" t="s">
        <v>1216</v>
      </c>
      <c r="B26" s="13" t="s">
        <v>210</v>
      </c>
      <c r="C26" s="41">
        <f>Staffing!$J$17*Inputs!$E$62*(1+Inputs!$E$63+Inputs!$E$64)+Staffing!$B$15*Inputs!$E$65</f>
        <v>185573283</v>
      </c>
      <c r="D26" s="41">
        <f>Staffing!$J$17*Inputs!$F$62*(1+Inputs!$F$63+Inputs!$F$64)+Staffing!$B$15*Inputs!$F$65</f>
        <v>166907330</v>
      </c>
      <c r="E26" s="41">
        <f>Staffing!$J$17*Inputs!$G$62*(1+Inputs!$G$63+Inputs!$G$64)+Staffing!$B$15*Inputs!$G$65</f>
        <v>161881030</v>
      </c>
      <c r="F26" s="114">
        <f>CHOOSE(Inputs!$D$4,C26,D26,E26)</f>
        <v>166907330</v>
      </c>
      <c r="G26" s="13"/>
    </row>
    <row r="27" ht="15.0" customHeight="1">
      <c r="A27" s="13" t="s">
        <v>1223</v>
      </c>
      <c r="B27" s="13" t="s">
        <v>210</v>
      </c>
      <c r="C27" s="41">
        <f>Inputs!$E$25*Inputs!$E$21*Inputs!$E$22*(1+Inputs!$E$27)</f>
        <v>70364535.95</v>
      </c>
      <c r="D27" s="41">
        <f>Inputs!$F$25*Inputs!$F$21*Inputs!$F$22*(1+Inputs!$F$27)</f>
        <v>37774218.75</v>
      </c>
      <c r="E27" s="41">
        <f>Inputs!$G$25*Inputs!$G$21*Inputs!$G$22*(1+Inputs!$G$27)</f>
        <v>30774207.59</v>
      </c>
      <c r="F27" s="114">
        <f>CHOOSE(Inputs!$D$4,C27,D27,E27)</f>
        <v>37774218.75</v>
      </c>
      <c r="G27" s="13"/>
    </row>
    <row r="28" ht="15.0" customHeight="1">
      <c r="A28" s="13" t="s">
        <v>889</v>
      </c>
      <c r="B28" s="13" t="s">
        <v>210</v>
      </c>
      <c r="C28" s="41">
        <f>Inputs!$E$26*Inputs!$E$21*Inputs!$E$22</f>
        <v>0</v>
      </c>
      <c r="D28" s="41">
        <f>Inputs!$F$26*Inputs!$F$21*Inputs!$F$22</f>
        <v>0</v>
      </c>
      <c r="E28" s="41">
        <f>Inputs!$G$26*Inputs!$G$21*Inputs!$G$22</f>
        <v>0</v>
      </c>
      <c r="F28" s="114">
        <f>CHOOSE(Inputs!$D$4,C28,D28,E28)</f>
        <v>0</v>
      </c>
      <c r="G28" s="13"/>
    </row>
    <row r="29" ht="15.0" customHeight="1">
      <c r="A29" s="13" t="s">
        <v>510</v>
      </c>
      <c r="B29" s="13" t="s">
        <v>210</v>
      </c>
      <c r="C29" s="41">
        <f>Inputs!$E$73*Inputs!$E$74+Inputs!$E$75</f>
        <v>23891700</v>
      </c>
      <c r="D29" s="41">
        <f>Inputs!$F$73*Inputs!$F$74+Inputs!$F$75</f>
        <v>19002300</v>
      </c>
      <c r="E29" s="41">
        <f>Inputs!$G$73*Inputs!$G$74+Inputs!$G$75</f>
        <v>15835250</v>
      </c>
      <c r="F29" s="114">
        <f>CHOOSE(Inputs!$D$4,C29,D29,E29)</f>
        <v>19002300</v>
      </c>
      <c r="G29" s="13"/>
    </row>
    <row r="30" ht="15.0" customHeight="1">
      <c r="A30" s="13" t="s">
        <v>1235</v>
      </c>
      <c r="B30" s="13" t="s">
        <v>210</v>
      </c>
      <c r="C30" s="41">
        <f>SUM(Inputs!E67:E72)</f>
        <v>61000000</v>
      </c>
      <c r="D30" s="41">
        <f>SUM(Inputs!F67:F72)</f>
        <v>49000000</v>
      </c>
      <c r="E30" s="41">
        <f>SUM(Inputs!G67:G72)</f>
        <v>39000000</v>
      </c>
      <c r="F30" s="114">
        <f>CHOOSE(Inputs!$D$4,C30,D30,E30)</f>
        <v>49000000</v>
      </c>
      <c r="G30" s="13"/>
    </row>
    <row r="31" ht="15.0" customHeight="1">
      <c r="A31" s="3" t="s">
        <v>1238</v>
      </c>
      <c r="B31" s="13" t="s">
        <v>210</v>
      </c>
      <c r="C31" s="93">
        <f t="shared" ref="C31:E31" si="6">SUM(C26:C30)</f>
        <v>340829519</v>
      </c>
      <c r="D31" s="93">
        <f t="shared" si="6"/>
        <v>272683848.8</v>
      </c>
      <c r="E31" s="93">
        <f t="shared" si="6"/>
        <v>247490487.6</v>
      </c>
      <c r="F31" s="114">
        <f>CHOOSE(Inputs!$D$4,C31,D31,E31)</f>
        <v>272683848.8</v>
      </c>
      <c r="G31" s="13"/>
    </row>
    <row r="32" ht="15.0" customHeight="1">
      <c r="A32" s="13" t="s">
        <v>1239</v>
      </c>
      <c r="B32" s="13" t="s">
        <v>210</v>
      </c>
      <c r="C32" s="22">
        <f t="shared" ref="C32:E32" si="7">C31-C27-C28</f>
        <v>270464983</v>
      </c>
      <c r="D32" s="22">
        <f t="shared" si="7"/>
        <v>234909630</v>
      </c>
      <c r="E32" s="22">
        <f t="shared" si="7"/>
        <v>216716280</v>
      </c>
      <c r="F32" s="114">
        <f>CHOOSE(Inputs!$D$4,C32,D32,E32)</f>
        <v>234909630</v>
      </c>
      <c r="G32" s="13"/>
    </row>
    <row r="33" ht="15.0" customHeight="1">
      <c r="A33" s="18" t="s">
        <v>1240</v>
      </c>
      <c r="B33" s="19"/>
      <c r="C33" s="19"/>
      <c r="D33" s="19"/>
      <c r="E33" s="19"/>
      <c r="F33" s="19"/>
      <c r="G33" s="19"/>
    </row>
    <row r="34" ht="15.0" customHeight="1">
      <c r="A34" s="3" t="s">
        <v>1241</v>
      </c>
      <c r="B34" s="13" t="s">
        <v>210</v>
      </c>
      <c r="C34" s="93">
        <f t="shared" ref="C34:E34" si="8">C23-C31</f>
        <v>-89414522.91</v>
      </c>
      <c r="D34" s="93">
        <f t="shared" si="8"/>
        <v>153269419.8</v>
      </c>
      <c r="E34" s="93">
        <f t="shared" si="8"/>
        <v>430124853.3</v>
      </c>
      <c r="F34" s="114">
        <f>CHOOSE(Inputs!$D$4,C34,D34,E34)</f>
        <v>153269419.8</v>
      </c>
      <c r="G34" s="13"/>
    </row>
    <row r="35" ht="15.0" customHeight="1">
      <c r="A35" s="13" t="s">
        <v>638</v>
      </c>
      <c r="B35" s="13" t="s">
        <v>99</v>
      </c>
      <c r="C35" s="36">
        <f t="shared" ref="C35:E35" si="9">C34/C13</f>
        <v>-0.1855958713</v>
      </c>
      <c r="D35" s="36">
        <f t="shared" si="9"/>
        <v>0.2083512361</v>
      </c>
      <c r="E35" s="36">
        <f t="shared" si="9"/>
        <v>0.3968655369</v>
      </c>
      <c r="F35" s="120">
        <f>CHOOSE(Inputs!$D$4,C35,D35,E35)</f>
        <v>0.2083512361</v>
      </c>
      <c r="G35" s="13"/>
    </row>
    <row r="36" ht="15.0" customHeight="1">
      <c r="A36" s="13" t="s">
        <v>1242</v>
      </c>
      <c r="B36" s="13" t="s">
        <v>388</v>
      </c>
      <c r="C36" s="52">
        <f>C34*12/Inputs!$E$10</f>
        <v>-52340.20853</v>
      </c>
      <c r="D36" s="52">
        <f>D34*12/Inputs!$F$10</f>
        <v>85149.67768</v>
      </c>
      <c r="E36" s="52">
        <f>E34*12/Inputs!$G$10</f>
        <v>229399.9217</v>
      </c>
      <c r="F36" s="118">
        <f>CHOOSE(Inputs!$D$4,C36,D36,E36)</f>
        <v>85149.67768</v>
      </c>
      <c r="G36" s="13"/>
    </row>
    <row r="37" ht="15.0" customHeight="1">
      <c r="A37" s="13" t="s">
        <v>1243</v>
      </c>
      <c r="B37" s="13" t="s">
        <v>99</v>
      </c>
      <c r="C37" s="36">
        <f t="shared" ref="C37:E37" si="10">C16/C13</f>
        <v>0.3189669426</v>
      </c>
      <c r="D37" s="36">
        <f t="shared" si="10"/>
        <v>0.2925263331</v>
      </c>
      <c r="E37" s="36">
        <f t="shared" si="10"/>
        <v>0.2746626138</v>
      </c>
      <c r="F37" s="120">
        <f>CHOOSE(Inputs!$D$4,C37,D37,E37)</f>
        <v>0.2925263331</v>
      </c>
      <c r="G37" s="13"/>
    </row>
    <row r="38" ht="15.0" customHeight="1">
      <c r="A38" s="13" t="s">
        <v>1244</v>
      </c>
      <c r="B38" s="13" t="s">
        <v>99</v>
      </c>
      <c r="C38" s="36">
        <f t="shared" ref="C38:E38" si="11">C26/C13</f>
        <v>0.3851906159</v>
      </c>
      <c r="D38" s="36">
        <f t="shared" si="11"/>
        <v>0.2268903253</v>
      </c>
      <c r="E38" s="36">
        <f t="shared" si="11"/>
        <v>0.1493636125</v>
      </c>
      <c r="F38" s="120">
        <f>CHOOSE(Inputs!$D$4,C38,D38,E38)</f>
        <v>0.2268903253</v>
      </c>
      <c r="G38" s="13"/>
    </row>
    <row r="39" ht="15.0" customHeight="1">
      <c r="A39" s="13" t="s">
        <v>564</v>
      </c>
      <c r="B39" s="13" t="s">
        <v>99</v>
      </c>
      <c r="C39" s="36">
        <f t="shared" ref="C39:E39" si="12">(C16+C26)/C13</f>
        <v>0.7041575585</v>
      </c>
      <c r="D39" s="36">
        <f t="shared" si="12"/>
        <v>0.5194166584</v>
      </c>
      <c r="E39" s="36">
        <f t="shared" si="12"/>
        <v>0.4240262263</v>
      </c>
      <c r="F39" s="120">
        <f>CHOOSE(Inputs!$D$4,C39,D39,E39)</f>
        <v>0.5194166584</v>
      </c>
      <c r="G39" s="13" t="s">
        <v>1245</v>
      </c>
    </row>
    <row r="40" ht="15.0" customHeight="1">
      <c r="A40" s="13" t="s">
        <v>570</v>
      </c>
      <c r="B40" s="13" t="s">
        <v>99</v>
      </c>
      <c r="C40" s="36">
        <f t="shared" ref="C40:E40" si="13">(C27+C28)/C13</f>
        <v>0.1460542083</v>
      </c>
      <c r="D40" s="36">
        <f t="shared" si="13"/>
        <v>0.05134948106</v>
      </c>
      <c r="E40" s="36">
        <f t="shared" si="13"/>
        <v>0.02839459828</v>
      </c>
      <c r="F40" s="120">
        <f>CHOOSE(Inputs!$D$4,C40,D40,E40)</f>
        <v>0.05134948106</v>
      </c>
      <c r="G40" s="13" t="s">
        <v>1246</v>
      </c>
    </row>
    <row r="41" ht="15.0" customHeight="1">
      <c r="A41" s="18" t="s">
        <v>1247</v>
      </c>
      <c r="B41" s="19"/>
      <c r="C41" s="19"/>
      <c r="D41" s="19"/>
      <c r="E41" s="19"/>
      <c r="F41" s="19"/>
      <c r="G41" s="19"/>
    </row>
    <row r="42" ht="15.0" customHeight="1">
      <c r="A42" s="13" t="s">
        <v>1248</v>
      </c>
      <c r="B42" s="13" t="s">
        <v>210</v>
      </c>
      <c r="C42" s="22">
        <f t="shared" ref="C42:E42" si="14">IFERROR(C31/C24,0)</f>
        <v>653109161.9</v>
      </c>
      <c r="D42" s="22">
        <f t="shared" si="14"/>
        <v>470930579.6</v>
      </c>
      <c r="E42" s="22">
        <f t="shared" si="14"/>
        <v>395846156</v>
      </c>
      <c r="F42" s="114">
        <f>CHOOSE(Inputs!$D$4,C42,D42,E42)</f>
        <v>470930579.6</v>
      </c>
      <c r="G42" s="13"/>
    </row>
    <row r="43" ht="15.0" customHeight="1">
      <c r="A43" s="3" t="s">
        <v>1249</v>
      </c>
      <c r="B43" s="13" t="s">
        <v>210</v>
      </c>
      <c r="C43" s="121">
        <f>C42/Inputs!$E$12</f>
        <v>21770305.4</v>
      </c>
      <c r="D43" s="121">
        <f>D42/Inputs!$F$12</f>
        <v>15697685.99</v>
      </c>
      <c r="E43" s="121">
        <f>E42/Inputs!$G$12</f>
        <v>13194871.87</v>
      </c>
      <c r="F43" s="114">
        <f>CHOOSE(Inputs!$D$4,C43,D43,E43)</f>
        <v>15697685.99</v>
      </c>
      <c r="G43" s="13"/>
    </row>
    <row r="44" ht="15.0" customHeight="1">
      <c r="A44" s="13" t="s">
        <v>191</v>
      </c>
      <c r="B44" s="13" t="s">
        <v>388</v>
      </c>
      <c r="C44" s="52">
        <f>C43/Inputs!$E$10</f>
        <v>1061.966117</v>
      </c>
      <c r="D44" s="52">
        <f>D43/Inputs!$F$10</f>
        <v>726.7447216</v>
      </c>
      <c r="E44" s="52">
        <f>E43/Inputs!$G$10</f>
        <v>586.4387496</v>
      </c>
      <c r="F44" s="118">
        <f>CHOOSE(Inputs!$D$4,C44,D44,E44)</f>
        <v>726.7447216</v>
      </c>
      <c r="G44" s="13"/>
    </row>
    <row r="45" ht="15.0" customHeight="1">
      <c r="A45" s="13" t="s">
        <v>1250</v>
      </c>
      <c r="B45" s="13" t="s">
        <v>34</v>
      </c>
      <c r="C45" s="87">
        <f t="shared" ref="C45:E45" si="15">C6*C42/C13</f>
        <v>210.1249976</v>
      </c>
      <c r="D45" s="87">
        <f t="shared" si="15"/>
        <v>128.0346314</v>
      </c>
      <c r="E45" s="87">
        <f t="shared" si="15"/>
        <v>93.13554539</v>
      </c>
      <c r="F45" s="112">
        <f>CHOOSE(Inputs!$D$4,C45,D45,E45)</f>
        <v>128.0346314</v>
      </c>
      <c r="G45" s="13"/>
    </row>
    <row r="46" ht="15.0" customHeight="1">
      <c r="A46" s="13" t="s">
        <v>1251</v>
      </c>
      <c r="B46" s="13" t="s">
        <v>99</v>
      </c>
      <c r="C46" s="36">
        <f t="shared" ref="C46:E46" si="16">1-C42/C13</f>
        <v>-0.3556451457</v>
      </c>
      <c r="D46" s="36">
        <f t="shared" si="16"/>
        <v>0.3598268428</v>
      </c>
      <c r="E46" s="36">
        <f t="shared" si="16"/>
        <v>0.6347625671</v>
      </c>
      <c r="F46" s="120">
        <f>CHOOSE(Inputs!$D$4,C46,D46,E46)</f>
        <v>0.3598268428</v>
      </c>
      <c r="G46" s="13"/>
    </row>
    <row r="47" ht="15.0" customHeight="1">
      <c r="A47" s="18" t="s">
        <v>1252</v>
      </c>
      <c r="B47" s="19"/>
      <c r="C47" s="19"/>
      <c r="D47" s="19"/>
      <c r="E47" s="19"/>
      <c r="F47" s="19"/>
      <c r="G47" s="19"/>
    </row>
    <row r="48" ht="15.0" customHeight="1">
      <c r="A48" s="13" t="s">
        <v>1253</v>
      </c>
      <c r="B48" s="13" t="s">
        <v>210</v>
      </c>
      <c r="C48" s="41">
        <f>'CAPEX (Buy)'!$H$40*Inputs!$E$77</f>
        <v>2984457000</v>
      </c>
      <c r="D48" s="41">
        <f>'CAPEX (Buy)'!$H$40*Inputs!$F$77</f>
        <v>2595180000</v>
      </c>
      <c r="E48" s="41">
        <f>'CAPEX (Buy)'!$H$40*Inputs!$G$77</f>
        <v>2465421000</v>
      </c>
      <c r="F48" s="114">
        <f>CHOOSE(Inputs!$D$4,C48,D48,E48)</f>
        <v>2595180000</v>
      </c>
      <c r="G48" s="13"/>
    </row>
    <row r="49" ht="15.0" customHeight="1">
      <c r="A49" s="13" t="s">
        <v>1254</v>
      </c>
      <c r="B49" s="13" t="s">
        <v>210</v>
      </c>
      <c r="C49" s="41">
        <f>'CAPEX (Buy)'!$H$41+Inputs!$E$79*C26</f>
        <v>955459924.5</v>
      </c>
      <c r="D49" s="41">
        <f>'CAPEX (Buy)'!$H$41+Inputs!$F$79*D26</f>
        <v>844007330</v>
      </c>
      <c r="E49" s="41">
        <f>'CAPEX (Buy)'!$H$41+Inputs!$G$79*E26</f>
        <v>798510772.5</v>
      </c>
      <c r="F49" s="114">
        <f>CHOOSE(Inputs!$D$4,C49,D49,E49)</f>
        <v>844007330</v>
      </c>
      <c r="G49" s="13"/>
    </row>
    <row r="50" ht="15.0" customHeight="1">
      <c r="A50" s="13" t="s">
        <v>1255</v>
      </c>
      <c r="B50" s="13" t="s">
        <v>210</v>
      </c>
      <c r="C50" s="41">
        <f>Inputs!$E$78*(C48+C49)</f>
        <v>590987538.7</v>
      </c>
      <c r="D50" s="41">
        <f>Inputs!$F$78*(D48+D49)</f>
        <v>343918733</v>
      </c>
      <c r="E50" s="41">
        <f>Inputs!$G$78*(E48+E49)</f>
        <v>244794882.9</v>
      </c>
      <c r="F50" s="114">
        <f>CHOOSE(Inputs!$D$4,C50,D50,E50)</f>
        <v>343918733</v>
      </c>
      <c r="G50" s="13"/>
    </row>
    <row r="51" ht="15.0" customHeight="1">
      <c r="A51" s="13" t="s">
        <v>1259</v>
      </c>
      <c r="B51" s="13" t="s">
        <v>210</v>
      </c>
      <c r="C51" s="41">
        <f>C27*(Inputs!$E$31+Inputs!$E$29+Inputs!$E$30)+C28*Inputs!$E$31</f>
        <v>2110936079</v>
      </c>
      <c r="D51" s="41">
        <f>D27*(Inputs!$F$31+Inputs!$F$29+Inputs!$F$30)+D28*Inputs!$F$31</f>
        <v>604387500</v>
      </c>
      <c r="E51" s="41">
        <f>E27*(Inputs!$G$31+Inputs!$G$29+Inputs!$G$30)+E28*Inputs!$G$31</f>
        <v>430838906.3</v>
      </c>
      <c r="F51" s="114">
        <f>CHOOSE(Inputs!$D$4,C51,D51,E51)</f>
        <v>604387500</v>
      </c>
      <c r="G51" s="13"/>
    </row>
    <row r="52" ht="15.0" customHeight="1">
      <c r="A52" s="13" t="s">
        <v>1261</v>
      </c>
      <c r="B52" s="13" t="s">
        <v>210</v>
      </c>
      <c r="C52" s="41">
        <f>Inputs!$E$80*(C26+C30+C29)</f>
        <v>811394949</v>
      </c>
      <c r="D52" s="41">
        <f>Inputs!$F$80*(D26+D30+D29)</f>
        <v>704728890</v>
      </c>
      <c r="E52" s="41">
        <f>Inputs!$G$80*(E26+E30+E29)</f>
        <v>433432560</v>
      </c>
      <c r="F52" s="114">
        <f>CHOOSE(Inputs!$D$4,C52,D52,E52)</f>
        <v>704728890</v>
      </c>
      <c r="G52" s="13"/>
    </row>
    <row r="53" ht="15.0" customHeight="1">
      <c r="A53" s="3" t="s">
        <v>1262</v>
      </c>
      <c r="B53" s="13" t="s">
        <v>210</v>
      </c>
      <c r="C53" s="93">
        <f t="shared" ref="C53:E53" si="17">SUM(C48:C52)</f>
        <v>7453235491</v>
      </c>
      <c r="D53" s="93">
        <f t="shared" si="17"/>
        <v>5092222453</v>
      </c>
      <c r="E53" s="93">
        <f t="shared" si="17"/>
        <v>4372998122</v>
      </c>
      <c r="F53" s="114">
        <f>CHOOSE(Inputs!$D$4,C53,D53,E53)</f>
        <v>5092222453</v>
      </c>
      <c r="G53" s="13"/>
    </row>
    <row r="54" ht="15.0" customHeight="1">
      <c r="A54" s="3" t="s">
        <v>1263</v>
      </c>
      <c r="B54" s="13" t="s">
        <v>388</v>
      </c>
      <c r="C54" s="124">
        <f>C53/Inputs!$E$10</f>
        <v>363572.463</v>
      </c>
      <c r="D54" s="124">
        <f>D53/Inputs!$F$10</f>
        <v>235751.0395</v>
      </c>
      <c r="E54" s="124">
        <f>E53/Inputs!$G$10</f>
        <v>194355.4721</v>
      </c>
      <c r="F54" s="118">
        <f>CHOOSE(Inputs!$D$4,C54,D54,E54)</f>
        <v>235751.0395</v>
      </c>
      <c r="G54" s="13"/>
    </row>
    <row r="55" ht="15.0" customHeight="1">
      <c r="A55" s="3" t="s">
        <v>1264</v>
      </c>
      <c r="B55" s="13" t="s">
        <v>388</v>
      </c>
      <c r="C55" s="124">
        <f>C54-Inputs!$E$82</f>
        <v>163572.463</v>
      </c>
      <c r="D55" s="124">
        <f>D54-Inputs!$F$82</f>
        <v>35751.03949</v>
      </c>
      <c r="E55" s="124">
        <f>E54-Inputs!$G$82</f>
        <v>-5644.527925</v>
      </c>
      <c r="F55" s="118">
        <f>CHOOSE(Inputs!$D$4,C55,D55,E55)</f>
        <v>35751.03949</v>
      </c>
      <c r="G55" s="13"/>
    </row>
    <row r="56" ht="15.0" customHeight="1">
      <c r="A56" s="13" t="s">
        <v>1271</v>
      </c>
      <c r="B56" s="13" t="s">
        <v>580</v>
      </c>
      <c r="C56" s="74" t="str">
        <f>IF(C34&gt;0,C53/(C34*12*(1-Inputs!$E$16)),"never")</f>
        <v>never</v>
      </c>
      <c r="D56" s="74">
        <f>IF(D34&gt;0,D53/(D34*12*(1-Inputs!$F$16)),"never")</f>
        <v>3.549572126</v>
      </c>
      <c r="E56" s="74">
        <f>IF(E34&gt;0,E53/(E34*12*(1-Inputs!$G$16)),"never")</f>
        <v>1.086197764</v>
      </c>
      <c r="F56" s="125">
        <f>CHOOSE(Inputs!$D$4,C56,D56,E56)</f>
        <v>3.549572126</v>
      </c>
      <c r="G56" s="13" t="s">
        <v>1275</v>
      </c>
    </row>
    <row r="57" ht="15.75" customHeight="1"/>
    <row r="58" ht="15.0" customHeight="1">
      <c r="A58" s="3" t="s">
        <v>1276</v>
      </c>
      <c r="F58" s="58" t="str">
        <f>IF(ABS(F53-'CAPEX (Buy)'!$H$37)&lt;1,"OK","MISMATCH")</f>
        <v>OK</v>
      </c>
    </row>
    <row r="59" ht="15.0" customHeight="1">
      <c r="A59" s="3" t="s">
        <v>1278</v>
      </c>
      <c r="F59" s="58" t="str">
        <f>IF(ABS(F13-Revenue!$E$23)&lt;1,"OK","MISMATCH")</f>
        <v>OK</v>
      </c>
    </row>
    <row r="60" ht="15.75" customHeight="1"/>
    <row r="61" ht="15.75" customHeight="1"/>
    <row r="62" ht="15.75" customHeight="1">
      <c r="A62" s="60" t="s">
        <v>1279</v>
      </c>
    </row>
    <row r="63" ht="27.0" customHeight="1">
      <c r="A63" s="15" t="s">
        <v>624</v>
      </c>
      <c r="B63" s="61" t="s">
        <v>631</v>
      </c>
      <c r="C63" s="63"/>
      <c r="D63" s="61" t="s">
        <v>633</v>
      </c>
      <c r="E63" s="62"/>
      <c r="F63" s="62"/>
      <c r="G63" s="63"/>
      <c r="H63" s="61" t="s">
        <v>636</v>
      </c>
      <c r="I63" s="62"/>
      <c r="J63" s="62"/>
      <c r="K63" s="62"/>
      <c r="L63" s="62"/>
      <c r="M63" s="62"/>
      <c r="N63" s="62"/>
      <c r="O63" s="62"/>
      <c r="P63" s="63"/>
      <c r="Q63" s="126" t="s">
        <v>69</v>
      </c>
      <c r="R63" s="62"/>
      <c r="S63" s="63"/>
    </row>
    <row r="64" ht="27.0" customHeight="1">
      <c r="A64" s="80" t="s">
        <v>1281</v>
      </c>
      <c r="B64" s="76" t="s">
        <v>665</v>
      </c>
      <c r="C64" s="66"/>
      <c r="D64" s="64" t="s">
        <v>1282</v>
      </c>
      <c r="E64" s="65"/>
      <c r="F64" s="65"/>
      <c r="G64" s="66"/>
      <c r="H64" s="64" t="s">
        <v>1283</v>
      </c>
      <c r="I64" s="65"/>
      <c r="J64" s="65"/>
      <c r="K64" s="65"/>
      <c r="L64" s="65"/>
      <c r="M64" s="65"/>
      <c r="N64" s="65"/>
      <c r="O64" s="65"/>
      <c r="P64" s="66"/>
      <c r="Q64" s="78" t="s">
        <v>680</v>
      </c>
      <c r="R64" s="65"/>
      <c r="S64" s="66"/>
    </row>
    <row r="65" ht="15.0" customHeight="1">
      <c r="A65" s="80" t="s">
        <v>1284</v>
      </c>
      <c r="B65" s="67">
        <f>Scenarios!F13</f>
        <v>735630000</v>
      </c>
      <c r="C65" s="66"/>
      <c r="D65" s="64" t="s">
        <v>1285</v>
      </c>
      <c r="E65" s="65"/>
      <c r="F65" s="65"/>
      <c r="G65" s="66"/>
      <c r="H65" s="64" t="s">
        <v>1286</v>
      </c>
      <c r="I65" s="65"/>
      <c r="J65" s="65"/>
      <c r="K65" s="65"/>
      <c r="L65" s="65"/>
      <c r="M65" s="65"/>
      <c r="N65" s="65"/>
      <c r="O65" s="65"/>
      <c r="P65" s="66"/>
      <c r="Q65" s="72" t="s">
        <v>176</v>
      </c>
      <c r="R65" s="65"/>
      <c r="S65" s="66"/>
    </row>
    <row r="66" ht="15.0" customHeight="1">
      <c r="A66" s="80" t="s">
        <v>1287</v>
      </c>
      <c r="B66" s="67">
        <f>Scenarios!F22</f>
        <v>309676731.4</v>
      </c>
      <c r="C66" s="66"/>
      <c r="D66" s="64" t="s">
        <v>1289</v>
      </c>
      <c r="E66" s="65"/>
      <c r="F66" s="65"/>
      <c r="G66" s="66"/>
      <c r="H66" s="64" t="s">
        <v>1290</v>
      </c>
      <c r="I66" s="65"/>
      <c r="J66" s="65"/>
      <c r="K66" s="65"/>
      <c r="L66" s="65"/>
      <c r="M66" s="65"/>
      <c r="N66" s="65"/>
      <c r="O66" s="65"/>
      <c r="P66" s="66"/>
      <c r="Q66" s="72" t="s">
        <v>176</v>
      </c>
      <c r="R66" s="65"/>
      <c r="S66" s="66"/>
    </row>
    <row r="67" ht="15.0" customHeight="1">
      <c r="A67" s="80" t="s">
        <v>1291</v>
      </c>
      <c r="B67" s="67">
        <f>Scenarios!F31</f>
        <v>272683848.8</v>
      </c>
      <c r="C67" s="66"/>
      <c r="D67" s="64" t="s">
        <v>1292</v>
      </c>
      <c r="E67" s="65"/>
      <c r="F67" s="65"/>
      <c r="G67" s="66"/>
      <c r="H67" s="64" t="s">
        <v>1293</v>
      </c>
      <c r="I67" s="65"/>
      <c r="J67" s="65"/>
      <c r="K67" s="65"/>
      <c r="L67" s="65"/>
      <c r="M67" s="65"/>
      <c r="N67" s="65"/>
      <c r="O67" s="65"/>
      <c r="P67" s="66"/>
      <c r="Q67" s="72" t="s">
        <v>176</v>
      </c>
      <c r="R67" s="65"/>
      <c r="S67" s="66"/>
    </row>
    <row r="68" ht="15.0" customHeight="1">
      <c r="A68" s="80" t="s">
        <v>1294</v>
      </c>
      <c r="B68" s="67">
        <f>Scenarios!F43</f>
        <v>15697685.99</v>
      </c>
      <c r="C68" s="66"/>
      <c r="D68" s="64" t="s">
        <v>1295</v>
      </c>
      <c r="E68" s="65"/>
      <c r="F68" s="65"/>
      <c r="G68" s="66"/>
      <c r="H68" s="64" t="s">
        <v>1296</v>
      </c>
      <c r="I68" s="65"/>
      <c r="J68" s="65"/>
      <c r="K68" s="65"/>
      <c r="L68" s="65"/>
      <c r="M68" s="65"/>
      <c r="N68" s="65"/>
      <c r="O68" s="65"/>
      <c r="P68" s="66"/>
      <c r="Q68" s="78" t="s">
        <v>680</v>
      </c>
      <c r="R68" s="65"/>
      <c r="S68" s="66"/>
    </row>
    <row r="69" ht="27.0" customHeight="1">
      <c r="A69" s="80" t="s">
        <v>1297</v>
      </c>
      <c r="B69" s="79">
        <f>Scenarios!F39</f>
        <v>0.5194166584</v>
      </c>
      <c r="C69" s="66"/>
      <c r="D69" s="64" t="s">
        <v>1298</v>
      </c>
      <c r="E69" s="65"/>
      <c r="F69" s="65"/>
      <c r="G69" s="66"/>
      <c r="H69" s="64" t="s">
        <v>1299</v>
      </c>
      <c r="I69" s="65"/>
      <c r="J69" s="65"/>
      <c r="K69" s="65"/>
      <c r="L69" s="65"/>
      <c r="M69" s="65"/>
      <c r="N69" s="65"/>
      <c r="O69" s="65"/>
      <c r="P69" s="66"/>
      <c r="Q69" s="69" t="s">
        <v>82</v>
      </c>
      <c r="R69" s="65"/>
      <c r="S69" s="66"/>
    </row>
    <row r="70" ht="15.0" customHeight="1">
      <c r="A70" s="80" t="s">
        <v>1300</v>
      </c>
      <c r="B70" s="102">
        <f>Scenarios!F56</f>
        <v>3.549572126</v>
      </c>
      <c r="C70" s="66"/>
      <c r="D70" s="64" t="s">
        <v>1303</v>
      </c>
      <c r="E70" s="65"/>
      <c r="F70" s="65"/>
      <c r="G70" s="66"/>
      <c r="H70" s="64" t="s">
        <v>1306</v>
      </c>
      <c r="I70" s="65"/>
      <c r="J70" s="65"/>
      <c r="K70" s="65"/>
      <c r="L70" s="65"/>
      <c r="M70" s="65"/>
      <c r="N70" s="65"/>
      <c r="O70" s="65"/>
      <c r="P70" s="66"/>
      <c r="Q70" s="78" t="s">
        <v>680</v>
      </c>
      <c r="R70" s="65"/>
      <c r="S70" s="66"/>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H65:P65"/>
    <mergeCell ref="Q65:S65"/>
    <mergeCell ref="H66:P66"/>
    <mergeCell ref="Q66:S66"/>
    <mergeCell ref="H67:P67"/>
    <mergeCell ref="Q67:S67"/>
    <mergeCell ref="B63:C63"/>
    <mergeCell ref="D63:G63"/>
    <mergeCell ref="H63:P63"/>
    <mergeCell ref="Q63:S63"/>
    <mergeCell ref="D64:G64"/>
    <mergeCell ref="H64:P64"/>
    <mergeCell ref="Q64:S64"/>
    <mergeCell ref="B68:C68"/>
    <mergeCell ref="D68:G68"/>
    <mergeCell ref="H68:P68"/>
    <mergeCell ref="Q68:S68"/>
    <mergeCell ref="B69:C69"/>
    <mergeCell ref="D69:G69"/>
    <mergeCell ref="H69:P69"/>
    <mergeCell ref="Q69:S69"/>
    <mergeCell ref="B70:C70"/>
    <mergeCell ref="D70:G70"/>
    <mergeCell ref="H70:P70"/>
    <mergeCell ref="Q70:S70"/>
    <mergeCell ref="B64:C64"/>
    <mergeCell ref="B65:C65"/>
    <mergeCell ref="D65:G65"/>
    <mergeCell ref="B66:C66"/>
    <mergeCell ref="D66:G66"/>
    <mergeCell ref="B67:C67"/>
    <mergeCell ref="D67:G67"/>
  </mergeCells>
  <printOptions/>
  <pageMargins bottom="1.0" footer="0.0" header="0.0" left="0.75" right="0.75" top="1.0"/>
  <pageSetup paperSize="9"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46.0"/>
    <col customWidth="1" min="2" max="2" width="33.86"/>
    <col customWidth="1" min="3" max="62" width="13.0"/>
  </cols>
  <sheetData>
    <row r="1" ht="17.25" customHeight="1">
      <c r="A1" s="1" t="s">
        <v>1256</v>
      </c>
    </row>
    <row r="2" ht="15.0" customHeight="1">
      <c r="A2" s="2" t="s">
        <v>1257</v>
      </c>
    </row>
    <row r="4" ht="15.0" customHeight="1">
      <c r="A4" s="3" t="s">
        <v>1258</v>
      </c>
      <c r="B4" s="13"/>
      <c r="C4" s="122">
        <v>1.0</v>
      </c>
      <c r="D4" s="122">
        <v>2.0</v>
      </c>
      <c r="E4" s="122">
        <v>3.0</v>
      </c>
      <c r="F4" s="122">
        <v>4.0</v>
      </c>
      <c r="G4" s="122">
        <v>5.0</v>
      </c>
      <c r="H4" s="122">
        <v>6.0</v>
      </c>
      <c r="I4" s="122">
        <v>7.0</v>
      </c>
      <c r="J4" s="122">
        <v>8.0</v>
      </c>
      <c r="K4" s="122">
        <v>9.0</v>
      </c>
      <c r="L4" s="122">
        <v>10.0</v>
      </c>
      <c r="M4" s="122">
        <v>11.0</v>
      </c>
      <c r="N4" s="122">
        <v>12.0</v>
      </c>
      <c r="O4" s="122">
        <v>13.0</v>
      </c>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row>
    <row r="5" ht="15.0" customHeight="1">
      <c r="A5" s="13" t="s">
        <v>1260</v>
      </c>
      <c r="B5" s="13"/>
      <c r="C5" s="123">
        <f>EDATE(Inputs!$H$11,C4-1)</f>
        <v>46569</v>
      </c>
      <c r="D5" s="123">
        <f>EDATE(Inputs!$H$11,D4-1)</f>
        <v>46600</v>
      </c>
      <c r="E5" s="123">
        <f>EDATE(Inputs!$H$11,E4-1)</f>
        <v>46631</v>
      </c>
      <c r="F5" s="123">
        <f>EDATE(Inputs!$H$11,F4-1)</f>
        <v>46661</v>
      </c>
      <c r="G5" s="123">
        <f>EDATE(Inputs!$H$11,G4-1)</f>
        <v>46692</v>
      </c>
      <c r="H5" s="123">
        <f>EDATE(Inputs!$H$11,H4-1)</f>
        <v>46722</v>
      </c>
      <c r="I5" s="123">
        <f>EDATE(Inputs!$H$11,I4-1)</f>
        <v>46753</v>
      </c>
      <c r="J5" s="123">
        <f>EDATE(Inputs!$H$11,J4-1)</f>
        <v>46784</v>
      </c>
      <c r="K5" s="123">
        <f>EDATE(Inputs!$H$11,K4-1)</f>
        <v>46813</v>
      </c>
      <c r="L5" s="123">
        <f>EDATE(Inputs!$H$11,L4-1)</f>
        <v>46844</v>
      </c>
      <c r="M5" s="123">
        <f>EDATE(Inputs!$H$11,M4-1)</f>
        <v>46874</v>
      </c>
      <c r="N5" s="123">
        <f>EDATE(Inputs!$H$11,N4-1)</f>
        <v>46905</v>
      </c>
      <c r="O5" s="123">
        <f>EDATE(Inputs!$H$11,O4-1)</f>
        <v>46935</v>
      </c>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row>
    <row r="6" ht="15.0" customHeight="1">
      <c r="A6" s="13" t="s">
        <v>1274</v>
      </c>
      <c r="B6" s="13"/>
      <c r="C6" s="87">
        <f t="shared" ref="C6:O6" si="1">INT((C4-1)/12)+1</f>
        <v>1</v>
      </c>
      <c r="D6" s="87">
        <f t="shared" si="1"/>
        <v>1</v>
      </c>
      <c r="E6" s="87">
        <f t="shared" si="1"/>
        <v>1</v>
      </c>
      <c r="F6" s="87">
        <f t="shared" si="1"/>
        <v>1</v>
      </c>
      <c r="G6" s="87">
        <f t="shared" si="1"/>
        <v>1</v>
      </c>
      <c r="H6" s="87">
        <f t="shared" si="1"/>
        <v>1</v>
      </c>
      <c r="I6" s="87">
        <f t="shared" si="1"/>
        <v>1</v>
      </c>
      <c r="J6" s="87">
        <f t="shared" si="1"/>
        <v>1</v>
      </c>
      <c r="K6" s="87">
        <f t="shared" si="1"/>
        <v>1</v>
      </c>
      <c r="L6" s="87">
        <f t="shared" si="1"/>
        <v>1</v>
      </c>
      <c r="M6" s="87">
        <f t="shared" si="1"/>
        <v>1</v>
      </c>
      <c r="N6" s="87">
        <f t="shared" si="1"/>
        <v>1</v>
      </c>
      <c r="O6" s="87">
        <f t="shared" si="1"/>
        <v>2</v>
      </c>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7"/>
      <c r="BD6" s="87"/>
      <c r="BE6" s="87"/>
      <c r="BF6" s="87"/>
      <c r="BG6" s="87"/>
      <c r="BH6" s="87"/>
      <c r="BI6" s="87"/>
      <c r="BJ6" s="87"/>
    </row>
    <row r="7" ht="15.0" customHeight="1">
      <c r="A7" s="13" t="s">
        <v>1277</v>
      </c>
      <c r="B7" s="13"/>
      <c r="C7" s="56">
        <f>MIN(1,Inputs!$H$46+(1-Inputs!$H$46)*(C4-1)/MAX(1,Inputs!$H$47-1))</f>
        <v>0.55</v>
      </c>
      <c r="D7" s="56">
        <f>MIN(1,Inputs!$H$46+(1-Inputs!$H$46)*(D4-1)/MAX(1,Inputs!$H$47-1))</f>
        <v>0.60625</v>
      </c>
      <c r="E7" s="56">
        <f>MIN(1,Inputs!$H$46+(1-Inputs!$H$46)*(E4-1)/MAX(1,Inputs!$H$47-1))</f>
        <v>0.6625</v>
      </c>
      <c r="F7" s="56">
        <f>MIN(1,Inputs!$H$46+(1-Inputs!$H$46)*(F4-1)/MAX(1,Inputs!$H$47-1))</f>
        <v>0.71875</v>
      </c>
      <c r="G7" s="56">
        <f>MIN(1,Inputs!$H$46+(1-Inputs!$H$46)*(G4-1)/MAX(1,Inputs!$H$47-1))</f>
        <v>0.775</v>
      </c>
      <c r="H7" s="56">
        <f>MIN(1,Inputs!$H$46+(1-Inputs!$H$46)*(H4-1)/MAX(1,Inputs!$H$47-1))</f>
        <v>0.83125</v>
      </c>
      <c r="I7" s="56">
        <f>MIN(1,Inputs!$H$46+(1-Inputs!$H$46)*(I4-1)/MAX(1,Inputs!$H$47-1))</f>
        <v>0.8875</v>
      </c>
      <c r="J7" s="56">
        <f>MIN(1,Inputs!$H$46+(1-Inputs!$H$46)*(J4-1)/MAX(1,Inputs!$H$47-1))</f>
        <v>0.94375</v>
      </c>
      <c r="K7" s="56">
        <f>MIN(1,Inputs!$H$46+(1-Inputs!$H$46)*(K4-1)/MAX(1,Inputs!$H$47-1))</f>
        <v>1</v>
      </c>
      <c r="L7" s="56">
        <f>MIN(1,Inputs!$H$46+(1-Inputs!$H$46)*(L4-1)/MAX(1,Inputs!$H$47-1))</f>
        <v>1</v>
      </c>
      <c r="M7" s="56">
        <f>MIN(1,Inputs!$H$46+(1-Inputs!$H$46)*(M4-1)/MAX(1,Inputs!$H$47-1))</f>
        <v>1</v>
      </c>
      <c r="N7" s="56">
        <f>MIN(1,Inputs!$H$46+(1-Inputs!$H$46)*(N4-1)/MAX(1,Inputs!$H$47-1))</f>
        <v>1</v>
      </c>
      <c r="O7" s="56">
        <f>MIN(1,Inputs!$H$46+(1-Inputs!$H$46)*(O4-1)/MAX(1,Inputs!$H$47-1))</f>
        <v>1</v>
      </c>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row>
    <row r="8" ht="15.0" customHeight="1">
      <c r="A8" s="13" t="s">
        <v>1307</v>
      </c>
      <c r="B8" s="13"/>
      <c r="C8" s="127">
        <f t="array" ref="C8">INDEX(Inputs!$H$92:$H$103,MONTH(C5))</f>
        <v>1</v>
      </c>
      <c r="D8" s="127">
        <f t="array" ref="D8">INDEX(Inputs!$H$92:$H$103,MONTH(D5))</f>
        <v>1</v>
      </c>
      <c r="E8" s="127">
        <f t="array" ref="E8">INDEX(Inputs!$H$92:$H$103,MONTH(E5))</f>
        <v>1</v>
      </c>
      <c r="F8" s="127">
        <f t="array" ref="F8">INDEX(Inputs!$H$92:$H$103,MONTH(F5))</f>
        <v>1</v>
      </c>
      <c r="G8" s="127">
        <f t="array" ref="G8">INDEX(Inputs!$H$92:$H$103,MONTH(G5))</f>
        <v>1</v>
      </c>
      <c r="H8" s="127">
        <f t="array" ref="H8">INDEX(Inputs!$H$92:$H$103,MONTH(H5))</f>
        <v>1.08</v>
      </c>
      <c r="I8" s="127">
        <f t="array" ref="I8">INDEX(Inputs!$H$92:$H$103,MONTH(I5))</f>
        <v>1</v>
      </c>
      <c r="J8" s="127">
        <f t="array" ref="J8">INDEX(Inputs!$H$92:$H$103,MONTH(J5))</f>
        <v>0.92</v>
      </c>
      <c r="K8" s="127">
        <f t="array" ref="K8">INDEX(Inputs!$H$92:$H$103,MONTH(K5))</f>
        <v>0.95</v>
      </c>
      <c r="L8" s="127">
        <f t="array" ref="L8">INDEX(Inputs!$H$92:$H$103,MONTH(L5))</f>
        <v>1</v>
      </c>
      <c r="M8" s="127">
        <f t="array" ref="M8">INDEX(Inputs!$H$92:$H$103,MONTH(M5))</f>
        <v>1</v>
      </c>
      <c r="N8" s="127">
        <f t="array" ref="N8">INDEX(Inputs!$H$92:$H$103,MONTH(N5))</f>
        <v>1</v>
      </c>
      <c r="O8" s="127">
        <f t="array" ref="O8">INDEX(Inputs!$H$92:$H$103,MONTH(O5))</f>
        <v>1</v>
      </c>
      <c r="P8" s="127"/>
      <c r="Q8" s="127"/>
      <c r="R8" s="127"/>
      <c r="S8" s="127"/>
      <c r="T8" s="127"/>
      <c r="U8" s="127"/>
      <c r="V8" s="127"/>
      <c r="W8" s="127"/>
      <c r="X8" s="127"/>
      <c r="Y8" s="127"/>
      <c r="Z8" s="127"/>
      <c r="AA8" s="127"/>
      <c r="AB8" s="127"/>
      <c r="AC8" s="127"/>
      <c r="AD8" s="127"/>
      <c r="AE8" s="127"/>
      <c r="AF8" s="127"/>
      <c r="AG8" s="127"/>
      <c r="AH8" s="127"/>
      <c r="AI8" s="127"/>
      <c r="AJ8" s="127"/>
      <c r="AK8" s="127"/>
      <c r="AL8" s="127"/>
      <c r="AM8" s="127"/>
      <c r="AN8" s="127"/>
      <c r="AO8" s="127"/>
      <c r="AP8" s="127"/>
      <c r="AQ8" s="127"/>
      <c r="AR8" s="127"/>
      <c r="AS8" s="127"/>
      <c r="AT8" s="127"/>
      <c r="AU8" s="127"/>
      <c r="AV8" s="127"/>
      <c r="AW8" s="127"/>
      <c r="AX8" s="127"/>
      <c r="AY8" s="127"/>
      <c r="AZ8" s="127"/>
      <c r="BA8" s="127"/>
      <c r="BB8" s="127"/>
      <c r="BC8" s="127"/>
      <c r="BD8" s="127"/>
      <c r="BE8" s="127"/>
      <c r="BF8" s="127"/>
      <c r="BG8" s="127"/>
      <c r="BH8" s="127"/>
      <c r="BI8" s="127"/>
      <c r="BJ8" s="127"/>
    </row>
    <row r="9" ht="15.0" customHeight="1">
      <c r="A9" s="13" t="s">
        <v>1324</v>
      </c>
      <c r="B9" s="13"/>
      <c r="C9" s="36">
        <f t="shared" ref="C9:O9" si="2">C7*C8</f>
        <v>0.55</v>
      </c>
      <c r="D9" s="36">
        <f t="shared" si="2"/>
        <v>0.60625</v>
      </c>
      <c r="E9" s="36">
        <f t="shared" si="2"/>
        <v>0.6625</v>
      </c>
      <c r="F9" s="36">
        <f t="shared" si="2"/>
        <v>0.71875</v>
      </c>
      <c r="G9" s="36">
        <f t="shared" si="2"/>
        <v>0.775</v>
      </c>
      <c r="H9" s="36">
        <f t="shared" si="2"/>
        <v>0.89775</v>
      </c>
      <c r="I9" s="36">
        <f t="shared" si="2"/>
        <v>0.8875</v>
      </c>
      <c r="J9" s="36">
        <f t="shared" si="2"/>
        <v>0.86825</v>
      </c>
      <c r="K9" s="36">
        <f t="shared" si="2"/>
        <v>0.95</v>
      </c>
      <c r="L9" s="36">
        <f t="shared" si="2"/>
        <v>1</v>
      </c>
      <c r="M9" s="36">
        <f t="shared" si="2"/>
        <v>1</v>
      </c>
      <c r="N9" s="36">
        <f t="shared" si="2"/>
        <v>1</v>
      </c>
      <c r="O9" s="36">
        <f t="shared" si="2"/>
        <v>1</v>
      </c>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row>
    <row r="10" ht="15.0" customHeight="1">
      <c r="A10" s="13" t="s">
        <v>1327</v>
      </c>
      <c r="B10" s="13"/>
      <c r="C10" s="128">
        <f>(1+Inputs!$H$13)^(C6-1)</f>
        <v>1</v>
      </c>
      <c r="D10" s="128">
        <f>(1+Inputs!$H$13)^(D6-1)</f>
        <v>1</v>
      </c>
      <c r="E10" s="128">
        <f>(1+Inputs!$H$13)^(E6-1)</f>
        <v>1</v>
      </c>
      <c r="F10" s="128">
        <f>(1+Inputs!$H$13)^(F6-1)</f>
        <v>1</v>
      </c>
      <c r="G10" s="128">
        <f>(1+Inputs!$H$13)^(G6-1)</f>
        <v>1</v>
      </c>
      <c r="H10" s="128">
        <f>(1+Inputs!$H$13)^(H6-1)</f>
        <v>1</v>
      </c>
      <c r="I10" s="128">
        <f>(1+Inputs!$H$13)^(I6-1)</f>
        <v>1</v>
      </c>
      <c r="J10" s="128">
        <f>(1+Inputs!$H$13)^(J6-1)</f>
        <v>1</v>
      </c>
      <c r="K10" s="128">
        <f>(1+Inputs!$H$13)^(K6-1)</f>
        <v>1</v>
      </c>
      <c r="L10" s="128">
        <f>(1+Inputs!$H$13)^(L6-1)</f>
        <v>1</v>
      </c>
      <c r="M10" s="128">
        <f>(1+Inputs!$H$13)^(M6-1)</f>
        <v>1</v>
      </c>
      <c r="N10" s="128">
        <f>(1+Inputs!$H$13)^(N6-1)</f>
        <v>1</v>
      </c>
      <c r="O10" s="128">
        <f>(1+Inputs!$H$13)^(O6-1)</f>
        <v>1.04</v>
      </c>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8"/>
    </row>
    <row r="11" ht="15.0" customHeight="1">
      <c r="A11" s="13" t="s">
        <v>1331</v>
      </c>
      <c r="B11" s="13"/>
      <c r="C11" s="128">
        <f>(1+Inputs!$H$15)^(C6-1)</f>
        <v>1</v>
      </c>
      <c r="D11" s="128">
        <f>(1+Inputs!$H$15)^(D6-1)</f>
        <v>1</v>
      </c>
      <c r="E11" s="128">
        <f>(1+Inputs!$H$15)^(E6-1)</f>
        <v>1</v>
      </c>
      <c r="F11" s="128">
        <f>(1+Inputs!$H$15)^(F6-1)</f>
        <v>1</v>
      </c>
      <c r="G11" s="128">
        <f>(1+Inputs!$H$15)^(G6-1)</f>
        <v>1</v>
      </c>
      <c r="H11" s="128">
        <f>(1+Inputs!$H$15)^(H6-1)</f>
        <v>1</v>
      </c>
      <c r="I11" s="128">
        <f>(1+Inputs!$H$15)^(I6-1)</f>
        <v>1</v>
      </c>
      <c r="J11" s="128">
        <f>(1+Inputs!$H$15)^(J6-1)</f>
        <v>1</v>
      </c>
      <c r="K11" s="128">
        <f>(1+Inputs!$H$15)^(K6-1)</f>
        <v>1</v>
      </c>
      <c r="L11" s="128">
        <f>(1+Inputs!$H$15)^(L6-1)</f>
        <v>1</v>
      </c>
      <c r="M11" s="128">
        <f>(1+Inputs!$H$15)^(M6-1)</f>
        <v>1</v>
      </c>
      <c r="N11" s="128">
        <f>(1+Inputs!$H$15)^(N6-1)</f>
        <v>1</v>
      </c>
      <c r="O11" s="128">
        <f>(1+Inputs!$H$15)^(O6-1)</f>
        <v>1.062</v>
      </c>
      <c r="P11" s="128"/>
      <c r="Q11" s="128"/>
      <c r="R11" s="128"/>
      <c r="S11" s="128"/>
      <c r="T11" s="128"/>
      <c r="U11" s="128"/>
      <c r="V11" s="128"/>
      <c r="W11" s="128"/>
      <c r="X11" s="128"/>
      <c r="Y11" s="128"/>
      <c r="Z11" s="128"/>
      <c r="AA11" s="128"/>
      <c r="AB11" s="128"/>
      <c r="AC11" s="128"/>
      <c r="AD11" s="128"/>
      <c r="AE11" s="128"/>
      <c r="AF11" s="128"/>
      <c r="AG11" s="128"/>
      <c r="AH11" s="128"/>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8"/>
    </row>
    <row r="12" ht="15.0" customHeight="1">
      <c r="A12" s="13" t="s">
        <v>1340</v>
      </c>
      <c r="B12" s="13"/>
      <c r="C12" s="128">
        <f>(1+Inputs!$H$14)^(C6-1)</f>
        <v>1</v>
      </c>
      <c r="D12" s="128">
        <f>(1+Inputs!$H$14)^(D6-1)</f>
        <v>1</v>
      </c>
      <c r="E12" s="128">
        <f>(1+Inputs!$H$14)^(E6-1)</f>
        <v>1</v>
      </c>
      <c r="F12" s="128">
        <f>(1+Inputs!$H$14)^(F6-1)</f>
        <v>1</v>
      </c>
      <c r="G12" s="128">
        <f>(1+Inputs!$H$14)^(G6-1)</f>
        <v>1</v>
      </c>
      <c r="H12" s="128">
        <f>(1+Inputs!$H$14)^(H6-1)</f>
        <v>1</v>
      </c>
      <c r="I12" s="128">
        <f>(1+Inputs!$H$14)^(I6-1)</f>
        <v>1</v>
      </c>
      <c r="J12" s="128">
        <f>(1+Inputs!$H$14)^(J6-1)</f>
        <v>1</v>
      </c>
      <c r="K12" s="128">
        <f>(1+Inputs!$H$14)^(K6-1)</f>
        <v>1</v>
      </c>
      <c r="L12" s="128">
        <f>(1+Inputs!$H$14)^(L6-1)</f>
        <v>1</v>
      </c>
      <c r="M12" s="128">
        <f>(1+Inputs!$H$14)^(M6-1)</f>
        <v>1</v>
      </c>
      <c r="N12" s="128">
        <f>(1+Inputs!$H$14)^(N6-1)</f>
        <v>1</v>
      </c>
      <c r="O12" s="128">
        <f>(1+Inputs!$H$14)^(O6-1)</f>
        <v>1.035</v>
      </c>
      <c r="P12" s="128"/>
      <c r="Q12" s="128"/>
      <c r="R12" s="128"/>
      <c r="S12" s="128"/>
      <c r="T12" s="128"/>
      <c r="U12" s="128"/>
      <c r="V12" s="128"/>
      <c r="W12" s="128"/>
      <c r="X12" s="128"/>
      <c r="Y12" s="128"/>
      <c r="Z12" s="128"/>
      <c r="AA12" s="128"/>
      <c r="AB12" s="128"/>
      <c r="AC12" s="128"/>
      <c r="AD12" s="128"/>
      <c r="AE12" s="128"/>
      <c r="AF12" s="128"/>
      <c r="AG12" s="128"/>
      <c r="AH12" s="128"/>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8"/>
    </row>
    <row r="13" ht="15.0" customHeight="1">
      <c r="A13" s="18" t="s">
        <v>1344</v>
      </c>
      <c r="B13" s="19"/>
    </row>
    <row r="14" ht="15.0" customHeight="1">
      <c r="A14" s="13" t="s">
        <v>887</v>
      </c>
      <c r="B14" s="13"/>
      <c r="C14" s="41">
        <f>Revenue!$E$19*C9*C10</f>
        <v>341137500</v>
      </c>
      <c r="D14" s="41">
        <f>Revenue!$E$19*D9*D10</f>
        <v>376026562.5</v>
      </c>
      <c r="E14" s="41">
        <f>Revenue!$E$19*E9*E10</f>
        <v>410915625</v>
      </c>
      <c r="F14" s="41">
        <f>Revenue!$E$19*F9*F10</f>
        <v>445804687.5</v>
      </c>
      <c r="G14" s="41">
        <f>Revenue!$E$19*G9*G10</f>
        <v>480693750</v>
      </c>
      <c r="H14" s="41">
        <f>Revenue!$E$19*H9*H10</f>
        <v>556829437.5</v>
      </c>
      <c r="I14" s="41">
        <f>Revenue!$E$19*I9*I10</f>
        <v>550471875</v>
      </c>
      <c r="J14" s="41">
        <f>Revenue!$E$19*J9*J10</f>
        <v>538532062.5</v>
      </c>
      <c r="K14" s="41">
        <f>Revenue!$E$19*K9*K10</f>
        <v>589237500</v>
      </c>
      <c r="L14" s="41">
        <f>Revenue!$E$19*L9*L10</f>
        <v>620250000</v>
      </c>
      <c r="M14" s="41">
        <f>Revenue!$E$19*M9*M10</f>
        <v>620250000</v>
      </c>
      <c r="N14" s="41">
        <f>Revenue!$E$19*N9*N10</f>
        <v>620250000</v>
      </c>
      <c r="O14" s="41">
        <f>Revenue!$E$19*O9*O10</f>
        <v>645060000</v>
      </c>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row>
    <row r="15" ht="15.0" customHeight="1">
      <c r="A15" s="13" t="s">
        <v>1353</v>
      </c>
      <c r="B15" s="13"/>
      <c r="C15" s="41">
        <f>Revenue!$E$20*C9*C10</f>
        <v>47437500</v>
      </c>
      <c r="D15" s="41">
        <f>Revenue!$E$20*D9*D10</f>
        <v>52289062.5</v>
      </c>
      <c r="E15" s="41">
        <f>Revenue!$E$20*E9*E10</f>
        <v>57140625</v>
      </c>
      <c r="F15" s="41">
        <f>Revenue!$E$20*F9*F10</f>
        <v>61992187.5</v>
      </c>
      <c r="G15" s="41">
        <f>Revenue!$E$20*G9*G10</f>
        <v>66843750</v>
      </c>
      <c r="H15" s="41">
        <f>Revenue!$E$20*H9*H10</f>
        <v>77430937.5</v>
      </c>
      <c r="I15" s="41">
        <f>Revenue!$E$20*I9*I10</f>
        <v>76546875</v>
      </c>
      <c r="J15" s="41">
        <f>Revenue!$E$20*J9*J10</f>
        <v>74886562.5</v>
      </c>
      <c r="K15" s="41">
        <f>Revenue!$E$20*K9*K10</f>
        <v>81937500</v>
      </c>
      <c r="L15" s="41">
        <f>Revenue!$E$20*L9*L10</f>
        <v>86250000</v>
      </c>
      <c r="M15" s="41">
        <f>Revenue!$E$20*M9*M10</f>
        <v>86250000</v>
      </c>
      <c r="N15" s="41">
        <f>Revenue!$E$20*N9*N10</f>
        <v>86250000</v>
      </c>
      <c r="O15" s="41">
        <f>Revenue!$E$20*O9*O10</f>
        <v>89700000</v>
      </c>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row>
    <row r="16" ht="15.0" customHeight="1">
      <c r="A16" s="13" t="s">
        <v>891</v>
      </c>
      <c r="B16" s="13"/>
      <c r="C16" s="41">
        <f>Revenue!$E$21*C7*C10</f>
        <v>8250000</v>
      </c>
      <c r="D16" s="41">
        <f>Revenue!$E$21*D7*D10</f>
        <v>9093750</v>
      </c>
      <c r="E16" s="41">
        <f>Revenue!$E$21*E7*E10</f>
        <v>9937500</v>
      </c>
      <c r="F16" s="41">
        <f>Revenue!$E$21*F7*F10</f>
        <v>10781250</v>
      </c>
      <c r="G16" s="41">
        <f>Revenue!$E$21*G7*G10</f>
        <v>11625000</v>
      </c>
      <c r="H16" s="41">
        <f>Revenue!$E$21*H7*H10</f>
        <v>12468750</v>
      </c>
      <c r="I16" s="41">
        <f>Revenue!$E$21*I7*I10</f>
        <v>13312500</v>
      </c>
      <c r="J16" s="41">
        <f>Revenue!$E$21*J7*J10</f>
        <v>14156250</v>
      </c>
      <c r="K16" s="41">
        <f>Revenue!$E$21*K7*K10</f>
        <v>15000000</v>
      </c>
      <c r="L16" s="41">
        <f>Revenue!$E$21*L7*L10</f>
        <v>15000000</v>
      </c>
      <c r="M16" s="41">
        <f>Revenue!$E$21*M7*M10</f>
        <v>15000000</v>
      </c>
      <c r="N16" s="41">
        <f>Revenue!$E$21*N7*N10</f>
        <v>15000000</v>
      </c>
      <c r="O16" s="41">
        <f>Revenue!$E$21*O7*O10</f>
        <v>15600000</v>
      </c>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row>
    <row r="17" ht="15.0" customHeight="1">
      <c r="A17" s="13" t="s">
        <v>895</v>
      </c>
      <c r="B17" s="13"/>
      <c r="C17" s="41">
        <f>(C14+C15)*Inputs!$H$45</f>
        <v>7771500</v>
      </c>
      <c r="D17" s="41">
        <f>(D14+D15)*Inputs!$H$45</f>
        <v>8566312.5</v>
      </c>
      <c r="E17" s="41">
        <f>(E14+E15)*Inputs!$H$45</f>
        <v>9361125</v>
      </c>
      <c r="F17" s="41">
        <f>(F14+F15)*Inputs!$H$45</f>
        <v>10155937.5</v>
      </c>
      <c r="G17" s="41">
        <f>(G14+G15)*Inputs!$H$45</f>
        <v>10950750</v>
      </c>
      <c r="H17" s="41">
        <f>(H14+H15)*Inputs!$H$45</f>
        <v>12685207.5</v>
      </c>
      <c r="I17" s="41">
        <f>(I14+I15)*Inputs!$H$45</f>
        <v>12540375</v>
      </c>
      <c r="J17" s="41">
        <f>(J14+J15)*Inputs!$H$45</f>
        <v>12268372.5</v>
      </c>
      <c r="K17" s="41">
        <f>(K14+K15)*Inputs!$H$45</f>
        <v>13423500</v>
      </c>
      <c r="L17" s="41">
        <f>(L14+L15)*Inputs!$H$45</f>
        <v>14130000</v>
      </c>
      <c r="M17" s="41">
        <f>(M14+M15)*Inputs!$H$45</f>
        <v>14130000</v>
      </c>
      <c r="N17" s="41">
        <f>(N14+N15)*Inputs!$H$45</f>
        <v>14130000</v>
      </c>
      <c r="O17" s="41">
        <f>(O14+O15)*Inputs!$H$45</f>
        <v>14695200</v>
      </c>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row>
    <row r="18" ht="15.0" customHeight="1">
      <c r="A18" s="3" t="s">
        <v>1390</v>
      </c>
      <c r="B18" s="13" t="s">
        <v>1390</v>
      </c>
      <c r="C18" s="93">
        <f t="shared" ref="C18:O18" si="3">SUM(C14:C17)</f>
        <v>404596500</v>
      </c>
      <c r="D18" s="93">
        <f t="shared" si="3"/>
        <v>445975687.5</v>
      </c>
      <c r="E18" s="93">
        <f t="shared" si="3"/>
        <v>487354875</v>
      </c>
      <c r="F18" s="93">
        <f t="shared" si="3"/>
        <v>528734062.5</v>
      </c>
      <c r="G18" s="93">
        <f t="shared" si="3"/>
        <v>570113250</v>
      </c>
      <c r="H18" s="93">
        <f t="shared" si="3"/>
        <v>659414332.5</v>
      </c>
      <c r="I18" s="93">
        <f t="shared" si="3"/>
        <v>652871625</v>
      </c>
      <c r="J18" s="93">
        <f t="shared" si="3"/>
        <v>639843247.5</v>
      </c>
      <c r="K18" s="93">
        <f t="shared" si="3"/>
        <v>699598500</v>
      </c>
      <c r="L18" s="93">
        <f t="shared" si="3"/>
        <v>735630000</v>
      </c>
      <c r="M18" s="93">
        <f t="shared" si="3"/>
        <v>735630000</v>
      </c>
      <c r="N18" s="93">
        <f t="shared" si="3"/>
        <v>735630000</v>
      </c>
      <c r="O18" s="93">
        <f t="shared" si="3"/>
        <v>765055200</v>
      </c>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3"/>
      <c r="BJ18" s="93"/>
    </row>
    <row r="19" ht="15.0" customHeight="1">
      <c r="A19" s="18" t="s">
        <v>1397</v>
      </c>
      <c r="B19" s="19"/>
    </row>
    <row r="20" ht="15.0" customHeight="1">
      <c r="A20" s="13" t="s">
        <v>1280</v>
      </c>
      <c r="B20" s="13"/>
      <c r="C20" s="41">
        <f>(C14+C15)*OPEX!$B$35+C16*Inputs!$H$50+C17*Inputs!$H$51</f>
        <v>118355130.5</v>
      </c>
      <c r="D20" s="41">
        <f>(D14+D15)*OPEX!$B$35+D16*Inputs!$H$50+D17*Inputs!$H$51</f>
        <v>130459632.5</v>
      </c>
      <c r="E20" s="41">
        <f>(E14+E15)*OPEX!$B$35+E16*Inputs!$H$50+E17*Inputs!$H$51</f>
        <v>142564134.5</v>
      </c>
      <c r="F20" s="41">
        <f>(F14+F15)*OPEX!$B$35+F16*Inputs!$H$50+F17*Inputs!$H$51</f>
        <v>154668636.5</v>
      </c>
      <c r="G20" s="41">
        <f>(G14+G15)*OPEX!$B$35+G16*Inputs!$H$50+G17*Inputs!$H$51</f>
        <v>166773138.5</v>
      </c>
      <c r="H20" s="41">
        <f>(H14+H15)*OPEX!$B$35+H16*Inputs!$H$50+H17*Inputs!$H$51</f>
        <v>192838726.7</v>
      </c>
      <c r="I20" s="41">
        <f>(I14+I15)*OPEX!$B$35+I16*Inputs!$H$50+I17*Inputs!$H$51</f>
        <v>190982142.5</v>
      </c>
      <c r="J20" s="41">
        <f>(J14+J15)*OPEX!$B$35+J16*Inputs!$H$50+J17*Inputs!$H$51</f>
        <v>187236087.9</v>
      </c>
      <c r="K20" s="41">
        <f>(K14+K15)*OPEX!$B$35+K16*Inputs!$H$50+K17*Inputs!$H$51</f>
        <v>204694089.1</v>
      </c>
      <c r="L20" s="41">
        <f>(L14+L15)*OPEX!$B$35+L16*Inputs!$H$50+L17*Inputs!$H$51</f>
        <v>215191146.4</v>
      </c>
      <c r="M20" s="41">
        <f>(M14+M15)*OPEX!$B$35+M16*Inputs!$H$50+M17*Inputs!$H$51</f>
        <v>215191146.4</v>
      </c>
      <c r="N20" s="41">
        <f>(N14+N15)*OPEX!$B$35+N16*Inputs!$H$50+N17*Inputs!$H$51</f>
        <v>215191146.4</v>
      </c>
      <c r="O20" s="41">
        <f>(O14+O15)*OPEX!$B$35+O16*Inputs!$H$50+O17*Inputs!$H$51</f>
        <v>223798792.3</v>
      </c>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row>
    <row r="21" ht="15.0" customHeight="1">
      <c r="A21" s="13" t="s">
        <v>1181</v>
      </c>
      <c r="B21" s="13"/>
      <c r="C21" s="41">
        <f>(C14*Inputs!$H$43+C15)*Inputs!$H$52</f>
        <v>7488937.5</v>
      </c>
      <c r="D21" s="41">
        <f>(D14*Inputs!$H$43+D15)*Inputs!$H$52</f>
        <v>8254851.563</v>
      </c>
      <c r="E21" s="41">
        <f>(E14*Inputs!$H$43+E15)*Inputs!$H$52</f>
        <v>9020765.625</v>
      </c>
      <c r="F21" s="41">
        <f>(F14*Inputs!$H$43+F15)*Inputs!$H$52</f>
        <v>9786679.688</v>
      </c>
      <c r="G21" s="41">
        <f>(G14*Inputs!$H$43+G15)*Inputs!$H$52</f>
        <v>10552593.75</v>
      </c>
      <c r="H21" s="41">
        <f>(H14*Inputs!$H$43+H15)*Inputs!$H$52</f>
        <v>12223988.44</v>
      </c>
      <c r="I21" s="41">
        <f>(I14*Inputs!$H$43+I15)*Inputs!$H$52</f>
        <v>12084421.88</v>
      </c>
      <c r="J21" s="41">
        <f>(J14*Inputs!$H$43+J15)*Inputs!$H$52</f>
        <v>11822309.06</v>
      </c>
      <c r="K21" s="41">
        <f>(K14*Inputs!$H$43+K15)*Inputs!$H$52</f>
        <v>12935437.5</v>
      </c>
      <c r="L21" s="41">
        <f>(L14*Inputs!$H$43+L15)*Inputs!$H$52</f>
        <v>13616250</v>
      </c>
      <c r="M21" s="41">
        <f>(M14*Inputs!$H$43+M15)*Inputs!$H$52</f>
        <v>13616250</v>
      </c>
      <c r="N21" s="41">
        <f>(N14*Inputs!$H$43+N15)*Inputs!$H$52</f>
        <v>13616250</v>
      </c>
      <c r="O21" s="41">
        <f>(O14*Inputs!$H$43+O15)*Inputs!$H$52</f>
        <v>14160900</v>
      </c>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row>
    <row r="22" ht="15.0" customHeight="1">
      <c r="A22" s="13" t="s">
        <v>1188</v>
      </c>
      <c r="B22" s="13"/>
      <c r="C22" s="41">
        <f>(C14+C15)*Inputs!$H$53</f>
        <v>5828625</v>
      </c>
      <c r="D22" s="41">
        <f>(D14+D15)*Inputs!$H$53</f>
        <v>6424734.375</v>
      </c>
      <c r="E22" s="41">
        <f>(E14+E15)*Inputs!$H$53</f>
        <v>7020843.75</v>
      </c>
      <c r="F22" s="41">
        <f>(F14+F15)*Inputs!$H$53</f>
        <v>7616953.125</v>
      </c>
      <c r="G22" s="41">
        <f>(G14+G15)*Inputs!$H$53</f>
        <v>8213062.5</v>
      </c>
      <c r="H22" s="41">
        <f>(H14+H15)*Inputs!$H$53</f>
        <v>9513905.625</v>
      </c>
      <c r="I22" s="41">
        <f>(I14+I15)*Inputs!$H$53</f>
        <v>9405281.25</v>
      </c>
      <c r="J22" s="41">
        <f>(J14+J15)*Inputs!$H$53</f>
        <v>9201279.375</v>
      </c>
      <c r="K22" s="41">
        <f>(K14+K15)*Inputs!$H$53</f>
        <v>10067625</v>
      </c>
      <c r="L22" s="41">
        <f>(L14+L15)*Inputs!$H$53</f>
        <v>10597500</v>
      </c>
      <c r="M22" s="41">
        <f>(M14+M15)*Inputs!$H$53</f>
        <v>10597500</v>
      </c>
      <c r="N22" s="41">
        <f>(N14+N15)*Inputs!$H$53</f>
        <v>10597500</v>
      </c>
      <c r="O22" s="41">
        <f>(O14+O15)*Inputs!$H$53</f>
        <v>11021400</v>
      </c>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row>
    <row r="23" ht="15.0" customHeight="1">
      <c r="A23" s="13" t="s">
        <v>1431</v>
      </c>
      <c r="B23" s="13"/>
      <c r="C23" s="41">
        <f>C15*Inputs!$H$54*(1+Inputs!$H$18)</f>
        <v>12110793.75</v>
      </c>
      <c r="D23" s="41">
        <f>D15*Inputs!$H$54*(1+Inputs!$H$18)</f>
        <v>13349397.66</v>
      </c>
      <c r="E23" s="41">
        <f>E15*Inputs!$H$54*(1+Inputs!$H$18)</f>
        <v>14588001.56</v>
      </c>
      <c r="F23" s="41">
        <f>F15*Inputs!$H$54*(1+Inputs!$H$18)</f>
        <v>15826605.47</v>
      </c>
      <c r="G23" s="41">
        <f>G15*Inputs!$H$54*(1+Inputs!$H$18)</f>
        <v>17065209.38</v>
      </c>
      <c r="H23" s="41">
        <f>H15*Inputs!$H$54*(1+Inputs!$H$18)</f>
        <v>19768118.34</v>
      </c>
      <c r="I23" s="41">
        <f>I15*Inputs!$H$54*(1+Inputs!$H$18)</f>
        <v>19542417.19</v>
      </c>
      <c r="J23" s="41">
        <f>J15*Inputs!$H$54*(1+Inputs!$H$18)</f>
        <v>19118539.41</v>
      </c>
      <c r="K23" s="41">
        <f>K15*Inputs!$H$54*(1+Inputs!$H$18)</f>
        <v>20918643.75</v>
      </c>
      <c r="L23" s="41">
        <f>L15*Inputs!$H$54*(1+Inputs!$H$18)</f>
        <v>22019625</v>
      </c>
      <c r="M23" s="41">
        <f>M15*Inputs!$H$54*(1+Inputs!$H$18)</f>
        <v>22019625</v>
      </c>
      <c r="N23" s="41">
        <f>N15*Inputs!$H$54*(1+Inputs!$H$18)</f>
        <v>22019625</v>
      </c>
      <c r="O23" s="41">
        <f>O15*Inputs!$H$54*(1+Inputs!$H$18)</f>
        <v>22900410</v>
      </c>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row>
    <row r="24" ht="15.0" customHeight="1">
      <c r="A24" s="13" t="s">
        <v>1196</v>
      </c>
      <c r="B24" s="13"/>
      <c r="C24" s="41">
        <f>(C18-C15)*Inputs!$H$55</f>
        <v>4285908</v>
      </c>
      <c r="D24" s="41">
        <f>(D18-D15)*Inputs!$H$55</f>
        <v>4724239.5</v>
      </c>
      <c r="E24" s="41">
        <f>(E18-E15)*Inputs!$H$55</f>
        <v>5162571</v>
      </c>
      <c r="F24" s="41">
        <f>(F18-F15)*Inputs!$H$55</f>
        <v>5600902.5</v>
      </c>
      <c r="G24" s="41">
        <f>(G18-G15)*Inputs!$H$55</f>
        <v>6039234</v>
      </c>
      <c r="H24" s="41">
        <f>(H18-H15)*Inputs!$H$55</f>
        <v>6983800.74</v>
      </c>
      <c r="I24" s="41">
        <f>(I18-I15)*Inputs!$H$55</f>
        <v>6915897</v>
      </c>
      <c r="J24" s="41">
        <f>(J18-J15)*Inputs!$H$55</f>
        <v>6779480.22</v>
      </c>
      <c r="K24" s="41">
        <f>(K18-K15)*Inputs!$H$55</f>
        <v>7411932</v>
      </c>
      <c r="L24" s="41">
        <f>(L18-L15)*Inputs!$H$55</f>
        <v>7792560</v>
      </c>
      <c r="M24" s="41">
        <f>(M18-M15)*Inputs!$H$55</f>
        <v>7792560</v>
      </c>
      <c r="N24" s="41">
        <f>(N18-N15)*Inputs!$H$55</f>
        <v>7792560</v>
      </c>
      <c r="O24" s="41">
        <f>(O18-O15)*Inputs!$H$55</f>
        <v>8104262.4</v>
      </c>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row>
    <row r="25" ht="15.0" customHeight="1">
      <c r="A25" s="13" t="s">
        <v>1444</v>
      </c>
      <c r="B25" s="13"/>
      <c r="C25" s="41">
        <f>C18*Inputs!$H$56</f>
        <v>12137895</v>
      </c>
      <c r="D25" s="41">
        <f>D18*Inputs!$H$56</f>
        <v>13379270.63</v>
      </c>
      <c r="E25" s="41">
        <f>E18*Inputs!$H$56</f>
        <v>14620646.25</v>
      </c>
      <c r="F25" s="41">
        <f>F18*Inputs!$H$56</f>
        <v>15862021.88</v>
      </c>
      <c r="G25" s="41">
        <f>G18*Inputs!$H$56</f>
        <v>17103397.5</v>
      </c>
      <c r="H25" s="41">
        <f>H18*Inputs!$H$56</f>
        <v>19782429.98</v>
      </c>
      <c r="I25" s="41">
        <f>I18*Inputs!$H$56</f>
        <v>19586148.75</v>
      </c>
      <c r="J25" s="41">
        <f>J18*Inputs!$H$56</f>
        <v>19195297.43</v>
      </c>
      <c r="K25" s="41">
        <f>K18*Inputs!$H$56</f>
        <v>20987955</v>
      </c>
      <c r="L25" s="41">
        <f>L18*Inputs!$H$56</f>
        <v>22068900</v>
      </c>
      <c r="M25" s="41">
        <f>M18*Inputs!$H$56</f>
        <v>22068900</v>
      </c>
      <c r="N25" s="41">
        <f>N18*Inputs!$H$56</f>
        <v>22068900</v>
      </c>
      <c r="O25" s="41">
        <f>O18*Inputs!$H$56</f>
        <v>22951656</v>
      </c>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row>
    <row r="26" ht="15.0" customHeight="1">
      <c r="A26" s="13" t="s">
        <v>1457</v>
      </c>
      <c r="B26" s="13"/>
      <c r="C26" s="41">
        <f>C18*Inputs!$H$57</f>
        <v>6068947.5</v>
      </c>
      <c r="D26" s="41">
        <f>D18*Inputs!$H$57</f>
        <v>6689635.313</v>
      </c>
      <c r="E26" s="41">
        <f>E18*Inputs!$H$57</f>
        <v>7310323.125</v>
      </c>
      <c r="F26" s="41">
        <f>F18*Inputs!$H$57</f>
        <v>7931010.938</v>
      </c>
      <c r="G26" s="41">
        <f>G18*Inputs!$H$57</f>
        <v>8551698.75</v>
      </c>
      <c r="H26" s="41">
        <f>H18*Inputs!$H$57</f>
        <v>9891214.988</v>
      </c>
      <c r="I26" s="41">
        <f>I18*Inputs!$H$57</f>
        <v>9793074.375</v>
      </c>
      <c r="J26" s="41">
        <f>J18*Inputs!$H$57</f>
        <v>9597648.713</v>
      </c>
      <c r="K26" s="41">
        <f>K18*Inputs!$H$57</f>
        <v>10493977.5</v>
      </c>
      <c r="L26" s="41">
        <f>L18*Inputs!$H$57</f>
        <v>11034450</v>
      </c>
      <c r="M26" s="41">
        <f>M18*Inputs!$H$57</f>
        <v>11034450</v>
      </c>
      <c r="N26" s="41">
        <f>N18*Inputs!$H$57</f>
        <v>11034450</v>
      </c>
      <c r="O26" s="41">
        <f>O18*Inputs!$H$57</f>
        <v>11475828</v>
      </c>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row>
    <row r="27" ht="15.0" customHeight="1">
      <c r="A27" s="13" t="s">
        <v>1468</v>
      </c>
      <c r="B27" s="13"/>
      <c r="C27" s="41">
        <f>C18*(Inputs!$H$58+Inputs!$H$59)</f>
        <v>4045965</v>
      </c>
      <c r="D27" s="41">
        <f>D18*(Inputs!$H$58+Inputs!$H$59)</f>
        <v>4459756.875</v>
      </c>
      <c r="E27" s="41">
        <f>E18*(Inputs!$H$58+Inputs!$H$59)</f>
        <v>4873548.75</v>
      </c>
      <c r="F27" s="41">
        <f>F18*(Inputs!$H$58+Inputs!$H$59)</f>
        <v>5287340.625</v>
      </c>
      <c r="G27" s="41">
        <f>G18*(Inputs!$H$58+Inputs!$H$59)</f>
        <v>5701132.5</v>
      </c>
      <c r="H27" s="41">
        <f>H18*(Inputs!$H$58+Inputs!$H$59)</f>
        <v>6594143.325</v>
      </c>
      <c r="I27" s="41">
        <f>I18*(Inputs!$H$58+Inputs!$H$59)</f>
        <v>6528716.25</v>
      </c>
      <c r="J27" s="41">
        <f>J18*(Inputs!$H$58+Inputs!$H$59)</f>
        <v>6398432.475</v>
      </c>
      <c r="K27" s="41">
        <f>K18*(Inputs!$H$58+Inputs!$H$59)</f>
        <v>6995985</v>
      </c>
      <c r="L27" s="41">
        <f>L18*(Inputs!$H$58+Inputs!$H$59)</f>
        <v>7356300</v>
      </c>
      <c r="M27" s="41">
        <f>M18*(Inputs!$H$58+Inputs!$H$59)</f>
        <v>7356300</v>
      </c>
      <c r="N27" s="41">
        <f>N18*(Inputs!$H$58+Inputs!$H$59)</f>
        <v>7356300</v>
      </c>
      <c r="O27" s="41">
        <f>O18*(Inputs!$H$58+Inputs!$H$59)</f>
        <v>7650552</v>
      </c>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row>
    <row r="28" ht="15.0" customHeight="1">
      <c r="A28" s="3" t="s">
        <v>1486</v>
      </c>
      <c r="B28" s="13"/>
      <c r="C28" s="93">
        <f t="shared" ref="C28:O28" si="4">C18-SUM(C20:C27)</f>
        <v>234274297.7</v>
      </c>
      <c r="D28" s="93">
        <f t="shared" si="4"/>
        <v>258234169.1</v>
      </c>
      <c r="E28" s="93">
        <f t="shared" si="4"/>
        <v>282194040.4</v>
      </c>
      <c r="F28" s="93">
        <f t="shared" si="4"/>
        <v>306153911.8</v>
      </c>
      <c r="G28" s="93">
        <f t="shared" si="4"/>
        <v>330113783.1</v>
      </c>
      <c r="H28" s="93">
        <f t="shared" si="4"/>
        <v>381818004.4</v>
      </c>
      <c r="I28" s="93">
        <f t="shared" si="4"/>
        <v>378033525.9</v>
      </c>
      <c r="J28" s="93">
        <f t="shared" si="4"/>
        <v>370494172.9</v>
      </c>
      <c r="K28" s="93">
        <f t="shared" si="4"/>
        <v>405092855.1</v>
      </c>
      <c r="L28" s="93">
        <f t="shared" si="4"/>
        <v>425953268.6</v>
      </c>
      <c r="M28" s="93">
        <f t="shared" si="4"/>
        <v>425953268.6</v>
      </c>
      <c r="N28" s="93">
        <f t="shared" si="4"/>
        <v>425953268.6</v>
      </c>
      <c r="O28" s="93">
        <f t="shared" si="4"/>
        <v>442991399.3</v>
      </c>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row>
    <row r="29" ht="15.0" customHeight="1">
      <c r="A29" s="18" t="s">
        <v>1498</v>
      </c>
      <c r="B29" s="19"/>
    </row>
    <row r="30" ht="15.0" customHeight="1">
      <c r="A30" s="13" t="s">
        <v>445</v>
      </c>
      <c r="B30" s="13"/>
      <c r="C30" s="41">
        <f>Staffing!$J$15*C11</f>
        <v>166907330</v>
      </c>
      <c r="D30" s="41">
        <f>Staffing!$J$15*D11</f>
        <v>166907330</v>
      </c>
      <c r="E30" s="41">
        <f>Staffing!$J$15*E11</f>
        <v>166907330</v>
      </c>
      <c r="F30" s="41">
        <f>Staffing!$J$15*F11</f>
        <v>166907330</v>
      </c>
      <c r="G30" s="41">
        <f>Staffing!$J$15*G11</f>
        <v>166907330</v>
      </c>
      <c r="H30" s="41">
        <f>Staffing!$J$15*H11</f>
        <v>166907330</v>
      </c>
      <c r="I30" s="41">
        <f>Staffing!$J$15*I11</f>
        <v>166907330</v>
      </c>
      <c r="J30" s="41">
        <f>Staffing!$J$15*J11</f>
        <v>166907330</v>
      </c>
      <c r="K30" s="41">
        <f>Staffing!$J$15*K11</f>
        <v>166907330</v>
      </c>
      <c r="L30" s="41">
        <f>Staffing!$J$15*L11</f>
        <v>166907330</v>
      </c>
      <c r="M30" s="41">
        <f>Staffing!$J$15*M11</f>
        <v>166907330</v>
      </c>
      <c r="N30" s="41">
        <f>Staffing!$J$15*N11</f>
        <v>166907330</v>
      </c>
      <c r="O30" s="41">
        <f>Staffing!$J$15*O11</f>
        <v>177255584.5</v>
      </c>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row>
    <row r="31" ht="15.0" customHeight="1">
      <c r="A31" s="13" t="s">
        <v>1515</v>
      </c>
      <c r="B31" s="13"/>
      <c r="C31" s="41">
        <f>OPEX!$B$21*(1+Inputs!$H$28)^(C6-1)</f>
        <v>37774218.75</v>
      </c>
      <c r="D31" s="41">
        <f>OPEX!$B$21*(1+Inputs!$H$28)^(D6-1)</f>
        <v>37774218.75</v>
      </c>
      <c r="E31" s="41">
        <f>OPEX!$B$21*(1+Inputs!$H$28)^(E6-1)</f>
        <v>37774218.75</v>
      </c>
      <c r="F31" s="41">
        <f>OPEX!$B$21*(1+Inputs!$H$28)^(F6-1)</f>
        <v>37774218.75</v>
      </c>
      <c r="G31" s="41">
        <f>OPEX!$B$21*(1+Inputs!$H$28)^(G6-1)</f>
        <v>37774218.75</v>
      </c>
      <c r="H31" s="41">
        <f>OPEX!$B$21*(1+Inputs!$H$28)^(H6-1)</f>
        <v>37774218.75</v>
      </c>
      <c r="I31" s="41">
        <f>OPEX!$B$21*(1+Inputs!$H$28)^(I6-1)</f>
        <v>37774218.75</v>
      </c>
      <c r="J31" s="41">
        <f>OPEX!$B$21*(1+Inputs!$H$28)^(J6-1)</f>
        <v>37774218.75</v>
      </c>
      <c r="K31" s="41">
        <f>OPEX!$B$21*(1+Inputs!$H$28)^(K6-1)</f>
        <v>37774218.75</v>
      </c>
      <c r="L31" s="41">
        <f>OPEX!$B$21*(1+Inputs!$H$28)^(L6-1)</f>
        <v>37774218.75</v>
      </c>
      <c r="M31" s="41">
        <f>OPEX!$B$21*(1+Inputs!$H$28)^(M6-1)</f>
        <v>37774218.75</v>
      </c>
      <c r="N31" s="41">
        <f>OPEX!$B$21*(1+Inputs!$H$28)^(N6-1)</f>
        <v>37774218.75</v>
      </c>
      <c r="O31" s="41">
        <f>OPEX!$B$21*(1+Inputs!$H$28)^(O6-1)</f>
        <v>40040671.88</v>
      </c>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row>
    <row r="32" ht="15.0" customHeight="1">
      <c r="A32" s="13" t="s">
        <v>889</v>
      </c>
      <c r="B32" s="13"/>
      <c r="C32" s="41">
        <f>OPEX!$B$22*C12</f>
        <v>0</v>
      </c>
      <c r="D32" s="41">
        <f>OPEX!$B$22*D12</f>
        <v>0</v>
      </c>
      <c r="E32" s="41">
        <f>OPEX!$B$22*E12</f>
        <v>0</v>
      </c>
      <c r="F32" s="41">
        <f>OPEX!$B$22*F12</f>
        <v>0</v>
      </c>
      <c r="G32" s="41">
        <f>OPEX!$B$22*G12</f>
        <v>0</v>
      </c>
      <c r="H32" s="41">
        <f>OPEX!$B$22*H12</f>
        <v>0</v>
      </c>
      <c r="I32" s="41">
        <f>OPEX!$B$22*I12</f>
        <v>0</v>
      </c>
      <c r="J32" s="41">
        <f>OPEX!$B$22*J12</f>
        <v>0</v>
      </c>
      <c r="K32" s="41">
        <f>OPEX!$B$22*K12</f>
        <v>0</v>
      </c>
      <c r="L32" s="41">
        <f>OPEX!$B$22*L12</f>
        <v>0</v>
      </c>
      <c r="M32" s="41">
        <f>OPEX!$B$22*M12</f>
        <v>0</v>
      </c>
      <c r="N32" s="41">
        <f>OPEX!$B$22*N12</f>
        <v>0</v>
      </c>
      <c r="O32" s="41">
        <f>OPEX!$B$22*O12</f>
        <v>0</v>
      </c>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row>
    <row r="33" ht="15.0" customHeight="1">
      <c r="A33" s="13" t="s">
        <v>510</v>
      </c>
      <c r="B33" s="13"/>
      <c r="C33" s="41">
        <f>OPEX!$B$18*C12</f>
        <v>19002300</v>
      </c>
      <c r="D33" s="41">
        <f>OPEX!$B$18*D12</f>
        <v>19002300</v>
      </c>
      <c r="E33" s="41">
        <f>OPEX!$B$18*E12</f>
        <v>19002300</v>
      </c>
      <c r="F33" s="41">
        <f>OPEX!$B$18*F12</f>
        <v>19002300</v>
      </c>
      <c r="G33" s="41">
        <f>OPEX!$B$18*G12</f>
        <v>19002300</v>
      </c>
      <c r="H33" s="41">
        <f>OPEX!$B$18*H12</f>
        <v>19002300</v>
      </c>
      <c r="I33" s="41">
        <f>OPEX!$B$18*I12</f>
        <v>19002300</v>
      </c>
      <c r="J33" s="41">
        <f>OPEX!$B$18*J12</f>
        <v>19002300</v>
      </c>
      <c r="K33" s="41">
        <f>OPEX!$B$18*K12</f>
        <v>19002300</v>
      </c>
      <c r="L33" s="41">
        <f>OPEX!$B$18*L12</f>
        <v>19002300</v>
      </c>
      <c r="M33" s="41">
        <f>OPEX!$B$18*M12</f>
        <v>19002300</v>
      </c>
      <c r="N33" s="41">
        <f>OPEX!$B$18*N12</f>
        <v>19002300</v>
      </c>
      <c r="O33" s="41">
        <f>OPEX!$B$18*O12</f>
        <v>19667380.5</v>
      </c>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row>
    <row r="34" ht="15.0" customHeight="1">
      <c r="A34" s="13" t="s">
        <v>840</v>
      </c>
      <c r="B34" s="13"/>
      <c r="C34" s="41">
        <f>OPEX!$B$13*C12</f>
        <v>49000000</v>
      </c>
      <c r="D34" s="41">
        <f>OPEX!$B$13*D12</f>
        <v>49000000</v>
      </c>
      <c r="E34" s="41">
        <f>OPEX!$B$13*E12</f>
        <v>49000000</v>
      </c>
      <c r="F34" s="41">
        <f>OPEX!$B$13*F12</f>
        <v>49000000</v>
      </c>
      <c r="G34" s="41">
        <f>OPEX!$B$13*G12</f>
        <v>49000000</v>
      </c>
      <c r="H34" s="41">
        <f>OPEX!$B$13*H12</f>
        <v>49000000</v>
      </c>
      <c r="I34" s="41">
        <f>OPEX!$B$13*I12</f>
        <v>49000000</v>
      </c>
      <c r="J34" s="41">
        <f>OPEX!$B$13*J12</f>
        <v>49000000</v>
      </c>
      <c r="K34" s="41">
        <f>OPEX!$B$13*K12</f>
        <v>49000000</v>
      </c>
      <c r="L34" s="41">
        <f>OPEX!$B$13*L12</f>
        <v>49000000</v>
      </c>
      <c r="M34" s="41">
        <f>OPEX!$B$13*M12</f>
        <v>49000000</v>
      </c>
      <c r="N34" s="41">
        <f>OPEX!$B$13*N12</f>
        <v>49000000</v>
      </c>
      <c r="O34" s="41">
        <f>OPEX!$B$13*O12</f>
        <v>50715000</v>
      </c>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row>
    <row r="35" ht="15.0" customHeight="1">
      <c r="A35" s="3" t="s">
        <v>1326</v>
      </c>
      <c r="B35" s="13" t="s">
        <v>1326</v>
      </c>
      <c r="C35" s="93">
        <f t="shared" ref="C35:O35" si="5">C28-SUM(C30:C34)</f>
        <v>-38409551.03</v>
      </c>
      <c r="D35" s="93">
        <f t="shared" si="5"/>
        <v>-14449679.68</v>
      </c>
      <c r="E35" s="93">
        <f t="shared" si="5"/>
        <v>9510191.681</v>
      </c>
      <c r="F35" s="93">
        <f t="shared" si="5"/>
        <v>33470063.04</v>
      </c>
      <c r="G35" s="93">
        <f t="shared" si="5"/>
        <v>57429934.4</v>
      </c>
      <c r="H35" s="93">
        <f t="shared" si="5"/>
        <v>109134155.6</v>
      </c>
      <c r="I35" s="93">
        <f t="shared" si="5"/>
        <v>105349677.1</v>
      </c>
      <c r="J35" s="93">
        <f t="shared" si="5"/>
        <v>97810324.19</v>
      </c>
      <c r="K35" s="93">
        <f t="shared" si="5"/>
        <v>132409006.4</v>
      </c>
      <c r="L35" s="93">
        <f t="shared" si="5"/>
        <v>153269419.8</v>
      </c>
      <c r="M35" s="93">
        <f t="shared" si="5"/>
        <v>153269419.8</v>
      </c>
      <c r="N35" s="93">
        <f t="shared" si="5"/>
        <v>153269419.8</v>
      </c>
      <c r="O35" s="93">
        <f t="shared" si="5"/>
        <v>155312762.5</v>
      </c>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3"/>
    </row>
    <row r="36" ht="15.0" customHeight="1">
      <c r="A36" s="13" t="s">
        <v>638</v>
      </c>
      <c r="B36" s="13"/>
      <c r="C36" s="36">
        <f t="shared" ref="C36:O36" si="6">IFERROR(C35/C18,0)</f>
        <v>-0.09493297899</v>
      </c>
      <c r="D36" s="36">
        <f t="shared" si="6"/>
        <v>-0.03240015113</v>
      </c>
      <c r="E36" s="36">
        <f t="shared" si="6"/>
        <v>0.01951389464</v>
      </c>
      <c r="F36" s="36">
        <f t="shared" si="6"/>
        <v>0.06330226368</v>
      </c>
      <c r="G36" s="36">
        <f t="shared" si="6"/>
        <v>0.1007342566</v>
      </c>
      <c r="H36" s="36">
        <f t="shared" si="6"/>
        <v>0.1655016433</v>
      </c>
      <c r="I36" s="36">
        <f t="shared" si="6"/>
        <v>0.1613635408</v>
      </c>
      <c r="J36" s="36">
        <f t="shared" si="6"/>
        <v>0.1528660724</v>
      </c>
      <c r="K36" s="36">
        <f t="shared" si="6"/>
        <v>0.18926428</v>
      </c>
      <c r="L36" s="36">
        <f t="shared" si="6"/>
        <v>0.2083512361</v>
      </c>
      <c r="M36" s="36">
        <f t="shared" si="6"/>
        <v>0.2083512361</v>
      </c>
      <c r="N36" s="36">
        <f t="shared" si="6"/>
        <v>0.2083512361</v>
      </c>
      <c r="O36" s="36">
        <f t="shared" si="6"/>
        <v>0.2030085705</v>
      </c>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row>
    <row r="37" ht="15.0" customHeight="1">
      <c r="A37" s="13" t="s">
        <v>1329</v>
      </c>
      <c r="B37" s="13"/>
      <c r="C37" s="41">
        <f>IF(C4&lt;=Inputs!$H$81*12,'CAPEX (Buy)'!$H$42/(Inputs!$H$81*12),0)</f>
        <v>47578300</v>
      </c>
      <c r="D37" s="41">
        <f>IF(D4&lt;=Inputs!$H$81*12,'CAPEX (Buy)'!$H$42/(Inputs!$H$81*12),0)</f>
        <v>47578300</v>
      </c>
      <c r="E37" s="41">
        <f>IF(E4&lt;=Inputs!$H$81*12,'CAPEX (Buy)'!$H$42/(Inputs!$H$81*12),0)</f>
        <v>47578300</v>
      </c>
      <c r="F37" s="41">
        <f>IF(F4&lt;=Inputs!$H$81*12,'CAPEX (Buy)'!$H$42/(Inputs!$H$81*12),0)</f>
        <v>47578300</v>
      </c>
      <c r="G37" s="41">
        <f>IF(G4&lt;=Inputs!$H$81*12,'CAPEX (Buy)'!$H$42/(Inputs!$H$81*12),0)</f>
        <v>47578300</v>
      </c>
      <c r="H37" s="41">
        <f>IF(H4&lt;=Inputs!$H$81*12,'CAPEX (Buy)'!$H$42/(Inputs!$H$81*12),0)</f>
        <v>47578300</v>
      </c>
      <c r="I37" s="41">
        <f>IF(I4&lt;=Inputs!$H$81*12,'CAPEX (Buy)'!$H$42/(Inputs!$H$81*12),0)</f>
        <v>47578300</v>
      </c>
      <c r="J37" s="41">
        <f>IF(J4&lt;=Inputs!$H$81*12,'CAPEX (Buy)'!$H$42/(Inputs!$H$81*12),0)</f>
        <v>47578300</v>
      </c>
      <c r="K37" s="41">
        <f>IF(K4&lt;=Inputs!$H$81*12,'CAPEX (Buy)'!$H$42/(Inputs!$H$81*12),0)</f>
        <v>47578300</v>
      </c>
      <c r="L37" s="41">
        <f>IF(L4&lt;=Inputs!$H$81*12,'CAPEX (Buy)'!$H$42/(Inputs!$H$81*12),0)</f>
        <v>47578300</v>
      </c>
      <c r="M37" s="41">
        <f>IF(M4&lt;=Inputs!$H$81*12,'CAPEX (Buy)'!$H$42/(Inputs!$H$81*12),0)</f>
        <v>47578300</v>
      </c>
      <c r="N37" s="41">
        <f>IF(N4&lt;=Inputs!$H$81*12,'CAPEX (Buy)'!$H$42/(Inputs!$H$81*12),0)</f>
        <v>47578300</v>
      </c>
      <c r="O37" s="41">
        <f>IF(O4&lt;=Inputs!$H$81*12,'CAPEX (Buy)'!$H$42/(Inputs!$H$81*12),0)</f>
        <v>47578300</v>
      </c>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row>
    <row r="38" ht="15.0" customHeight="1">
      <c r="A38" s="13" t="s">
        <v>1332</v>
      </c>
      <c r="B38" s="13"/>
      <c r="C38" s="41">
        <f>IF(AND(Funding!$B$10&gt;0,C4&lt;=Funding!$B$17),IPMT(Funding!$B$16/12,C4,Funding!$B$17,-Funding!$B$10),0)</f>
        <v>6756946.464</v>
      </c>
      <c r="D38" s="41">
        <f>IF(AND(Funding!$B$10&gt;0,D4&lt;=Funding!$B$17),IPMT(Funding!$B$16/12,D4,Funding!$B$17,-Funding!$B$10),0)</f>
        <v>6643069.079</v>
      </c>
      <c r="E38" s="41">
        <f>IF(AND(Funding!$B$10&gt;0,E4&lt;=Funding!$B$17),IPMT(Funding!$B$16/12,E4,Funding!$B$17,-Funding!$B$10),0)</f>
        <v>6528195.267</v>
      </c>
      <c r="F38" s="41">
        <f>IF(AND(Funding!$B$10&gt;0,F4&lt;=Funding!$B$17),IPMT(Funding!$B$16/12,F4,Funding!$B$17,-Funding!$B$10),0)</f>
        <v>6412316.31</v>
      </c>
      <c r="G38" s="41">
        <f>IF(AND(Funding!$B$10&gt;0,G4&lt;=Funding!$B$17),IPMT(Funding!$B$16/12,G4,Funding!$B$17,-Funding!$B$10),0)</f>
        <v>6295423.411</v>
      </c>
      <c r="H38" s="41">
        <f>IF(AND(Funding!$B$10&gt;0,H4&lt;=Funding!$B$17),IPMT(Funding!$B$16/12,H4,Funding!$B$17,-Funding!$B$10),0)</f>
        <v>6177507.7</v>
      </c>
      <c r="I38" s="41">
        <f>IF(AND(Funding!$B$10&gt;0,I4&lt;=Funding!$B$17),IPMT(Funding!$B$16/12,I4,Funding!$B$17,-Funding!$B$10),0)</f>
        <v>6058560.226</v>
      </c>
      <c r="J38" s="41">
        <f>IF(AND(Funding!$B$10&gt;0,J4&lt;=Funding!$B$17),IPMT(Funding!$B$16/12,J4,Funding!$B$17,-Funding!$B$10),0)</f>
        <v>5938571.961</v>
      </c>
      <c r="K38" s="41">
        <f>IF(AND(Funding!$B$10&gt;0,K4&lt;=Funding!$B$17),IPMT(Funding!$B$16/12,K4,Funding!$B$17,-Funding!$B$10),0)</f>
        <v>5817533.8</v>
      </c>
      <c r="L38" s="41">
        <f>IF(AND(Funding!$B$10&gt;0,L4&lt;=Funding!$B$17),IPMT(Funding!$B$16/12,L4,Funding!$B$17,-Funding!$B$10),0)</f>
        <v>5695436.554</v>
      </c>
      <c r="M38" s="41">
        <f>IF(AND(Funding!$B$10&gt;0,M4&lt;=Funding!$B$17),IPMT(Funding!$B$16/12,M4,Funding!$B$17,-Funding!$B$10),0)</f>
        <v>5572270.958</v>
      </c>
      <c r="N38" s="41">
        <f>IF(AND(Funding!$B$10&gt;0,N4&lt;=Funding!$B$17),IPMT(Funding!$B$16/12,N4,Funding!$B$17,-Funding!$B$10),0)</f>
        <v>5448027.662</v>
      </c>
      <c r="O38" s="41">
        <f>IF(AND(Funding!$B$10&gt;0,O4&lt;=Funding!$B$17),IPMT(Funding!$B$16/12,O4,Funding!$B$17,-Funding!$B$10),0)</f>
        <v>5322697.238</v>
      </c>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row>
    <row r="39" ht="15.0" customHeight="1">
      <c r="A39" s="13" t="s">
        <v>1771</v>
      </c>
      <c r="B39" s="13"/>
      <c r="C39" s="22">
        <f t="shared" ref="C39:O39" si="7">C35-C37-C38</f>
        <v>-92744797.5</v>
      </c>
      <c r="D39" s="22">
        <f t="shared" si="7"/>
        <v>-68671048.76</v>
      </c>
      <c r="E39" s="22">
        <f t="shared" si="7"/>
        <v>-44596303.59</v>
      </c>
      <c r="F39" s="22">
        <f t="shared" si="7"/>
        <v>-20520553.27</v>
      </c>
      <c r="G39" s="22">
        <f t="shared" si="7"/>
        <v>3556210.985</v>
      </c>
      <c r="H39" s="22">
        <f t="shared" si="7"/>
        <v>55378347.91</v>
      </c>
      <c r="I39" s="22">
        <f t="shared" si="7"/>
        <v>51712816.89</v>
      </c>
      <c r="J39" s="22">
        <f t="shared" si="7"/>
        <v>44293452.23</v>
      </c>
      <c r="K39" s="22">
        <f t="shared" si="7"/>
        <v>79013172.6</v>
      </c>
      <c r="L39" s="22">
        <f t="shared" si="7"/>
        <v>99995683.27</v>
      </c>
      <c r="M39" s="22">
        <f t="shared" si="7"/>
        <v>100118848.9</v>
      </c>
      <c r="N39" s="22">
        <f t="shared" si="7"/>
        <v>100243092.2</v>
      </c>
      <c r="O39" s="22">
        <f t="shared" si="7"/>
        <v>102411765.2</v>
      </c>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row>
    <row r="40" ht="15.0" customHeight="1">
      <c r="A40" s="13" t="s">
        <v>1772</v>
      </c>
      <c r="B40" s="13"/>
      <c r="C40" s="22">
        <f t="shared" ref="C40:O40" si="8">SUM($C39:C39)</f>
        <v>-92744797.5</v>
      </c>
      <c r="D40" s="22">
        <f t="shared" si="8"/>
        <v>-161415846.3</v>
      </c>
      <c r="E40" s="22">
        <f t="shared" si="8"/>
        <v>-206012149.8</v>
      </c>
      <c r="F40" s="22">
        <f t="shared" si="8"/>
        <v>-226532703.1</v>
      </c>
      <c r="G40" s="22">
        <f t="shared" si="8"/>
        <v>-222976492.1</v>
      </c>
      <c r="H40" s="22">
        <f t="shared" si="8"/>
        <v>-167598144.2</v>
      </c>
      <c r="I40" s="22">
        <f t="shared" si="8"/>
        <v>-115885327.3</v>
      </c>
      <c r="J40" s="22">
        <f t="shared" si="8"/>
        <v>-71591875.09</v>
      </c>
      <c r="K40" s="22">
        <f t="shared" si="8"/>
        <v>7421297.503</v>
      </c>
      <c r="L40" s="22">
        <f t="shared" si="8"/>
        <v>107416980.8</v>
      </c>
      <c r="M40" s="22">
        <f t="shared" si="8"/>
        <v>207535829.6</v>
      </c>
      <c r="N40" s="22">
        <f t="shared" si="8"/>
        <v>307778921.8</v>
      </c>
      <c r="O40" s="22">
        <f t="shared" si="8"/>
        <v>410190687.1</v>
      </c>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row>
    <row r="41" ht="15.0" customHeight="1">
      <c r="A41" s="13" t="s">
        <v>1777</v>
      </c>
      <c r="B41" s="13"/>
      <c r="C41" s="41">
        <f>MAX(0,C40*Inputs!$H$16-0)</f>
        <v>0</v>
      </c>
      <c r="D41" s="41">
        <f>MAX(0,D40*Inputs!$H$16-SUM($C$41:C$41))</f>
        <v>0</v>
      </c>
      <c r="E41" s="41">
        <f>MAX(0,E40*Inputs!$H$16-SUM($C$41:D$41))</f>
        <v>0</v>
      </c>
      <c r="F41" s="41">
        <f>MAX(0,F40*Inputs!$H$16-SUM($C$41:E$41))</f>
        <v>0</v>
      </c>
      <c r="G41" s="41">
        <f>MAX(0,G40*Inputs!$H$16-SUM($C$41:F$41))</f>
        <v>0</v>
      </c>
      <c r="H41" s="41">
        <f>MAX(0,H40*Inputs!$H$16-SUM($C$41:G$41))</f>
        <v>0</v>
      </c>
      <c r="I41" s="41">
        <f>MAX(0,I40*Inputs!$H$16-SUM($C$41:H$41))</f>
        <v>0</v>
      </c>
      <c r="J41" s="41">
        <f>MAX(0,J40*Inputs!$H$16-SUM($C$41:I$41))</f>
        <v>0</v>
      </c>
      <c r="K41" s="41">
        <f>MAX(0,K40*Inputs!$H$16-SUM($C$41:J$41))</f>
        <v>1632685.451</v>
      </c>
      <c r="L41" s="41">
        <f>MAX(0,L40*Inputs!$H$16-SUM($C$41:K$41))</f>
        <v>21999050.32</v>
      </c>
      <c r="M41" s="41">
        <f>MAX(0,M40*Inputs!$H$16-SUM($C$41:L$41))</f>
        <v>22026146.75</v>
      </c>
      <c r="N41" s="41">
        <f>MAX(0,N40*Inputs!$H$16-SUM($C$41:M$41))</f>
        <v>22053480.28</v>
      </c>
      <c r="O41" s="41">
        <f>MAX(0,O40*Inputs!$H$16-SUM($C$41:N$41))</f>
        <v>22530588.35</v>
      </c>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row>
    <row r="42" ht="15.0" customHeight="1">
      <c r="A42" s="3" t="s">
        <v>1798</v>
      </c>
      <c r="B42" s="13"/>
      <c r="C42" s="93">
        <f t="shared" ref="C42:O42" si="9">C39-C41</f>
        <v>-92744797.5</v>
      </c>
      <c r="D42" s="93">
        <f t="shared" si="9"/>
        <v>-68671048.76</v>
      </c>
      <c r="E42" s="93">
        <f t="shared" si="9"/>
        <v>-44596303.59</v>
      </c>
      <c r="F42" s="93">
        <f t="shared" si="9"/>
        <v>-20520553.27</v>
      </c>
      <c r="G42" s="93">
        <f t="shared" si="9"/>
        <v>3556210.985</v>
      </c>
      <c r="H42" s="93">
        <f t="shared" si="9"/>
        <v>55378347.91</v>
      </c>
      <c r="I42" s="93">
        <f t="shared" si="9"/>
        <v>51712816.89</v>
      </c>
      <c r="J42" s="93">
        <f t="shared" si="9"/>
        <v>44293452.23</v>
      </c>
      <c r="K42" s="93">
        <f t="shared" si="9"/>
        <v>77380487.15</v>
      </c>
      <c r="L42" s="93">
        <f t="shared" si="9"/>
        <v>77996632.95</v>
      </c>
      <c r="M42" s="93">
        <f t="shared" si="9"/>
        <v>78092702.12</v>
      </c>
      <c r="N42" s="93">
        <f t="shared" si="9"/>
        <v>78189611.89</v>
      </c>
      <c r="O42" s="93">
        <f t="shared" si="9"/>
        <v>79881176.89</v>
      </c>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3"/>
      <c r="BG42" s="93"/>
      <c r="BH42" s="93"/>
      <c r="BI42" s="93"/>
      <c r="BJ42" s="93"/>
    </row>
    <row r="43" ht="15.0" customHeight="1">
      <c r="A43" s="18" t="s">
        <v>1813</v>
      </c>
      <c r="B43" s="19"/>
    </row>
    <row r="44" ht="15.0" customHeight="1">
      <c r="A44" s="13" t="s">
        <v>1815</v>
      </c>
      <c r="B44" s="13"/>
      <c r="C44" s="41">
        <f>IF(AND(MOD(C4-1,Inputs!$H$29)=0,C4&gt;1),SUMIFS($C$31:$BJ$31,$C$4:$BJ$4,"&gt;="&amp;C4,$C$4:$BJ$4,"&lt;"&amp;(C4+Inputs!$H$29)),0)</f>
        <v>0</v>
      </c>
      <c r="D44" s="41">
        <f>IF(AND(MOD(D4-1,Inputs!$H$29)=0,D4&gt;1),SUMIFS($C$31:$BJ$31,$C$4:$BJ$4,"&gt;="&amp;D4,$C$4:$BJ$4,"&lt;"&amp;(D4+Inputs!$H$29)),0)</f>
        <v>0</v>
      </c>
      <c r="E44" s="41">
        <f>IF(AND(MOD(E4-1,Inputs!$H$29)=0,E4&gt;1),SUMIFS($C$31:$BJ$31,$C$4:$BJ$4,"&gt;="&amp;E4,$C$4:$BJ$4,"&lt;"&amp;(E4+Inputs!$H$29)),0)</f>
        <v>0</v>
      </c>
      <c r="F44" s="41">
        <f>IF(AND(MOD(F4-1,Inputs!$H$29)=0,F4&gt;1),SUMIFS($C$31:$BJ$31,$C$4:$BJ$4,"&gt;="&amp;F4,$C$4:$BJ$4,"&lt;"&amp;(F4+Inputs!$H$29)),0)</f>
        <v>0</v>
      </c>
      <c r="G44" s="41">
        <f>IF(AND(MOD(G4-1,Inputs!$H$29)=0,G4&gt;1),SUMIFS($C$31:$BJ$31,$C$4:$BJ$4,"&gt;="&amp;G4,$C$4:$BJ$4,"&lt;"&amp;(G4+Inputs!$H$29)),0)</f>
        <v>0</v>
      </c>
      <c r="H44" s="41">
        <f>IF(AND(MOD(H4-1,Inputs!$H$29)=0,H4&gt;1),SUMIFS($C$31:$BJ$31,$C$4:$BJ$4,"&gt;="&amp;H4,$C$4:$BJ$4,"&lt;"&amp;(H4+Inputs!$H$29)),0)</f>
        <v>0</v>
      </c>
      <c r="I44" s="41">
        <f>IF(AND(MOD(I4-1,Inputs!$H$29)=0,I4&gt;1),SUMIFS($C$31:$BJ$31,$C$4:$BJ$4,"&gt;="&amp;I4,$C$4:$BJ$4,"&lt;"&amp;(I4+Inputs!$H$29)),0)</f>
        <v>0</v>
      </c>
      <c r="J44" s="41">
        <f>IF(AND(MOD(J4-1,Inputs!$H$29)=0,J4&gt;1),SUMIFS($C$31:$BJ$31,$C$4:$BJ$4,"&gt;="&amp;J4,$C$4:$BJ$4,"&lt;"&amp;(J4+Inputs!$H$29)),0)</f>
        <v>0</v>
      </c>
      <c r="K44" s="41">
        <f>IF(AND(MOD(K4-1,Inputs!$H$29)=0,K4&gt;1),SUMIFS($C$31:$BJ$31,$C$4:$BJ$4,"&gt;="&amp;K4,$C$4:$BJ$4,"&lt;"&amp;(K4+Inputs!$H$29)),0)</f>
        <v>0</v>
      </c>
      <c r="L44" s="41">
        <f>IF(AND(MOD(L4-1,Inputs!$H$29)=0,L4&gt;1),SUMIFS($C$31:$BJ$31,$C$4:$BJ$4,"&gt;="&amp;L4,$C$4:$BJ$4,"&lt;"&amp;(L4+Inputs!$H$29)),0)</f>
        <v>0</v>
      </c>
      <c r="M44" s="41">
        <f>IF(AND(MOD(M4-1,Inputs!$H$29)=0,M4&gt;1),SUMIFS($C$31:$BJ$31,$C$4:$BJ$4,"&gt;="&amp;M4,$C$4:$BJ$4,"&lt;"&amp;(M4+Inputs!$H$29)),0)</f>
        <v>0</v>
      </c>
      <c r="N44" s="41">
        <f>IF(AND(MOD(N4-1,Inputs!$H$29)=0,N4&gt;1),SUMIFS($C$31:$BJ$31,$C$4:$BJ$4,"&gt;="&amp;N4,$C$4:$BJ$4,"&lt;"&amp;(N4+Inputs!$H$29)),0)</f>
        <v>0</v>
      </c>
      <c r="O44" s="41">
        <f>IF(AND(MOD(O4-1,Inputs!$H$29)=0,O4&gt;1),SUMIFS($C$31:$BJ$31,$C$4:$BJ$4,"&gt;="&amp;O4,$C$4:$BJ$4,"&lt;"&amp;(O4+Inputs!$H$29)),0)</f>
        <v>40040671.88</v>
      </c>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row>
    <row r="45" ht="15.0" customHeight="1">
      <c r="A45" s="13" t="s">
        <v>1859</v>
      </c>
      <c r="B45" s="13"/>
      <c r="C45" s="22">
        <f t="shared" ref="C45:O45" si="10">C31-C44</f>
        <v>37774218.75</v>
      </c>
      <c r="D45" s="22">
        <f t="shared" si="10"/>
        <v>37774218.75</v>
      </c>
      <c r="E45" s="22">
        <f t="shared" si="10"/>
        <v>37774218.75</v>
      </c>
      <c r="F45" s="22">
        <f t="shared" si="10"/>
        <v>37774218.75</v>
      </c>
      <c r="G45" s="22">
        <f t="shared" si="10"/>
        <v>37774218.75</v>
      </c>
      <c r="H45" s="22">
        <f t="shared" si="10"/>
        <v>37774218.75</v>
      </c>
      <c r="I45" s="22">
        <f t="shared" si="10"/>
        <v>37774218.75</v>
      </c>
      <c r="J45" s="22">
        <f t="shared" si="10"/>
        <v>37774218.75</v>
      </c>
      <c r="K45" s="22">
        <f t="shared" si="10"/>
        <v>37774218.75</v>
      </c>
      <c r="L45" s="22">
        <f t="shared" si="10"/>
        <v>37774218.75</v>
      </c>
      <c r="M45" s="22">
        <f t="shared" si="10"/>
        <v>37774218.75</v>
      </c>
      <c r="N45" s="22">
        <f t="shared" si="10"/>
        <v>37774218.75</v>
      </c>
      <c r="O45" s="22">
        <f t="shared" si="10"/>
        <v>0</v>
      </c>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row>
    <row r="46" ht="15.0" customHeight="1">
      <c r="A46" s="13" t="s">
        <v>1866</v>
      </c>
      <c r="B46" s="13"/>
      <c r="C46" s="41">
        <f>IF(AND(Funding!$B$10&gt;0,C4&lt;=Funding!$B$17),PPMT(Funding!$B$16/12,C4,Funding!$B$17,-Funding!$B$10),0)</f>
        <v>13014558.25</v>
      </c>
      <c r="D46" s="41">
        <f>IF(AND(Funding!$B$10&gt;0,D4&lt;=Funding!$B$17),PPMT(Funding!$B$16/12,D4,Funding!$B$17,-Funding!$B$10),0)</f>
        <v>13128435.64</v>
      </c>
      <c r="E46" s="41">
        <f>IF(AND(Funding!$B$10&gt;0,E4&lt;=Funding!$B$17),PPMT(Funding!$B$16/12,E4,Funding!$B$17,-Funding!$B$10),0)</f>
        <v>13243309.45</v>
      </c>
      <c r="F46" s="41">
        <f>IF(AND(Funding!$B$10&gt;0,F4&lt;=Funding!$B$17),PPMT(Funding!$B$16/12,F4,Funding!$B$17,-Funding!$B$10),0)</f>
        <v>13359188.41</v>
      </c>
      <c r="G46" s="41">
        <f>IF(AND(Funding!$B$10&gt;0,G4&lt;=Funding!$B$17),PPMT(Funding!$B$16/12,G4,Funding!$B$17,-Funding!$B$10),0)</f>
        <v>13476081.31</v>
      </c>
      <c r="H46" s="41">
        <f>IF(AND(Funding!$B$10&gt;0,H4&lt;=Funding!$B$17),PPMT(Funding!$B$16/12,H4,Funding!$B$17,-Funding!$B$10),0)</f>
        <v>13593997.02</v>
      </c>
      <c r="I46" s="41">
        <f>IF(AND(Funding!$B$10&gt;0,I4&lt;=Funding!$B$17),PPMT(Funding!$B$16/12,I4,Funding!$B$17,-Funding!$B$10),0)</f>
        <v>13712944.49</v>
      </c>
      <c r="J46" s="41">
        <f>IF(AND(Funding!$B$10&gt;0,J4&lt;=Funding!$B$17),PPMT(Funding!$B$16/12,J4,Funding!$B$17,-Funding!$B$10),0)</f>
        <v>13832932.76</v>
      </c>
      <c r="K46" s="41">
        <f>IF(AND(Funding!$B$10&gt;0,K4&lt;=Funding!$B$17),PPMT(Funding!$B$16/12,K4,Funding!$B$17,-Funding!$B$10),0)</f>
        <v>13953970.92</v>
      </c>
      <c r="L46" s="41">
        <f>IF(AND(Funding!$B$10&gt;0,L4&lt;=Funding!$B$17),PPMT(Funding!$B$16/12,L4,Funding!$B$17,-Funding!$B$10),0)</f>
        <v>14076068.16</v>
      </c>
      <c r="M46" s="41">
        <f>IF(AND(Funding!$B$10&gt;0,M4&lt;=Funding!$B$17),PPMT(Funding!$B$16/12,M4,Funding!$B$17,-Funding!$B$10),0)</f>
        <v>14199233.76</v>
      </c>
      <c r="N46" s="41">
        <f>IF(AND(Funding!$B$10&gt;0,N4&lt;=Funding!$B$17),PPMT(Funding!$B$16/12,N4,Funding!$B$17,-Funding!$B$10),0)</f>
        <v>14323477.05</v>
      </c>
      <c r="O46" s="41">
        <f>IF(AND(Funding!$B$10&gt;0,O4&lt;=Funding!$B$17),PPMT(Funding!$B$16/12,O4,Funding!$B$17,-Funding!$B$10),0)</f>
        <v>14448807.48</v>
      </c>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row>
    <row r="47" ht="15.0" customHeight="1">
      <c r="A47" s="3" t="s">
        <v>1902</v>
      </c>
      <c r="B47" s="13"/>
      <c r="C47" s="93">
        <f t="shared" ref="C47:O47" si="11">C35+C45-C41-C38-C46</f>
        <v>-20406837</v>
      </c>
      <c r="D47" s="93">
        <f t="shared" si="11"/>
        <v>3553034.357</v>
      </c>
      <c r="E47" s="93">
        <f t="shared" si="11"/>
        <v>27512905.71</v>
      </c>
      <c r="F47" s="93">
        <f t="shared" si="11"/>
        <v>51472777.07</v>
      </c>
      <c r="G47" s="93">
        <f t="shared" si="11"/>
        <v>75432648.43</v>
      </c>
      <c r="H47" s="93">
        <f t="shared" si="11"/>
        <v>127136869.6</v>
      </c>
      <c r="I47" s="93">
        <f t="shared" si="11"/>
        <v>123352391.1</v>
      </c>
      <c r="J47" s="93">
        <f t="shared" si="11"/>
        <v>115813038.2</v>
      </c>
      <c r="K47" s="93">
        <f t="shared" si="11"/>
        <v>148779035</v>
      </c>
      <c r="L47" s="93">
        <f t="shared" si="11"/>
        <v>149273083.5</v>
      </c>
      <c r="M47" s="93">
        <f t="shared" si="11"/>
        <v>149245987.1</v>
      </c>
      <c r="N47" s="93">
        <f t="shared" si="11"/>
        <v>149218653.6</v>
      </c>
      <c r="O47" s="93">
        <f t="shared" si="11"/>
        <v>113010669.4</v>
      </c>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row>
    <row r="48" ht="15.0" customHeight="1">
      <c r="A48" s="13" t="s">
        <v>1912</v>
      </c>
      <c r="B48" s="13"/>
      <c r="C48" s="41">
        <f>Funding!$B$13</f>
        <v>704728890</v>
      </c>
      <c r="D48" s="22">
        <f t="shared" ref="D48:O48" si="12">C49</f>
        <v>684322053</v>
      </c>
      <c r="E48" s="22">
        <f t="shared" si="12"/>
        <v>687875087.4</v>
      </c>
      <c r="F48" s="22">
        <f t="shared" si="12"/>
        <v>715387993.1</v>
      </c>
      <c r="G48" s="22">
        <f t="shared" si="12"/>
        <v>766860770.1</v>
      </c>
      <c r="H48" s="22">
        <f t="shared" si="12"/>
        <v>842293418.6</v>
      </c>
      <c r="I48" s="22">
        <f t="shared" si="12"/>
        <v>969430288.2</v>
      </c>
      <c r="J48" s="22">
        <f t="shared" si="12"/>
        <v>1092782679</v>
      </c>
      <c r="K48" s="22">
        <f t="shared" si="12"/>
        <v>1208595718</v>
      </c>
      <c r="L48" s="22">
        <f t="shared" si="12"/>
        <v>1357374753</v>
      </c>
      <c r="M48" s="22">
        <f t="shared" si="12"/>
        <v>1506647836</v>
      </c>
      <c r="N48" s="22">
        <f t="shared" si="12"/>
        <v>1655893823</v>
      </c>
      <c r="O48" s="22">
        <f t="shared" si="12"/>
        <v>1805112477</v>
      </c>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row>
    <row r="49" ht="15.0" customHeight="1">
      <c r="A49" s="3" t="s">
        <v>1926</v>
      </c>
      <c r="B49" s="13"/>
      <c r="C49" s="93">
        <f t="shared" ref="C49:O49" si="13">C48+C47</f>
        <v>684322053</v>
      </c>
      <c r="D49" s="93">
        <f t="shared" si="13"/>
        <v>687875087.4</v>
      </c>
      <c r="E49" s="93">
        <f t="shared" si="13"/>
        <v>715387993.1</v>
      </c>
      <c r="F49" s="93">
        <f t="shared" si="13"/>
        <v>766860770.1</v>
      </c>
      <c r="G49" s="93">
        <f t="shared" si="13"/>
        <v>842293418.6</v>
      </c>
      <c r="H49" s="93">
        <f t="shared" si="13"/>
        <v>969430288.2</v>
      </c>
      <c r="I49" s="93">
        <f t="shared" si="13"/>
        <v>1092782679</v>
      </c>
      <c r="J49" s="93">
        <f t="shared" si="13"/>
        <v>1208595718</v>
      </c>
      <c r="K49" s="93">
        <f t="shared" si="13"/>
        <v>1357374753</v>
      </c>
      <c r="L49" s="93">
        <f t="shared" si="13"/>
        <v>1506647836</v>
      </c>
      <c r="M49" s="93">
        <f t="shared" si="13"/>
        <v>1655893823</v>
      </c>
      <c r="N49" s="93">
        <f t="shared" si="13"/>
        <v>1805112477</v>
      </c>
      <c r="O49" s="93">
        <f t="shared" si="13"/>
        <v>1918123146</v>
      </c>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row>
    <row r="50" ht="15.0" customHeight="1">
      <c r="A50" s="18" t="s">
        <v>1934</v>
      </c>
      <c r="B50" s="19"/>
    </row>
    <row r="51" ht="15.0" customHeight="1">
      <c r="A51" s="13" t="s">
        <v>1935</v>
      </c>
      <c r="B51" s="13"/>
      <c r="C51" s="22">
        <f t="shared" ref="C51:O51" si="14">C35+C45-C41</f>
        <v>-635332.2834</v>
      </c>
      <c r="D51" s="22">
        <f t="shared" si="14"/>
        <v>23324539.07</v>
      </c>
      <c r="E51" s="22">
        <f t="shared" si="14"/>
        <v>47284410.43</v>
      </c>
      <c r="F51" s="22">
        <f t="shared" si="14"/>
        <v>71244281.79</v>
      </c>
      <c r="G51" s="22">
        <f t="shared" si="14"/>
        <v>95204153.15</v>
      </c>
      <c r="H51" s="22">
        <f t="shared" si="14"/>
        <v>146908374.4</v>
      </c>
      <c r="I51" s="22">
        <f t="shared" si="14"/>
        <v>143123895.9</v>
      </c>
      <c r="J51" s="22">
        <f t="shared" si="14"/>
        <v>135584542.9</v>
      </c>
      <c r="K51" s="22">
        <f t="shared" si="14"/>
        <v>168550539.7</v>
      </c>
      <c r="L51" s="22">
        <f t="shared" si="14"/>
        <v>169044588.3</v>
      </c>
      <c r="M51" s="22">
        <f t="shared" si="14"/>
        <v>169017491.8</v>
      </c>
      <c r="N51" s="22">
        <f t="shared" si="14"/>
        <v>168990158.3</v>
      </c>
      <c r="O51" s="22">
        <f t="shared" si="14"/>
        <v>132782174.1</v>
      </c>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row>
    <row r="52" ht="15.0" customHeight="1">
      <c r="A52" s="13" t="s">
        <v>1943</v>
      </c>
      <c r="B52" s="13" t="s">
        <v>1943</v>
      </c>
      <c r="C52" s="41">
        <f>-'CAPEX (Buy)'!$H$37+SUM($C51:C51)</f>
        <v>-5092857785</v>
      </c>
      <c r="D52" s="41">
        <f>-'CAPEX (Buy)'!$H$37+SUM($C51:D51)</f>
        <v>-5069533246</v>
      </c>
      <c r="E52" s="41">
        <f>-'CAPEX (Buy)'!$H$37+SUM($C51:E51)</f>
        <v>-5022248836</v>
      </c>
      <c r="F52" s="41">
        <f>-'CAPEX (Buy)'!$H$37+SUM($C51:F51)</f>
        <v>-4951004554</v>
      </c>
      <c r="G52" s="41">
        <f>-'CAPEX (Buy)'!$H$37+SUM($C51:G51)</f>
        <v>-4855800401</v>
      </c>
      <c r="H52" s="41">
        <f>-'CAPEX (Buy)'!$H$37+SUM($C51:H51)</f>
        <v>-4708892026</v>
      </c>
      <c r="I52" s="41">
        <f>-'CAPEX (Buy)'!$H$37+SUM($C51:I51)</f>
        <v>-4565768131</v>
      </c>
      <c r="J52" s="41">
        <f>-'CAPEX (Buy)'!$H$37+SUM($C51:J51)</f>
        <v>-4430183588</v>
      </c>
      <c r="K52" s="41">
        <f>-'CAPEX (Buy)'!$H$37+SUM($C51:K51)</f>
        <v>-4261633048</v>
      </c>
      <c r="L52" s="41">
        <f>-'CAPEX (Buy)'!$H$37+SUM($C51:L51)</f>
        <v>-4092588460</v>
      </c>
      <c r="M52" s="41">
        <f>-'CAPEX (Buy)'!$H$37+SUM($C51:M51)</f>
        <v>-3923570968</v>
      </c>
      <c r="N52" s="41">
        <f>-'CAPEX (Buy)'!$H$37+SUM($C51:N51)</f>
        <v>-3754580810</v>
      </c>
      <c r="O52" s="41">
        <f>-'CAPEX (Buy)'!$H$37+SUM($C51:O51)</f>
        <v>-3621798635</v>
      </c>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row>
    <row r="53" ht="15.0" customHeight="1">
      <c r="A53" s="13" t="s">
        <v>1963</v>
      </c>
      <c r="B53" s="13"/>
      <c r="C53" s="87" t="str">
        <f>IF(C52&gt;=0,C4,"")</f>
        <v/>
      </c>
      <c r="D53" s="87" t="str">
        <f t="shared" ref="D53:BC53" si="15">IF(AND(D52&gt;=0,C52&lt;0),D4,"")</f>
        <v/>
      </c>
      <c r="E53" s="87" t="str">
        <f t="shared" si="15"/>
        <v/>
      </c>
      <c r="F53" s="87" t="str">
        <f t="shared" si="15"/>
        <v/>
      </c>
      <c r="G53" s="87" t="str">
        <f t="shared" si="15"/>
        <v/>
      </c>
      <c r="H53" s="87" t="str">
        <f t="shared" si="15"/>
        <v/>
      </c>
      <c r="I53" s="87" t="str">
        <f t="shared" si="15"/>
        <v/>
      </c>
      <c r="J53" s="87" t="str">
        <f t="shared" si="15"/>
        <v/>
      </c>
      <c r="K53" s="87" t="str">
        <f t="shared" si="15"/>
        <v/>
      </c>
      <c r="L53" s="87" t="str">
        <f t="shared" si="15"/>
        <v/>
      </c>
      <c r="M53" s="87" t="str">
        <f t="shared" si="15"/>
        <v/>
      </c>
      <c r="N53" s="87" t="str">
        <f t="shared" si="15"/>
        <v/>
      </c>
      <c r="O53" s="87" t="str">
        <f t="shared" si="15"/>
        <v/>
      </c>
      <c r="P53" s="87" t="str">
        <f t="shared" si="15"/>
        <v/>
      </c>
      <c r="Q53" s="87" t="str">
        <f t="shared" si="15"/>
        <v/>
      </c>
      <c r="R53" s="87" t="str">
        <f t="shared" si="15"/>
        <v/>
      </c>
      <c r="S53" s="87" t="str">
        <f t="shared" si="15"/>
        <v/>
      </c>
      <c r="T53" s="87" t="str">
        <f t="shared" si="15"/>
        <v/>
      </c>
      <c r="U53" s="87" t="str">
        <f t="shared" si="15"/>
        <v/>
      </c>
      <c r="V53" s="87" t="str">
        <f t="shared" si="15"/>
        <v/>
      </c>
      <c r="W53" s="87" t="str">
        <f t="shared" si="15"/>
        <v/>
      </c>
      <c r="X53" s="87" t="str">
        <f t="shared" si="15"/>
        <v/>
      </c>
      <c r="Y53" s="87" t="str">
        <f t="shared" si="15"/>
        <v/>
      </c>
      <c r="Z53" s="87" t="str">
        <f t="shared" si="15"/>
        <v/>
      </c>
      <c r="AA53" s="87" t="str">
        <f t="shared" si="15"/>
        <v/>
      </c>
      <c r="AB53" s="87" t="str">
        <f t="shared" si="15"/>
        <v/>
      </c>
      <c r="AC53" s="87" t="str">
        <f t="shared" si="15"/>
        <v/>
      </c>
      <c r="AD53" s="87" t="str">
        <f t="shared" si="15"/>
        <v/>
      </c>
      <c r="AE53" s="87" t="str">
        <f t="shared" si="15"/>
        <v/>
      </c>
      <c r="AF53" s="87" t="str">
        <f t="shared" si="15"/>
        <v/>
      </c>
      <c r="AG53" s="87" t="str">
        <f t="shared" si="15"/>
        <v/>
      </c>
      <c r="AH53" s="87" t="str">
        <f t="shared" si="15"/>
        <v/>
      </c>
      <c r="AI53" s="87" t="str">
        <f t="shared" si="15"/>
        <v/>
      </c>
      <c r="AJ53" s="87" t="str">
        <f t="shared" si="15"/>
        <v/>
      </c>
      <c r="AK53" s="87" t="str">
        <f t="shared" si="15"/>
        <v/>
      </c>
      <c r="AL53" s="87" t="str">
        <f t="shared" si="15"/>
        <v/>
      </c>
      <c r="AM53" s="87" t="str">
        <f t="shared" si="15"/>
        <v/>
      </c>
      <c r="AN53" s="87" t="str">
        <f t="shared" si="15"/>
        <v/>
      </c>
      <c r="AO53" s="87" t="str">
        <f t="shared" si="15"/>
        <v/>
      </c>
      <c r="AP53" s="87" t="str">
        <f t="shared" si="15"/>
        <v/>
      </c>
      <c r="AQ53" s="87" t="str">
        <f t="shared" si="15"/>
        <v/>
      </c>
      <c r="AR53" s="87" t="str">
        <f t="shared" si="15"/>
        <v/>
      </c>
      <c r="AS53" s="87" t="str">
        <f t="shared" si="15"/>
        <v/>
      </c>
      <c r="AT53" s="87" t="str">
        <f t="shared" si="15"/>
        <v/>
      </c>
      <c r="AU53" s="87" t="str">
        <f t="shared" si="15"/>
        <v/>
      </c>
      <c r="AV53" s="87" t="str">
        <f t="shared" si="15"/>
        <v/>
      </c>
      <c r="AW53" s="87" t="str">
        <f t="shared" si="15"/>
        <v/>
      </c>
      <c r="AX53" s="87" t="str">
        <f t="shared" si="15"/>
        <v/>
      </c>
      <c r="AY53" s="87" t="str">
        <f t="shared" si="15"/>
        <v/>
      </c>
      <c r="AZ53" s="87" t="str">
        <f t="shared" si="15"/>
        <v/>
      </c>
      <c r="BA53" s="87" t="str">
        <f t="shared" si="15"/>
        <v/>
      </c>
      <c r="BB53" s="87" t="str">
        <f t="shared" si="15"/>
        <v/>
      </c>
      <c r="BC53" s="87" t="str">
        <f t="shared" si="15"/>
        <v/>
      </c>
      <c r="BD53" s="87"/>
      <c r="BE53" s="87"/>
      <c r="BF53" s="87"/>
      <c r="BG53" s="87"/>
      <c r="BH53" s="87"/>
      <c r="BI53" s="87"/>
      <c r="BJ53" s="87"/>
    </row>
    <row r="54" ht="15.75" customHeight="1"/>
    <row r="55" ht="15.0" customHeight="1">
      <c r="A55" s="2" t="s">
        <v>1979</v>
      </c>
    </row>
    <row r="56" ht="15.75" customHeight="1"/>
    <row r="57" ht="15.75" customHeight="1"/>
    <row r="58" ht="15.75" customHeight="1">
      <c r="A58" s="60" t="s">
        <v>1981</v>
      </c>
    </row>
    <row r="59" ht="27.0" customHeight="1">
      <c r="A59" s="15" t="s">
        <v>624</v>
      </c>
      <c r="B59" s="61" t="s">
        <v>631</v>
      </c>
      <c r="C59" s="63"/>
      <c r="D59" s="61" t="s">
        <v>633</v>
      </c>
      <c r="E59" s="62"/>
      <c r="F59" s="62"/>
      <c r="G59" s="63"/>
      <c r="H59" s="61" t="s">
        <v>636</v>
      </c>
      <c r="I59" s="62"/>
      <c r="J59" s="62"/>
      <c r="K59" s="62"/>
      <c r="L59" s="62"/>
      <c r="M59" s="62"/>
      <c r="N59" s="62"/>
      <c r="O59" s="62"/>
      <c r="P59" s="63"/>
      <c r="Q59" s="61" t="s">
        <v>69</v>
      </c>
      <c r="R59" s="62"/>
      <c r="S59" s="63"/>
    </row>
    <row r="60" ht="15.0" customHeight="1">
      <c r="A60" s="80" t="s">
        <v>1983</v>
      </c>
      <c r="B60" s="79">
        <f>Inputs!H46</f>
        <v>0.55</v>
      </c>
      <c r="C60" s="66"/>
      <c r="D60" s="64" t="s">
        <v>1986</v>
      </c>
      <c r="E60" s="65"/>
      <c r="F60" s="65"/>
      <c r="G60" s="66"/>
      <c r="H60" s="64" t="s">
        <v>1987</v>
      </c>
      <c r="I60" s="65"/>
      <c r="J60" s="65"/>
      <c r="K60" s="65"/>
      <c r="L60" s="65"/>
      <c r="M60" s="65"/>
      <c r="N60" s="65"/>
      <c r="O60" s="65"/>
      <c r="P60" s="66"/>
      <c r="Q60" s="75" t="s">
        <v>91</v>
      </c>
      <c r="R60" s="65"/>
      <c r="S60" s="66"/>
    </row>
    <row r="61" ht="15.0" customHeight="1">
      <c r="A61" s="80" t="s">
        <v>1990</v>
      </c>
      <c r="B61" s="79">
        <f>Inputs!H93</f>
        <v>0.92</v>
      </c>
      <c r="C61" s="66"/>
      <c r="D61" s="64" t="s">
        <v>1603</v>
      </c>
      <c r="E61" s="65"/>
      <c r="F61" s="65"/>
      <c r="G61" s="66"/>
      <c r="H61" s="64" t="s">
        <v>1995</v>
      </c>
      <c r="I61" s="65"/>
      <c r="J61" s="65"/>
      <c r="K61" s="65"/>
      <c r="L61" s="65"/>
      <c r="M61" s="65"/>
      <c r="N61" s="65"/>
      <c r="O61" s="65"/>
      <c r="P61" s="66"/>
      <c r="Q61" s="72" t="s">
        <v>176</v>
      </c>
      <c r="R61" s="65"/>
      <c r="S61" s="66"/>
    </row>
    <row r="62" ht="15.0" customHeight="1">
      <c r="A62" s="80" t="s">
        <v>1996</v>
      </c>
      <c r="B62" s="79">
        <f>Inputs!H13</f>
        <v>0.04</v>
      </c>
      <c r="C62" s="66"/>
      <c r="D62" s="64" t="s">
        <v>2000</v>
      </c>
      <c r="E62" s="65"/>
      <c r="F62" s="65"/>
      <c r="G62" s="66"/>
      <c r="H62" s="64" t="s">
        <v>2002</v>
      </c>
      <c r="I62" s="65"/>
      <c r="J62" s="65"/>
      <c r="K62" s="65"/>
      <c r="L62" s="65"/>
      <c r="M62" s="65"/>
      <c r="N62" s="65"/>
      <c r="O62" s="65"/>
      <c r="P62" s="66"/>
      <c r="Q62" s="69" t="s">
        <v>82</v>
      </c>
      <c r="R62" s="65"/>
      <c r="S62" s="66"/>
    </row>
    <row r="63" ht="15.0" customHeight="1">
      <c r="A63" s="80" t="s">
        <v>2009</v>
      </c>
      <c r="B63" s="79">
        <f>Inputs!H28</f>
        <v>0.06</v>
      </c>
      <c r="C63" s="66"/>
      <c r="D63" s="64" t="s">
        <v>2015</v>
      </c>
      <c r="E63" s="65"/>
      <c r="F63" s="65"/>
      <c r="G63" s="66"/>
      <c r="H63" s="64" t="s">
        <v>2018</v>
      </c>
      <c r="I63" s="65"/>
      <c r="J63" s="65"/>
      <c r="K63" s="65"/>
      <c r="L63" s="65"/>
      <c r="M63" s="65"/>
      <c r="N63" s="65"/>
      <c r="O63" s="65"/>
      <c r="P63" s="66"/>
      <c r="Q63" s="72" t="s">
        <v>176</v>
      </c>
      <c r="R63" s="65"/>
      <c r="S63" s="66"/>
    </row>
    <row r="64" ht="15.0" customHeight="1">
      <c r="A64" s="80" t="s">
        <v>1329</v>
      </c>
      <c r="B64" s="67">
        <f>Inputs!H81</f>
        <v>5</v>
      </c>
      <c r="C64" s="66"/>
      <c r="D64" s="64" t="s">
        <v>1891</v>
      </c>
      <c r="E64" s="65"/>
      <c r="F64" s="65"/>
      <c r="G64" s="66"/>
      <c r="H64" s="64" t="s">
        <v>2023</v>
      </c>
      <c r="I64" s="65"/>
      <c r="J64" s="65"/>
      <c r="K64" s="65"/>
      <c r="L64" s="65"/>
      <c r="M64" s="65"/>
      <c r="N64" s="65"/>
      <c r="O64" s="65"/>
      <c r="P64" s="66"/>
      <c r="Q64" s="69" t="s">
        <v>82</v>
      </c>
      <c r="R64" s="65"/>
      <c r="S64" s="66"/>
    </row>
    <row r="65" ht="15.0" customHeight="1">
      <c r="A65" s="80" t="s">
        <v>2024</v>
      </c>
      <c r="B65" s="79">
        <f>Inputs!H84</f>
        <v>0.105</v>
      </c>
      <c r="C65" s="66"/>
      <c r="D65" s="64" t="s">
        <v>1627</v>
      </c>
      <c r="E65" s="65"/>
      <c r="F65" s="65"/>
      <c r="G65" s="66"/>
      <c r="H65" s="64" t="s">
        <v>2025</v>
      </c>
      <c r="I65" s="65"/>
      <c r="J65" s="65"/>
      <c r="K65" s="65"/>
      <c r="L65" s="65"/>
      <c r="M65" s="65"/>
      <c r="N65" s="65"/>
      <c r="O65" s="65"/>
      <c r="P65" s="66"/>
      <c r="Q65" s="69" t="s">
        <v>82</v>
      </c>
      <c r="R65" s="65"/>
      <c r="S65" s="66"/>
    </row>
    <row r="66" ht="27.0" customHeight="1">
      <c r="A66" s="80" t="s">
        <v>2026</v>
      </c>
      <c r="B66" s="79">
        <f>Inputs!H16</f>
        <v>0.22</v>
      </c>
      <c r="C66" s="66"/>
      <c r="D66" s="64" t="s">
        <v>2027</v>
      </c>
      <c r="E66" s="65"/>
      <c r="F66" s="65"/>
      <c r="G66" s="66"/>
      <c r="H66" s="64" t="s">
        <v>2028</v>
      </c>
      <c r="I66" s="65"/>
      <c r="J66" s="65"/>
      <c r="K66" s="65"/>
      <c r="L66" s="65"/>
      <c r="M66" s="65"/>
      <c r="N66" s="65"/>
      <c r="O66" s="65"/>
      <c r="P66" s="66"/>
      <c r="Q66" s="69" t="s">
        <v>124</v>
      </c>
      <c r="R66" s="65"/>
      <c r="S66" s="66"/>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H61:P61"/>
    <mergeCell ref="Q61:S61"/>
    <mergeCell ref="H62:P62"/>
    <mergeCell ref="Q62:S62"/>
    <mergeCell ref="H63:P63"/>
    <mergeCell ref="Q63:S63"/>
    <mergeCell ref="B59:C59"/>
    <mergeCell ref="D59:G59"/>
    <mergeCell ref="H59:P59"/>
    <mergeCell ref="Q59:S59"/>
    <mergeCell ref="D60:G60"/>
    <mergeCell ref="H60:P60"/>
    <mergeCell ref="Q60:S60"/>
    <mergeCell ref="B64:C64"/>
    <mergeCell ref="D64:G64"/>
    <mergeCell ref="H64:P64"/>
    <mergeCell ref="Q64:S64"/>
    <mergeCell ref="B65:C65"/>
    <mergeCell ref="D65:G65"/>
    <mergeCell ref="H65:P65"/>
    <mergeCell ref="Q65:S65"/>
    <mergeCell ref="B66:C66"/>
    <mergeCell ref="D66:G66"/>
    <mergeCell ref="H66:P66"/>
    <mergeCell ref="Q66:S66"/>
    <mergeCell ref="B60:C60"/>
    <mergeCell ref="B61:C61"/>
    <mergeCell ref="D61:G61"/>
    <mergeCell ref="B62:C62"/>
    <mergeCell ref="D62:G62"/>
    <mergeCell ref="B63:C63"/>
    <mergeCell ref="D63:G63"/>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4.0"/>
    <col customWidth="1" min="3" max="8" width="16.0"/>
    <col customWidth="1" min="9" max="26" width="8.71"/>
  </cols>
  <sheetData>
    <row r="1" ht="17.25" customHeight="1">
      <c r="A1" s="1" t="s">
        <v>1265</v>
      </c>
    </row>
    <row r="2" ht="15.0" customHeight="1">
      <c r="A2" s="2" t="s">
        <v>1266</v>
      </c>
    </row>
    <row r="4" ht="15.0" customHeight="1">
      <c r="A4" s="12" t="s">
        <v>210</v>
      </c>
      <c r="B4" s="12"/>
      <c r="C4" s="12" t="s">
        <v>1267</v>
      </c>
      <c r="D4" s="12" t="s">
        <v>1268</v>
      </c>
      <c r="E4" s="12" t="s">
        <v>1269</v>
      </c>
      <c r="F4" s="12" t="s">
        <v>1270</v>
      </c>
      <c r="G4" s="12" t="s">
        <v>1272</v>
      </c>
      <c r="H4" s="12" t="s">
        <v>1273</v>
      </c>
    </row>
    <row r="5" ht="15.0" customHeight="1">
      <c r="A5" s="3" t="s">
        <v>263</v>
      </c>
      <c r="C5" s="41">
        <f>SUMIFS(PnL_Monthly!$C$18:$BJ$18,PnL_Monthly!$C$6:$BJ$6,1)</f>
        <v>7295392080</v>
      </c>
      <c r="D5" s="41">
        <f>SUMIFS(PnL_Monthly!$C$18:$BJ$18,PnL_Monthly!$C$6:$BJ$6,2)</f>
        <v>765055200</v>
      </c>
      <c r="E5" s="41">
        <f>SUMIFS(PnL_Monthly!$C$18:$BJ$18,PnL_Monthly!$C$6:$BJ$6,3)</f>
        <v>0</v>
      </c>
      <c r="F5" s="41">
        <f>SUMIFS(PnL_Monthly!$C$18:$BJ$18,PnL_Monthly!$C$6:$BJ$6,4)</f>
        <v>0</v>
      </c>
      <c r="G5" s="41">
        <f>SUMIFS(PnL_Monthly!$C$18:$BJ$18,PnL_Monthly!$C$6:$BJ$6,5)</f>
        <v>0</v>
      </c>
      <c r="H5" s="22">
        <f t="shared" ref="H5:H11" si="1">SUM(C5:G5)</f>
        <v>8060447280</v>
      </c>
    </row>
    <row r="6" ht="15.0" customHeight="1">
      <c r="A6" s="13" t="s">
        <v>1280</v>
      </c>
      <c r="C6" s="41">
        <f>SUMIFS(PnL_Monthly!$C$20:$BJ$20,PnL_Monthly!$C$6:$BJ$6,1)</f>
        <v>2134145158</v>
      </c>
      <c r="D6" s="41">
        <f>SUMIFS(PnL_Monthly!$C$20:$BJ$20,PnL_Monthly!$C$6:$BJ$6,2)</f>
        <v>223798792.3</v>
      </c>
      <c r="E6" s="41">
        <f>SUMIFS(PnL_Monthly!$C$20:$BJ$20,PnL_Monthly!$C$6:$BJ$6,3)</f>
        <v>0</v>
      </c>
      <c r="F6" s="41">
        <f>SUMIFS(PnL_Monthly!$C$20:$BJ$20,PnL_Monthly!$C$6:$BJ$6,4)</f>
        <v>0</v>
      </c>
      <c r="G6" s="41">
        <f>SUMIFS(PnL_Monthly!$C$20:$BJ$20,PnL_Monthly!$C$6:$BJ$6,5)</f>
        <v>0</v>
      </c>
      <c r="H6" s="22">
        <f t="shared" si="1"/>
        <v>2357943950</v>
      </c>
    </row>
    <row r="7" ht="15.0" customHeight="1">
      <c r="A7" s="13" t="s">
        <v>1288</v>
      </c>
      <c r="C7" s="41">
        <f>SUMIFS(PnL_Monthly!$C$28:$BJ$28,PnL_Monthly!$C$6:$BJ$6,1)</f>
        <v>4224268566</v>
      </c>
      <c r="D7" s="41">
        <f>SUMIFS(PnL_Monthly!$C$28:$BJ$28,PnL_Monthly!$C$6:$BJ$6,2)</f>
        <v>442991399.3</v>
      </c>
      <c r="E7" s="41">
        <f>SUMIFS(PnL_Monthly!$C$28:$BJ$28,PnL_Monthly!$C$6:$BJ$6,3)</f>
        <v>0</v>
      </c>
      <c r="F7" s="41">
        <f>SUMIFS(PnL_Monthly!$C$28:$BJ$28,PnL_Monthly!$C$6:$BJ$6,4)</f>
        <v>0</v>
      </c>
      <c r="G7" s="41">
        <f>SUMIFS(PnL_Monthly!$C$28:$BJ$28,PnL_Monthly!$C$6:$BJ$6,5)</f>
        <v>0</v>
      </c>
      <c r="H7" s="22">
        <f t="shared" si="1"/>
        <v>4667259966</v>
      </c>
    </row>
    <row r="8" ht="15.0" customHeight="1">
      <c r="A8" s="13" t="s">
        <v>445</v>
      </c>
      <c r="C8" s="41">
        <f>SUMIFS(PnL_Monthly!$C$30:$BJ$30,PnL_Monthly!$C$6:$BJ$6,1)</f>
        <v>2002887960</v>
      </c>
      <c r="D8" s="41">
        <f>SUMIFS(PnL_Monthly!$C$30:$BJ$30,PnL_Monthly!$C$6:$BJ$6,2)</f>
        <v>177255584.5</v>
      </c>
      <c r="E8" s="41">
        <f>SUMIFS(PnL_Monthly!$C$30:$BJ$30,PnL_Monthly!$C$6:$BJ$6,3)</f>
        <v>0</v>
      </c>
      <c r="F8" s="41">
        <f>SUMIFS(PnL_Monthly!$C$30:$BJ$30,PnL_Monthly!$C$6:$BJ$6,4)</f>
        <v>0</v>
      </c>
      <c r="G8" s="41">
        <f>SUMIFS(PnL_Monthly!$C$30:$BJ$30,PnL_Monthly!$C$6:$BJ$6,5)</f>
        <v>0</v>
      </c>
      <c r="H8" s="22">
        <f t="shared" si="1"/>
        <v>2180143544</v>
      </c>
    </row>
    <row r="9" ht="15.0" customHeight="1">
      <c r="A9" s="13" t="s">
        <v>208</v>
      </c>
      <c r="C9" s="41">
        <f>SUMIFS(PnL_Monthly!$C$31:$BJ$31,PnL_Monthly!$C$6:$BJ$6,1)</f>
        <v>453290625</v>
      </c>
      <c r="D9" s="41">
        <f>SUMIFS(PnL_Monthly!$C$31:$BJ$31,PnL_Monthly!$C$6:$BJ$6,2)</f>
        <v>40040671.88</v>
      </c>
      <c r="E9" s="41">
        <f>SUMIFS(PnL_Monthly!$C$31:$BJ$31,PnL_Monthly!$C$6:$BJ$6,3)</f>
        <v>0</v>
      </c>
      <c r="F9" s="41">
        <f>SUMIFS(PnL_Monthly!$C$31:$BJ$31,PnL_Monthly!$C$6:$BJ$6,4)</f>
        <v>0</v>
      </c>
      <c r="G9" s="41">
        <f>SUMIFS(PnL_Monthly!$C$31:$BJ$31,PnL_Monthly!$C$6:$BJ$6,5)</f>
        <v>0</v>
      </c>
      <c r="H9" s="22">
        <f t="shared" si="1"/>
        <v>493331296.9</v>
      </c>
    </row>
    <row r="10" ht="15.0" customHeight="1">
      <c r="A10" s="13" t="s">
        <v>1313</v>
      </c>
      <c r="C10" s="41">
        <f>SUMIFS(PnL_Monthly!$C$33:$BJ$33,PnL_Monthly!$C$6:$BJ$6,1)+SUMIFS(PnL_Monthly!$C$34:$BJ$34,PnL_Monthly!$C$6:$BJ$6,1)+SUMIFS(PnL_Monthly!$C$32:$BJ$32,PnL_Monthly!$C$6:$BJ$6,1)</f>
        <v>816027600</v>
      </c>
      <c r="D10" s="41">
        <f>SUMIFS(PnL_Monthly!$C$33:$BJ$33,PnL_Monthly!$C$6:$BJ$6,2)+SUMIFS(PnL_Monthly!$C$34:$BJ$34,PnL_Monthly!$C$6:$BJ$6,2)+SUMIFS(PnL_Monthly!$C$32:$BJ$32,PnL_Monthly!$C$6:$BJ$6,2)</f>
        <v>70382380.5</v>
      </c>
      <c r="E10" s="41">
        <f>SUMIFS(PnL_Monthly!$C$33:$BJ$33,PnL_Monthly!$C$6:$BJ$6,3)+SUMIFS(PnL_Monthly!$C$34:$BJ$34,PnL_Monthly!$C$6:$BJ$6,3)+SUMIFS(PnL_Monthly!$C$32:$BJ$32,PnL_Monthly!$C$6:$BJ$6,3)</f>
        <v>0</v>
      </c>
      <c r="F10" s="41">
        <f>SUMIFS(PnL_Monthly!$C$33:$BJ$33,PnL_Monthly!$C$6:$BJ$6,4)+SUMIFS(PnL_Monthly!$C$34:$BJ$34,PnL_Monthly!$C$6:$BJ$6,4)+SUMIFS(PnL_Monthly!$C$32:$BJ$32,PnL_Monthly!$C$6:$BJ$6,4)</f>
        <v>0</v>
      </c>
      <c r="G10" s="41">
        <f>SUMIFS(PnL_Monthly!$C$33:$BJ$33,PnL_Monthly!$C$6:$BJ$6,5)+SUMIFS(PnL_Monthly!$C$34:$BJ$34,PnL_Monthly!$C$6:$BJ$6,5)+SUMIFS(PnL_Monthly!$C$32:$BJ$32,PnL_Monthly!$C$6:$BJ$6,5)</f>
        <v>0</v>
      </c>
      <c r="H10" s="22">
        <f t="shared" si="1"/>
        <v>886409980.5</v>
      </c>
    </row>
    <row r="11" ht="15.0" customHeight="1">
      <c r="A11" s="3" t="s">
        <v>1326</v>
      </c>
      <c r="C11" s="41">
        <f>SUMIFS(PnL_Monthly!$C$35:$BJ$35,PnL_Monthly!$C$6:$BJ$6,1)</f>
        <v>952062381.2</v>
      </c>
      <c r="D11" s="41">
        <f>SUMIFS(PnL_Monthly!$C$35:$BJ$35,PnL_Monthly!$C$6:$BJ$6,2)</f>
        <v>155312762.5</v>
      </c>
      <c r="E11" s="41">
        <f>SUMIFS(PnL_Monthly!$C$35:$BJ$35,PnL_Monthly!$C$6:$BJ$6,3)</f>
        <v>0</v>
      </c>
      <c r="F11" s="41">
        <f>SUMIFS(PnL_Monthly!$C$35:$BJ$35,PnL_Monthly!$C$6:$BJ$6,4)</f>
        <v>0</v>
      </c>
      <c r="G11" s="41">
        <f>SUMIFS(PnL_Monthly!$C$35:$BJ$35,PnL_Monthly!$C$6:$BJ$6,5)</f>
        <v>0</v>
      </c>
      <c r="H11" s="22">
        <f t="shared" si="1"/>
        <v>1107375144</v>
      </c>
    </row>
    <row r="12" ht="15.0" customHeight="1">
      <c r="A12" s="13" t="s">
        <v>638</v>
      </c>
      <c r="C12" s="36">
        <f t="shared" ref="C12:G12" si="2">IFERROR(C11/C5,0)</f>
        <v>0.1305018799</v>
      </c>
      <c r="D12" s="36">
        <f t="shared" si="2"/>
        <v>0.2030085705</v>
      </c>
      <c r="E12" s="36">
        <f t="shared" si="2"/>
        <v>0</v>
      </c>
      <c r="F12" s="36">
        <f t="shared" si="2"/>
        <v>0</v>
      </c>
      <c r="G12" s="36">
        <f t="shared" si="2"/>
        <v>0</v>
      </c>
    </row>
    <row r="13" ht="15.0" customHeight="1">
      <c r="A13" s="13" t="s">
        <v>1329</v>
      </c>
      <c r="C13" s="41">
        <f>SUMIFS(PnL_Monthly!$C$37:$BJ$37,PnL_Monthly!$C$6:$BJ$6,1)</f>
        <v>570939600</v>
      </c>
      <c r="D13" s="41">
        <f>SUMIFS(PnL_Monthly!$C$37:$BJ$37,PnL_Monthly!$C$6:$BJ$6,2)</f>
        <v>47578300</v>
      </c>
      <c r="E13" s="41">
        <f>SUMIFS(PnL_Monthly!$C$37:$BJ$37,PnL_Monthly!$C$6:$BJ$6,3)</f>
        <v>0</v>
      </c>
      <c r="F13" s="41">
        <f>SUMIFS(PnL_Monthly!$C$37:$BJ$37,PnL_Monthly!$C$6:$BJ$6,4)</f>
        <v>0</v>
      </c>
      <c r="G13" s="41">
        <f>SUMIFS(PnL_Monthly!$C$37:$BJ$37,PnL_Monthly!$C$6:$BJ$6,5)</f>
        <v>0</v>
      </c>
      <c r="H13" s="22">
        <f t="shared" ref="H13:H18" si="3">SUM(C13:G13)</f>
        <v>618517900</v>
      </c>
    </row>
    <row r="14" ht="15.0" customHeight="1">
      <c r="A14" s="13" t="s">
        <v>1332</v>
      </c>
      <c r="C14" s="41">
        <f>SUMIFS(PnL_Monthly!$C$38:$BJ$38,PnL_Monthly!$C$6:$BJ$6,1)</f>
        <v>73343859.39</v>
      </c>
      <c r="D14" s="41">
        <f>SUMIFS(PnL_Monthly!$C$38:$BJ$38,PnL_Monthly!$C$6:$BJ$6,2)</f>
        <v>5322697.238</v>
      </c>
      <c r="E14" s="41">
        <f>SUMIFS(PnL_Monthly!$C$38:$BJ$38,PnL_Monthly!$C$6:$BJ$6,3)</f>
        <v>0</v>
      </c>
      <c r="F14" s="41">
        <f>SUMIFS(PnL_Monthly!$C$38:$BJ$38,PnL_Monthly!$C$6:$BJ$6,4)</f>
        <v>0</v>
      </c>
      <c r="G14" s="41">
        <f>SUMIFS(PnL_Monthly!$C$38:$BJ$38,PnL_Monthly!$C$6:$BJ$6,5)</f>
        <v>0</v>
      </c>
      <c r="H14" s="22">
        <f t="shared" si="3"/>
        <v>78666556.63</v>
      </c>
    </row>
    <row r="15" ht="15.0" customHeight="1">
      <c r="A15" s="13" t="s">
        <v>120</v>
      </c>
      <c r="C15" s="41">
        <f>SUMIFS(PnL_Monthly!$C$41:$BJ$41,PnL_Monthly!$C$6:$BJ$6,1)</f>
        <v>67711362.8</v>
      </c>
      <c r="D15" s="41">
        <f>SUMIFS(PnL_Monthly!$C$41:$BJ$41,PnL_Monthly!$C$6:$BJ$6,2)</f>
        <v>22530588.35</v>
      </c>
      <c r="E15" s="41">
        <f>SUMIFS(PnL_Monthly!$C$41:$BJ$41,PnL_Monthly!$C$6:$BJ$6,3)</f>
        <v>0</v>
      </c>
      <c r="F15" s="41">
        <f>SUMIFS(PnL_Monthly!$C$41:$BJ$41,PnL_Monthly!$C$6:$BJ$6,4)</f>
        <v>0</v>
      </c>
      <c r="G15" s="41">
        <f>SUMIFS(PnL_Monthly!$C$41:$BJ$41,PnL_Monthly!$C$6:$BJ$6,5)</f>
        <v>0</v>
      </c>
      <c r="H15" s="22">
        <f t="shared" si="3"/>
        <v>90241951.15</v>
      </c>
    </row>
    <row r="16" ht="15.0" customHeight="1">
      <c r="A16" s="3" t="s">
        <v>1338</v>
      </c>
      <c r="C16" s="41">
        <f>SUMIFS(PnL_Monthly!$C$42:$BJ$42,PnL_Monthly!$C$6:$BJ$6,1)</f>
        <v>240067559</v>
      </c>
      <c r="D16" s="41">
        <f>SUMIFS(PnL_Monthly!$C$42:$BJ$42,PnL_Monthly!$C$6:$BJ$6,2)</f>
        <v>79881176.89</v>
      </c>
      <c r="E16" s="41">
        <f>SUMIFS(PnL_Monthly!$C$42:$BJ$42,PnL_Monthly!$C$6:$BJ$6,3)</f>
        <v>0</v>
      </c>
      <c r="F16" s="41">
        <f>SUMIFS(PnL_Monthly!$C$42:$BJ$42,PnL_Monthly!$C$6:$BJ$6,4)</f>
        <v>0</v>
      </c>
      <c r="G16" s="41">
        <f>SUMIFS(PnL_Monthly!$C$42:$BJ$42,PnL_Monthly!$C$6:$BJ$6,5)</f>
        <v>0</v>
      </c>
      <c r="H16" s="22">
        <f t="shared" si="3"/>
        <v>319948735.9</v>
      </c>
    </row>
    <row r="17" ht="15.0" customHeight="1">
      <c r="A17" s="13" t="s">
        <v>1339</v>
      </c>
      <c r="C17" s="41">
        <f>SUMIFS(PnL_Monthly!$C$51:$BJ$51,PnL_Monthly!$C$6:$BJ$6,1)</f>
        <v>1337641643</v>
      </c>
      <c r="D17" s="41">
        <f>SUMIFS(PnL_Monthly!$C$51:$BJ$51,PnL_Monthly!$C$6:$BJ$6,2)</f>
        <v>132782174.1</v>
      </c>
      <c r="E17" s="41">
        <f>SUMIFS(PnL_Monthly!$C$51:$BJ$51,PnL_Monthly!$C$6:$BJ$6,3)</f>
        <v>0</v>
      </c>
      <c r="F17" s="41">
        <f>SUMIFS(PnL_Monthly!$C$51:$BJ$51,PnL_Monthly!$C$6:$BJ$6,4)</f>
        <v>0</v>
      </c>
      <c r="G17" s="41">
        <f>SUMIFS(PnL_Monthly!$C$51:$BJ$51,PnL_Monthly!$C$6:$BJ$6,5)</f>
        <v>0</v>
      </c>
      <c r="H17" s="22">
        <f t="shared" si="3"/>
        <v>1470423818</v>
      </c>
    </row>
    <row r="18" ht="15.0" customHeight="1">
      <c r="A18" s="13" t="s">
        <v>1341</v>
      </c>
      <c r="C18" s="41">
        <f>SUMIFS(PnL_Monthly!$C$47:$BJ$47,PnL_Monthly!$C$6:$BJ$6,1)</f>
        <v>1100383587</v>
      </c>
      <c r="D18" s="41">
        <f>SUMIFS(PnL_Monthly!$C$47:$BJ$47,PnL_Monthly!$C$6:$BJ$6,2)</f>
        <v>113010669.4</v>
      </c>
      <c r="E18" s="41">
        <f>SUMIFS(PnL_Monthly!$C$47:$BJ$47,PnL_Monthly!$C$6:$BJ$6,3)</f>
        <v>0</v>
      </c>
      <c r="F18" s="41">
        <f>SUMIFS(PnL_Monthly!$C$47:$BJ$47,PnL_Monthly!$C$6:$BJ$6,4)</f>
        <v>0</v>
      </c>
      <c r="G18" s="41">
        <f>SUMIFS(PnL_Monthly!$C$47:$BJ$47,PnL_Monthly!$C$6:$BJ$6,5)</f>
        <v>0</v>
      </c>
      <c r="H18" s="22">
        <f t="shared" si="3"/>
        <v>1213394256</v>
      </c>
    </row>
    <row r="19" ht="15.0" customHeight="1">
      <c r="A19" s="13" t="s">
        <v>1342</v>
      </c>
      <c r="C19" s="41">
        <f t="array" ref="C19">INDEX(PnL_Monthly!$C$49:$BJ$49,1*12)</f>
        <v>1805112477</v>
      </c>
      <c r="D19" s="41" t="str">
        <f t="array" ref="D19">INDEX(PnL_Monthly!$C$49:$BJ$49,2*12)</f>
        <v/>
      </c>
      <c r="E19" s="41" t="str">
        <f t="array" ref="E19">INDEX(PnL_Monthly!$C$49:$BJ$49,3*12)</f>
        <v/>
      </c>
      <c r="F19" s="41" t="str">
        <f t="array" ref="F19">INDEX(PnL_Monthly!$C$49:$BJ$49,4*12)</f>
        <v/>
      </c>
      <c r="G19" s="41" t="str">
        <f t="array" ref="G19">INDEX(PnL_Monthly!$C$49:$BJ$49,5*12)</f>
        <v/>
      </c>
    </row>
    <row r="21" ht="15.0" customHeight="1">
      <c r="A21" s="13" t="s">
        <v>1343</v>
      </c>
      <c r="C21" s="52">
        <f>C5/Inputs!$H$10</f>
        <v>337749.6333</v>
      </c>
      <c r="D21" s="52">
        <f>D5/Inputs!$H$10</f>
        <v>35419.22222</v>
      </c>
      <c r="E21" s="52">
        <f>E5/Inputs!$H$10</f>
        <v>0</v>
      </c>
      <c r="F21" s="52">
        <f>F5/Inputs!$H$10</f>
        <v>0</v>
      </c>
      <c r="G21" s="52">
        <f>G5/Inputs!$H$10</f>
        <v>0</v>
      </c>
    </row>
    <row r="22" ht="15.0" customHeight="1">
      <c r="A22" s="13" t="s">
        <v>1345</v>
      </c>
      <c r="C22" s="52">
        <f>C11/Inputs!$H$10</f>
        <v>44076.96209</v>
      </c>
      <c r="D22" s="52">
        <f>D11/Inputs!$H$10</f>
        <v>7190.405671</v>
      </c>
      <c r="E22" s="52">
        <f>E11/Inputs!$H$10</f>
        <v>0</v>
      </c>
      <c r="F22" s="52">
        <f>F11/Inputs!$H$10</f>
        <v>0</v>
      </c>
      <c r="G22" s="52">
        <f>G11/Inputs!$H$10</f>
        <v>0</v>
      </c>
    </row>
    <row r="23" ht="15.0" customHeight="1">
      <c r="A23" s="13" t="s">
        <v>1346</v>
      </c>
      <c r="C23" s="36">
        <f t="shared" ref="C23:G23" si="4">IFERROR(C6/C5,0)</f>
        <v>0.2925333052</v>
      </c>
      <c r="D23" s="36">
        <f t="shared" si="4"/>
        <v>0.2925263331</v>
      </c>
      <c r="E23" s="36">
        <f t="shared" si="4"/>
        <v>0</v>
      </c>
      <c r="F23" s="36">
        <f t="shared" si="4"/>
        <v>0</v>
      </c>
      <c r="G23" s="36">
        <f t="shared" si="4"/>
        <v>0</v>
      </c>
    </row>
    <row r="24" ht="15.0" customHeight="1">
      <c r="A24" s="13" t="s">
        <v>1347</v>
      </c>
      <c r="C24" s="36">
        <f t="shared" ref="C24:G24" si="5">IFERROR(C8/C5,0)</f>
        <v>0.2745415103</v>
      </c>
      <c r="D24" s="36">
        <f t="shared" si="5"/>
        <v>0.2316899283</v>
      </c>
      <c r="E24" s="36">
        <f t="shared" si="5"/>
        <v>0</v>
      </c>
      <c r="F24" s="36">
        <f t="shared" si="5"/>
        <v>0</v>
      </c>
      <c r="G24" s="36">
        <f t="shared" si="5"/>
        <v>0</v>
      </c>
    </row>
    <row r="25" ht="15.0" customHeight="1">
      <c r="A25" s="13" t="s">
        <v>1349</v>
      </c>
      <c r="C25" s="36">
        <f t="shared" ref="C25:G25" si="6">IFERROR(C9/C5,0)</f>
        <v>0.0621338264</v>
      </c>
      <c r="D25" s="36">
        <f t="shared" si="6"/>
        <v>0.05233697108</v>
      </c>
      <c r="E25" s="36">
        <f t="shared" si="6"/>
        <v>0</v>
      </c>
      <c r="F25" s="36">
        <f t="shared" si="6"/>
        <v>0</v>
      </c>
      <c r="G25" s="36">
        <f t="shared" si="6"/>
        <v>0</v>
      </c>
    </row>
    <row r="26" ht="15.75" customHeight="1"/>
    <row r="27" ht="15.0" customHeight="1">
      <c r="A27" s="3" t="s">
        <v>1350</v>
      </c>
    </row>
    <row r="28" ht="15.0" customHeight="1">
      <c r="A28" s="13" t="s">
        <v>1351</v>
      </c>
      <c r="C28" s="41">
        <f>-'CAPEX (Buy)'!$H$37</f>
        <v>-5092222453</v>
      </c>
    </row>
    <row r="29" ht="15.0" customHeight="1">
      <c r="A29" s="13" t="s">
        <v>1352</v>
      </c>
      <c r="C29" s="22">
        <f t="shared" ref="C29:F29" si="7">C17</f>
        <v>1337641643</v>
      </c>
      <c r="D29" s="22">
        <f t="shared" si="7"/>
        <v>132782174.1</v>
      </c>
      <c r="E29" s="22">
        <f t="shared" si="7"/>
        <v>0</v>
      </c>
      <c r="F29" s="22">
        <f t="shared" si="7"/>
        <v>0</v>
      </c>
      <c r="G29" s="41">
        <f>G17+'CAPEX (Buy)'!$H$35+Inputs!$H$90*G11</f>
        <v>75548437.5</v>
      </c>
    </row>
    <row r="30" ht="15.0" customHeight="1">
      <c r="A30" s="13" t="s">
        <v>1354</v>
      </c>
      <c r="C30" s="36">
        <f>IFERROR(IRR(C32:H32),"n/a")</f>
        <v>-0.4815960856</v>
      </c>
    </row>
    <row r="31" ht="15.0" customHeight="1">
      <c r="A31" s="13" t="s">
        <v>1355</v>
      </c>
      <c r="C31" s="41">
        <f t="array" ref="C31">C28+NPV(Inputs!$H$89,C29:G29)</f>
        <v>-3791092481</v>
      </c>
      <c r="D31" s="52">
        <f>C31/Inputs!$H$10</f>
        <v>-175513.5408</v>
      </c>
    </row>
    <row r="32" ht="15.0" customHeight="1">
      <c r="A32" s="13" t="s">
        <v>1356</v>
      </c>
      <c r="C32" s="22">
        <f>C28</f>
        <v>-5092222453</v>
      </c>
      <c r="D32" s="22">
        <f t="shared" ref="D32:H32" si="8">C29</f>
        <v>1337641643</v>
      </c>
      <c r="E32" s="22">
        <f t="shared" si="8"/>
        <v>132782174.1</v>
      </c>
      <c r="F32" s="22">
        <f t="shared" si="8"/>
        <v>0</v>
      </c>
      <c r="G32" s="22">
        <f t="shared" si="8"/>
        <v>0</v>
      </c>
      <c r="H32" s="22">
        <f t="shared" si="8"/>
        <v>75548437.5</v>
      </c>
    </row>
    <row r="33" ht="15.75" customHeight="1"/>
    <row r="34" ht="15.75" customHeight="1"/>
    <row r="35" ht="15.75" customHeight="1">
      <c r="A35" s="60" t="s">
        <v>1357</v>
      </c>
    </row>
    <row r="36" ht="27.0" customHeight="1">
      <c r="A36" s="15" t="s">
        <v>624</v>
      </c>
      <c r="B36" s="61" t="s">
        <v>631</v>
      </c>
      <c r="C36" s="63"/>
      <c r="D36" s="61" t="s">
        <v>633</v>
      </c>
      <c r="E36" s="62"/>
      <c r="F36" s="62"/>
      <c r="G36" s="63"/>
      <c r="H36" s="61" t="s">
        <v>636</v>
      </c>
      <c r="I36" s="62"/>
      <c r="J36" s="62"/>
      <c r="K36" s="62"/>
      <c r="L36" s="62"/>
      <c r="M36" s="62"/>
      <c r="N36" s="62"/>
      <c r="O36" s="62"/>
      <c r="P36" s="63"/>
      <c r="Q36" s="61" t="s">
        <v>69</v>
      </c>
      <c r="R36" s="62"/>
      <c r="S36" s="63"/>
    </row>
    <row r="37" ht="15.0" customHeight="1">
      <c r="A37" s="80" t="s">
        <v>1358</v>
      </c>
      <c r="B37" s="67">
        <f>Annual!C11</f>
        <v>952062381.2</v>
      </c>
      <c r="C37" s="66"/>
      <c r="D37" s="64" t="s">
        <v>1359</v>
      </c>
      <c r="E37" s="65"/>
      <c r="F37" s="65"/>
      <c r="G37" s="66"/>
      <c r="H37" s="64" t="s">
        <v>1360</v>
      </c>
      <c r="I37" s="65"/>
      <c r="J37" s="65"/>
      <c r="K37" s="65"/>
      <c r="L37" s="65"/>
      <c r="M37" s="65"/>
      <c r="N37" s="65"/>
      <c r="O37" s="65"/>
      <c r="P37" s="66"/>
      <c r="Q37" s="78" t="s">
        <v>680</v>
      </c>
      <c r="R37" s="65"/>
      <c r="S37" s="66"/>
    </row>
    <row r="38" ht="15.0" customHeight="1">
      <c r="A38" s="80" t="s">
        <v>1362</v>
      </c>
      <c r="B38" s="79">
        <f>Inputs!H89</f>
        <v>0.15</v>
      </c>
      <c r="C38" s="66"/>
      <c r="D38" s="64" t="s">
        <v>1365</v>
      </c>
      <c r="E38" s="65"/>
      <c r="F38" s="65"/>
      <c r="G38" s="66"/>
      <c r="H38" s="64" t="s">
        <v>1366</v>
      </c>
      <c r="I38" s="65"/>
      <c r="J38" s="65"/>
      <c r="K38" s="65"/>
      <c r="L38" s="65"/>
      <c r="M38" s="65"/>
      <c r="N38" s="65"/>
      <c r="O38" s="65"/>
      <c r="P38" s="66"/>
      <c r="Q38" s="69" t="s">
        <v>82</v>
      </c>
      <c r="R38" s="65"/>
      <c r="S38" s="66"/>
    </row>
    <row r="39" ht="15.0" customHeight="1">
      <c r="A39" s="80" t="s">
        <v>1367</v>
      </c>
      <c r="B39" s="67">
        <f>Inputs!H90</f>
        <v>2</v>
      </c>
      <c r="C39" s="66"/>
      <c r="D39" s="64" t="s">
        <v>665</v>
      </c>
      <c r="E39" s="65"/>
      <c r="F39" s="65"/>
      <c r="G39" s="66"/>
      <c r="H39" s="64" t="s">
        <v>1370</v>
      </c>
      <c r="I39" s="65"/>
      <c r="J39" s="65"/>
      <c r="K39" s="65"/>
      <c r="L39" s="65"/>
      <c r="M39" s="65"/>
      <c r="N39" s="65"/>
      <c r="O39" s="65"/>
      <c r="P39" s="66"/>
      <c r="Q39" s="75" t="s">
        <v>91</v>
      </c>
      <c r="R39" s="65"/>
      <c r="S39" s="66"/>
    </row>
    <row r="40" ht="15.0" customHeight="1">
      <c r="A40" s="80" t="s">
        <v>1371</v>
      </c>
      <c r="B40" s="76" t="s">
        <v>665</v>
      </c>
      <c r="C40" s="66"/>
      <c r="D40" s="64" t="s">
        <v>1373</v>
      </c>
      <c r="E40" s="65"/>
      <c r="F40" s="65"/>
      <c r="G40" s="66"/>
      <c r="H40" s="64" t="s">
        <v>1375</v>
      </c>
      <c r="I40" s="65"/>
      <c r="J40" s="65"/>
      <c r="K40" s="65"/>
      <c r="L40" s="65"/>
      <c r="M40" s="65"/>
      <c r="N40" s="65"/>
      <c r="O40" s="65"/>
      <c r="P40" s="66"/>
      <c r="Q40" s="69" t="s">
        <v>82</v>
      </c>
      <c r="R40" s="65"/>
      <c r="S40" s="66"/>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37:C37"/>
    <mergeCell ref="B38:C38"/>
    <mergeCell ref="D38:G38"/>
    <mergeCell ref="B39:C39"/>
    <mergeCell ref="D39:G39"/>
    <mergeCell ref="B40:C40"/>
    <mergeCell ref="D40:G40"/>
    <mergeCell ref="H38:P38"/>
    <mergeCell ref="Q38:S38"/>
    <mergeCell ref="H39:P39"/>
    <mergeCell ref="Q39:S39"/>
    <mergeCell ref="H40:P40"/>
    <mergeCell ref="Q40:S40"/>
    <mergeCell ref="B36:C36"/>
    <mergeCell ref="D36:G36"/>
    <mergeCell ref="H36:P36"/>
    <mergeCell ref="Q36:S36"/>
    <mergeCell ref="D37:G37"/>
    <mergeCell ref="H37:P37"/>
    <mergeCell ref="Q37:S37"/>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6.0"/>
    <col customWidth="1" min="2" max="2" width="14.0"/>
    <col customWidth="1" min="3" max="9" width="16.0"/>
    <col customWidth="1" min="10" max="26" width="8.71"/>
  </cols>
  <sheetData>
    <row r="1" ht="17.25" customHeight="1">
      <c r="A1" s="1" t="s">
        <v>1301</v>
      </c>
    </row>
    <row r="2" ht="15.0" customHeight="1">
      <c r="A2" s="2" t="s">
        <v>1302</v>
      </c>
    </row>
    <row r="4" ht="15.0" customHeight="1">
      <c r="A4" s="3" t="s">
        <v>1304</v>
      </c>
      <c r="D4" s="3" t="s">
        <v>1305</v>
      </c>
      <c r="E4" s="50">
        <v>0.2</v>
      </c>
    </row>
    <row r="5" ht="15.0" customHeight="1">
      <c r="A5" s="13" t="s">
        <v>1308</v>
      </c>
      <c r="B5" s="41">
        <f>Scenarios!$F$13</f>
        <v>735630000</v>
      </c>
    </row>
    <row r="6" ht="15.0" customHeight="1">
      <c r="A6" s="13" t="s">
        <v>376</v>
      </c>
      <c r="B6" s="41">
        <f>Scenarios!$F$16</f>
        <v>215191146.4</v>
      </c>
    </row>
    <row r="7" ht="15.0" customHeight="1">
      <c r="A7" s="13" t="s">
        <v>1309</v>
      </c>
      <c r="B7" s="41">
        <f>Scenarios!$F$19</f>
        <v>22019625</v>
      </c>
    </row>
    <row r="8" ht="15.0" customHeight="1">
      <c r="A8" s="13" t="s">
        <v>1310</v>
      </c>
      <c r="B8" s="41">
        <f>Scenarios!$F$22-Scenarios!$F$16-Scenarios!$F$19</f>
        <v>72465960</v>
      </c>
    </row>
    <row r="9" ht="15.0" customHeight="1">
      <c r="A9" s="13" t="s">
        <v>445</v>
      </c>
      <c r="B9" s="41">
        <f>Scenarios!$F$26</f>
        <v>166907330</v>
      </c>
    </row>
    <row r="10" ht="15.0" customHeight="1">
      <c r="A10" s="13" t="s">
        <v>1311</v>
      </c>
      <c r="B10" s="41">
        <f>Scenarios!$F$27+Scenarios!$F$28</f>
        <v>37774218.75</v>
      </c>
    </row>
    <row r="11" ht="15.0" customHeight="1">
      <c r="A11" s="13" t="s">
        <v>1312</v>
      </c>
      <c r="B11" s="41">
        <f>Scenarios!$F$29+Scenarios!$F$30</f>
        <v>68002300</v>
      </c>
    </row>
    <row r="12" ht="15.0" customHeight="1">
      <c r="A12" s="13" t="s">
        <v>1263</v>
      </c>
      <c r="B12" s="41">
        <f>Scenarios!$F$53</f>
        <v>5092222453</v>
      </c>
    </row>
    <row r="13" ht="15.0" customHeight="1">
      <c r="A13" s="13" t="s">
        <v>1314</v>
      </c>
      <c r="B13" s="93">
        <f>B5-B6-B7-B8-B9-B10-B11</f>
        <v>153269419.8</v>
      </c>
    </row>
    <row r="16" ht="15.0" customHeight="1">
      <c r="A16" s="12" t="s">
        <v>838</v>
      </c>
      <c r="B16" s="12" t="s">
        <v>1315</v>
      </c>
      <c r="C16" s="12" t="s">
        <v>1316</v>
      </c>
      <c r="D16" s="12" t="s">
        <v>1317</v>
      </c>
      <c r="E16" s="12" t="s">
        <v>1318</v>
      </c>
      <c r="F16" s="12" t="s">
        <v>1319</v>
      </c>
      <c r="G16" s="12" t="s">
        <v>1320</v>
      </c>
      <c r="H16" s="12" t="s">
        <v>1321</v>
      </c>
      <c r="I16" s="12" t="s">
        <v>1322</v>
      </c>
    </row>
    <row r="17" ht="15.0" customHeight="1">
      <c r="A17" s="13" t="s">
        <v>1323</v>
      </c>
      <c r="B17" s="36">
        <f t="shared" ref="B17:B23" si="3">1-$E$4</f>
        <v>0.8</v>
      </c>
      <c r="C17" s="36">
        <f t="shared" ref="C17:C23" si="4">1+$E$4</f>
        <v>1.2</v>
      </c>
      <c r="D17" s="22">
        <f t="shared" ref="D17:E17" si="1">$B$5*B17*1-$B$6*B17*1-$B$7*B17*1*1-$B$8*B17*1-$B$9*1-$B$10*1-$B$11*1</f>
        <v>68078766.11</v>
      </c>
      <c r="E17" s="22">
        <f t="shared" si="1"/>
        <v>238460073.5</v>
      </c>
      <c r="F17" s="22">
        <f t="shared" ref="F17:G17" si="2">D17-$B$13</f>
        <v>-85190653.72</v>
      </c>
      <c r="G17" s="22">
        <f t="shared" si="2"/>
        <v>85190653.72</v>
      </c>
      <c r="H17" s="22">
        <f t="shared" ref="H17:H23" si="7">ABS(E17-D17)</f>
        <v>170381307.4</v>
      </c>
      <c r="I17" s="22">
        <f t="shared" ref="I17:I23" si="8">H17+ROW()/1000</f>
        <v>170381307.4</v>
      </c>
    </row>
    <row r="18" ht="15.0" customHeight="1">
      <c r="A18" s="13" t="s">
        <v>1325</v>
      </c>
      <c r="B18" s="36">
        <f t="shared" si="3"/>
        <v>0.8</v>
      </c>
      <c r="C18" s="36">
        <f t="shared" si="4"/>
        <v>1.2</v>
      </c>
      <c r="D18" s="22">
        <f t="shared" ref="D18:E18" si="5">$B$5*1*B18-$B$6*1*1-$B$7*1*B18*1-$B$8*1*B18-$B$9*1-$B$10*1-$B$11*1</f>
        <v>25040536.83</v>
      </c>
      <c r="E18" s="22">
        <f t="shared" si="5"/>
        <v>281498302.8</v>
      </c>
      <c r="F18" s="22">
        <f t="shared" ref="F18:G18" si="6">D18-$B$13</f>
        <v>-128228883</v>
      </c>
      <c r="G18" s="22">
        <f t="shared" si="6"/>
        <v>128228883</v>
      </c>
      <c r="H18" s="22">
        <f t="shared" si="7"/>
        <v>256457766</v>
      </c>
      <c r="I18" s="22">
        <f t="shared" si="8"/>
        <v>256457766</v>
      </c>
    </row>
    <row r="19" ht="15.0" customHeight="1">
      <c r="A19" s="13" t="s">
        <v>1328</v>
      </c>
      <c r="B19" s="36">
        <f t="shared" si="3"/>
        <v>0.8</v>
      </c>
      <c r="C19" s="36">
        <f t="shared" si="4"/>
        <v>1.2</v>
      </c>
      <c r="D19" s="22">
        <f t="shared" ref="D19:E19" si="9">$B$5*1*1-$B$6*1*B19-$B$7*1*1*1-$B$8*1*1-$B$9*1-$B$10*1-$B$11*1</f>
        <v>196307649.1</v>
      </c>
      <c r="E19" s="22">
        <f t="shared" si="9"/>
        <v>110231190.5</v>
      </c>
      <c r="F19" s="22">
        <f t="shared" ref="F19:G19" si="10">D19-$B$13</f>
        <v>43038229.28</v>
      </c>
      <c r="G19" s="22">
        <f t="shared" si="10"/>
        <v>-43038229.28</v>
      </c>
      <c r="H19" s="22">
        <f t="shared" si="7"/>
        <v>86076458.57</v>
      </c>
      <c r="I19" s="22">
        <f t="shared" si="8"/>
        <v>86076458.59</v>
      </c>
    </row>
    <row r="20" ht="15.0" customHeight="1">
      <c r="A20" s="13" t="s">
        <v>1309</v>
      </c>
      <c r="B20" s="36">
        <f t="shared" si="3"/>
        <v>0.8</v>
      </c>
      <c r="C20" s="36">
        <f t="shared" si="4"/>
        <v>1.2</v>
      </c>
      <c r="D20" s="22">
        <f t="shared" ref="D20:E20" si="11">$B$5*1*1-$B$6*1*1-$B$7*1*1*B20-$B$8*1*1-$B$9*1-$B$10*1-$B$11*1</f>
        <v>157673344.8</v>
      </c>
      <c r="E20" s="22">
        <f t="shared" si="11"/>
        <v>148865494.8</v>
      </c>
      <c r="F20" s="22">
        <f t="shared" ref="F20:G20" si="12">D20-$B$13</f>
        <v>4403925</v>
      </c>
      <c r="G20" s="22">
        <f t="shared" si="12"/>
        <v>-4403925</v>
      </c>
      <c r="H20" s="22">
        <f t="shared" si="7"/>
        <v>8807850</v>
      </c>
      <c r="I20" s="22">
        <f t="shared" si="8"/>
        <v>8807850.02</v>
      </c>
    </row>
    <row r="21" ht="15.0" customHeight="1">
      <c r="A21" s="13" t="s">
        <v>1330</v>
      </c>
      <c r="B21" s="36">
        <f t="shared" si="3"/>
        <v>0.8</v>
      </c>
      <c r="C21" s="36">
        <f t="shared" si="4"/>
        <v>1.2</v>
      </c>
      <c r="D21" s="22">
        <f t="shared" ref="D21:E21" si="13">$B$5*1*1-$B$6*1*1-$B$7*1*1*1-$B$8*1*1-$B$9*B21-$B$10*1-$B$11*1</f>
        <v>186650885.8</v>
      </c>
      <c r="E21" s="22">
        <f t="shared" si="13"/>
        <v>119887953.8</v>
      </c>
      <c r="F21" s="22">
        <f t="shared" ref="F21:G21" si="14">D21-$B$13</f>
        <v>33381466</v>
      </c>
      <c r="G21" s="22">
        <f t="shared" si="14"/>
        <v>-33381466</v>
      </c>
      <c r="H21" s="22">
        <f t="shared" si="7"/>
        <v>66762932</v>
      </c>
      <c r="I21" s="22">
        <f t="shared" si="8"/>
        <v>66762932.02</v>
      </c>
    </row>
    <row r="22" ht="15.0" customHeight="1">
      <c r="A22" s="13" t="s">
        <v>1311</v>
      </c>
      <c r="B22" s="36">
        <f t="shared" si="3"/>
        <v>0.8</v>
      </c>
      <c r="C22" s="36">
        <f t="shared" si="4"/>
        <v>1.2</v>
      </c>
      <c r="D22" s="22">
        <f t="shared" ref="D22:E22" si="15">$B$5*1*1-$B$6*1*1-$B$7*1*1*1-$B$8*1*1-$B$9*1-$B$10*B22-$B$11*1</f>
        <v>160824263.6</v>
      </c>
      <c r="E22" s="22">
        <f t="shared" si="15"/>
        <v>145714576.1</v>
      </c>
      <c r="F22" s="22">
        <f t="shared" ref="F22:G22" si="16">D22-$B$13</f>
        <v>7554843.75</v>
      </c>
      <c r="G22" s="22">
        <f t="shared" si="16"/>
        <v>-7554843.75</v>
      </c>
      <c r="H22" s="22">
        <f t="shared" si="7"/>
        <v>15109687.5</v>
      </c>
      <c r="I22" s="22">
        <f t="shared" si="8"/>
        <v>15109687.52</v>
      </c>
    </row>
    <row r="23" ht="15.0" customHeight="1">
      <c r="A23" s="13" t="s">
        <v>1333</v>
      </c>
      <c r="B23" s="36">
        <f t="shared" si="3"/>
        <v>0.8</v>
      </c>
      <c r="C23" s="36">
        <f t="shared" si="4"/>
        <v>1.2</v>
      </c>
      <c r="D23" s="22">
        <f t="shared" ref="D23:E23" si="17">$B$5*1*1-$B$6*1*1-$B$7*1*1*1-$B$8*1*1-$B$9*1-$B$10*1-$B$11*B23</f>
        <v>166869879.8</v>
      </c>
      <c r="E23" s="22">
        <f t="shared" si="17"/>
        <v>139668959.8</v>
      </c>
      <c r="F23" s="22">
        <f t="shared" ref="F23:G23" si="18">D23-$B$13</f>
        <v>13600460</v>
      </c>
      <c r="G23" s="22">
        <f t="shared" si="18"/>
        <v>-13600460</v>
      </c>
      <c r="H23" s="22">
        <f t="shared" si="7"/>
        <v>27200920</v>
      </c>
      <c r="I23" s="22">
        <f t="shared" si="8"/>
        <v>27200920.02</v>
      </c>
    </row>
    <row r="24" ht="15.75" customHeight="1"/>
    <row r="25" ht="15.75" customHeight="1"/>
    <row r="26" ht="15.0" customHeight="1">
      <c r="A26" s="100" t="s">
        <v>1334</v>
      </c>
    </row>
    <row r="27" ht="23.25" customHeight="1">
      <c r="A27" s="12" t="s">
        <v>838</v>
      </c>
      <c r="B27" s="12" t="s">
        <v>1335</v>
      </c>
      <c r="C27" s="12" t="s">
        <v>1336</v>
      </c>
      <c r="D27" s="12" t="s">
        <v>1337</v>
      </c>
    </row>
    <row r="28" ht="15.0" customHeight="1">
      <c r="A28" s="13" t="str">
        <f t="array" ref="A28">INDEX($A$17:$A$23,MATCH(LARGE($I$17:$I$23,1),$I$17:$I$23,0))</f>
        <v>Average spend / menu prices</v>
      </c>
      <c r="B28" s="22">
        <f t="array" ref="B28">INDEX($F$17:$F$23,MATCH(LARGE($I$17:$I$23,1),$I$17:$I$23,0))</f>
        <v>-128228883</v>
      </c>
      <c r="C28" s="22">
        <f t="array" ref="C28">INDEX($G$17:$G$23,MATCH(LARGE($I$17:$I$23,1),$I$17:$I$23,0))</f>
        <v>128228883</v>
      </c>
      <c r="D28" s="22">
        <f t="shared" ref="D28:D34" si="19">ABS(C28-B28)</f>
        <v>256457766</v>
      </c>
    </row>
    <row r="29" ht="15.0" customHeight="1">
      <c r="A29" s="13" t="str">
        <f t="array" ref="A29">INDEX($A$17:$A$23,MATCH(LARGE($I$17:$I$23,2),$I$17:$I$23,0))</f>
        <v>Guest volume (all channels)</v>
      </c>
      <c r="B29" s="22">
        <f t="array" ref="B29">INDEX($F$17:$F$23,MATCH(LARGE($I$17:$I$23,2),$I$17:$I$23,0))</f>
        <v>-85190653.72</v>
      </c>
      <c r="C29" s="22">
        <f t="array" ref="C29">INDEX($G$17:$G$23,MATCH(LARGE($I$17:$I$23,2),$I$17:$I$23,0))</f>
        <v>85190653.72</v>
      </c>
      <c r="D29" s="22">
        <f t="shared" si="19"/>
        <v>170381307.4</v>
      </c>
    </row>
    <row r="30" ht="15.0" customHeight="1">
      <c r="A30" s="13" t="str">
        <f t="array" ref="A30">INDEX($A$17:$A$23,MATCH(LARGE($I$17:$I$23,3),$I$17:$I$23,0))</f>
        <v>Food &amp; beverage cost %</v>
      </c>
      <c r="B30" s="22">
        <f t="array" ref="B30">INDEX($F$17:$F$23,MATCH(LARGE($I$17:$I$23,3),$I$17:$I$23,0))</f>
        <v>43038229.28</v>
      </c>
      <c r="C30" s="22">
        <f t="array" ref="C30">INDEX($G$17:$G$23,MATCH(LARGE($I$17:$I$23,3),$I$17:$I$23,0))</f>
        <v>-43038229.28</v>
      </c>
      <c r="D30" s="22">
        <f t="shared" si="19"/>
        <v>86076458.57</v>
      </c>
    </row>
    <row r="31" ht="15.0" customHeight="1">
      <c r="A31" s="13" t="str">
        <f t="array" ref="A31">INDEX($A$17:$A$23,MATCH(LARGE($I$17:$I$23,4),$I$17:$I$23,0))</f>
        <v>Staff cost</v>
      </c>
      <c r="B31" s="22">
        <f t="array" ref="B31">INDEX($F$17:$F$23,MATCH(LARGE($I$17:$I$23,4),$I$17:$I$23,0))</f>
        <v>33381466</v>
      </c>
      <c r="C31" s="22">
        <f t="array" ref="C31">INDEX($G$17:$G$23,MATCH(LARGE($I$17:$I$23,4),$I$17:$I$23,0))</f>
        <v>-33381466</v>
      </c>
      <c r="D31" s="22">
        <f t="shared" si="19"/>
        <v>66762932</v>
      </c>
    </row>
    <row r="32" ht="15.0" customHeight="1">
      <c r="A32" s="13" t="str">
        <f t="array" ref="A32">INDEX($A$17:$A$23,MATCH(LARGE($I$17:$I$23,5),$I$17:$I$23,0))</f>
        <v>Other fixed costs</v>
      </c>
      <c r="B32" s="22">
        <f t="array" ref="B32">INDEX($F$17:$F$23,MATCH(LARGE($I$17:$I$23,5),$I$17:$I$23,0))</f>
        <v>13600460</v>
      </c>
      <c r="C32" s="22">
        <f t="array" ref="C32">INDEX($G$17:$G$23,MATCH(LARGE($I$17:$I$23,5),$I$17:$I$23,0))</f>
        <v>-13600460</v>
      </c>
      <c r="D32" s="22">
        <f t="shared" si="19"/>
        <v>27200920</v>
      </c>
    </row>
    <row r="33" ht="15.0" customHeight="1">
      <c r="A33" s="13" t="str">
        <f t="array" ref="A33">INDEX($A$17:$A$23,MATCH(LARGE($I$17:$I$23,6),$I$17:$I$23,0))</f>
        <v>Rent + service charge</v>
      </c>
      <c r="B33" s="22">
        <f t="array" ref="B33">INDEX($F$17:$F$23,MATCH(LARGE($I$17:$I$23,6),$I$17:$I$23,0))</f>
        <v>7554843.75</v>
      </c>
      <c r="C33" s="22">
        <f t="array" ref="C33">INDEX($G$17:$G$23,MATCH(LARGE($I$17:$I$23,6),$I$17:$I$23,0))</f>
        <v>-7554843.75</v>
      </c>
      <c r="D33" s="22">
        <f t="shared" si="19"/>
        <v>15109687.5</v>
      </c>
    </row>
    <row r="34" ht="15.0" customHeight="1">
      <c r="A34" s="13" t="str">
        <f t="array" ref="A34">INDEX($A$17:$A$23,MATCH(LARGE($I$17:$I$23,7),$I$17:$I$23,0))</f>
        <v>Delivery commission</v>
      </c>
      <c r="B34" s="22">
        <f t="array" ref="B34">INDEX($F$17:$F$23,MATCH(LARGE($I$17:$I$23,7),$I$17:$I$23,0))</f>
        <v>4403925</v>
      </c>
      <c r="C34" s="22">
        <f t="array" ref="C34">INDEX($G$17:$G$23,MATCH(LARGE($I$17:$I$23,7),$I$17:$I$23,0))</f>
        <v>-4403925</v>
      </c>
      <c r="D34" s="22">
        <f t="shared" si="19"/>
        <v>8807850</v>
      </c>
    </row>
    <row r="35" ht="15.75" customHeight="1"/>
    <row r="36" ht="15.75" customHeight="1"/>
    <row r="37" ht="15.75" customHeight="1"/>
    <row r="38" ht="15.0" customHeight="1">
      <c r="A38" s="3" t="s">
        <v>1348</v>
      </c>
    </row>
    <row r="39" ht="15.0" customHeight="1">
      <c r="B39" s="30">
        <v>0.85</v>
      </c>
      <c r="C39" s="30">
        <v>0.9</v>
      </c>
      <c r="D39" s="30">
        <v>0.95</v>
      </c>
      <c r="E39" s="30">
        <v>1.0</v>
      </c>
      <c r="F39" s="30">
        <v>1.05</v>
      </c>
      <c r="G39" s="30">
        <v>1.1</v>
      </c>
      <c r="H39" s="30">
        <v>1.15</v>
      </c>
    </row>
    <row r="40" ht="15.0" customHeight="1">
      <c r="A40" s="30">
        <v>0.7</v>
      </c>
      <c r="B40" s="22">
        <f t="shared" ref="B40:H40" si="20">$B$5*$A40*B$39-$B$6*$A40*1-$B$7*$A40*B$39*1-$B$8*$A40*B$39-$B$9*1-$B$10*1-$B$11*1</f>
        <v>-41836724.32</v>
      </c>
      <c r="C40" s="22">
        <f t="shared" si="20"/>
        <v>-19396669.8</v>
      </c>
      <c r="D40" s="22">
        <f t="shared" si="20"/>
        <v>3043384.728</v>
      </c>
      <c r="E40" s="22">
        <f t="shared" si="20"/>
        <v>25483439.25</v>
      </c>
      <c r="F40" s="22">
        <f t="shared" si="20"/>
        <v>47923493.78</v>
      </c>
      <c r="G40" s="22">
        <f t="shared" si="20"/>
        <v>70363548.3</v>
      </c>
      <c r="H40" s="22">
        <f t="shared" si="20"/>
        <v>92803602.83</v>
      </c>
    </row>
    <row r="41" ht="15.0" customHeight="1">
      <c r="A41" s="30">
        <v>0.8</v>
      </c>
      <c r="B41" s="22">
        <f t="shared" ref="B41:H41" si="21">$B$5*$A41*B$39-$B$6*$A41*1-$B$7*$A41*B$39*1-$B$8*$A41*B$39-$B$9*1-$B$10*1-$B$11*1</f>
        <v>-8858563.689</v>
      </c>
      <c r="C41" s="22">
        <f t="shared" si="21"/>
        <v>16787212.91</v>
      </c>
      <c r="D41" s="22">
        <f t="shared" si="21"/>
        <v>42432989.51</v>
      </c>
      <c r="E41" s="22">
        <f t="shared" si="21"/>
        <v>68078766.11</v>
      </c>
      <c r="F41" s="22">
        <f t="shared" si="21"/>
        <v>93724542.71</v>
      </c>
      <c r="G41" s="22">
        <f t="shared" si="21"/>
        <v>119370319.3</v>
      </c>
      <c r="H41" s="22">
        <f t="shared" si="21"/>
        <v>145016095.9</v>
      </c>
    </row>
    <row r="42" ht="15.0" customHeight="1">
      <c r="A42" s="30">
        <v>0.9</v>
      </c>
      <c r="B42" s="22">
        <f t="shared" ref="B42:H42" si="22">$B$5*$A42*B$39-$B$6*$A42*1-$B$7*$A42*B$39*1-$B$8*$A42*B$39-$B$9*1-$B$10*1-$B$11*1</f>
        <v>24119596.94</v>
      </c>
      <c r="C42" s="22">
        <f t="shared" si="22"/>
        <v>52971095.62</v>
      </c>
      <c r="D42" s="22">
        <f t="shared" si="22"/>
        <v>81822594.29</v>
      </c>
      <c r="E42" s="22">
        <f t="shared" si="22"/>
        <v>110674093</v>
      </c>
      <c r="F42" s="22">
        <f t="shared" si="22"/>
        <v>139525591.6</v>
      </c>
      <c r="G42" s="22">
        <f t="shared" si="22"/>
        <v>168377090.3</v>
      </c>
      <c r="H42" s="22">
        <f t="shared" si="22"/>
        <v>197228589</v>
      </c>
    </row>
    <row r="43" ht="15.0" customHeight="1">
      <c r="A43" s="30">
        <v>1.0</v>
      </c>
      <c r="B43" s="22">
        <f t="shared" ref="B43:H43" si="23">$B$5*$A43*B$39-$B$6*$A43*1-$B$7*$A43*B$39*1-$B$8*$A43*B$39-$B$9*1-$B$10*1-$B$11*1</f>
        <v>57097757.58</v>
      </c>
      <c r="C43" s="22">
        <f t="shared" si="23"/>
        <v>89154978.33</v>
      </c>
      <c r="D43" s="22">
        <f t="shared" si="23"/>
        <v>121212199.1</v>
      </c>
      <c r="E43" s="22">
        <f t="shared" si="23"/>
        <v>153269419.8</v>
      </c>
      <c r="F43" s="22">
        <f t="shared" si="23"/>
        <v>185326640.6</v>
      </c>
      <c r="G43" s="22">
        <f t="shared" si="23"/>
        <v>217383861.3</v>
      </c>
      <c r="H43" s="22">
        <f t="shared" si="23"/>
        <v>249441082.1</v>
      </c>
    </row>
    <row r="44" ht="15.0" customHeight="1">
      <c r="A44" s="30">
        <v>1.1</v>
      </c>
      <c r="B44" s="22">
        <f t="shared" ref="B44:H44" si="24">$B$5*$A44*B$39-$B$6*$A44*1-$B$7*$A44*B$39*1-$B$8*$A44*B$39-$B$9*1-$B$10*1-$B$11*1</f>
        <v>90075918.21</v>
      </c>
      <c r="C44" s="22">
        <f t="shared" si="24"/>
        <v>125338861</v>
      </c>
      <c r="D44" s="22">
        <f t="shared" si="24"/>
        <v>160601803.9</v>
      </c>
      <c r="E44" s="22">
        <f t="shared" si="24"/>
        <v>195864746.7</v>
      </c>
      <c r="F44" s="22">
        <f t="shared" si="24"/>
        <v>231127689.5</v>
      </c>
      <c r="G44" s="22">
        <f t="shared" si="24"/>
        <v>266390632.3</v>
      </c>
      <c r="H44" s="22">
        <f t="shared" si="24"/>
        <v>301653575.2</v>
      </c>
    </row>
    <row r="45" ht="15.0" customHeight="1">
      <c r="A45" s="30">
        <v>1.2</v>
      </c>
      <c r="B45" s="22">
        <f t="shared" ref="B45:H45" si="25">$B$5*$A45*B$39-$B$6*$A45*1-$B$7*$A45*B$39*1-$B$8*$A45*B$39-$B$9*1-$B$10*1-$B$11*1</f>
        <v>123054078.8</v>
      </c>
      <c r="C45" s="22">
        <f t="shared" si="25"/>
        <v>161522743.7</v>
      </c>
      <c r="D45" s="22">
        <f t="shared" si="25"/>
        <v>199991408.6</v>
      </c>
      <c r="E45" s="22">
        <f t="shared" si="25"/>
        <v>238460073.5</v>
      </c>
      <c r="F45" s="22">
        <f t="shared" si="25"/>
        <v>276928738.4</v>
      </c>
      <c r="G45" s="22">
        <f t="shared" si="25"/>
        <v>315397403.3</v>
      </c>
      <c r="H45" s="22">
        <f t="shared" si="25"/>
        <v>353866068.2</v>
      </c>
    </row>
    <row r="46" ht="15.0" customHeight="1">
      <c r="A46" s="30">
        <v>1.3</v>
      </c>
      <c r="B46" s="22">
        <f t="shared" ref="B46:H46" si="26">$B$5*$A46*B$39-$B$6*$A46*1-$B$7*$A46*B$39*1-$B$8*$A46*B$39-$B$9*1-$B$10*1-$B$11*1</f>
        <v>156032239.5</v>
      </c>
      <c r="C46" s="22">
        <f t="shared" si="26"/>
        <v>197706626.4</v>
      </c>
      <c r="D46" s="22">
        <f t="shared" si="26"/>
        <v>239381013.4</v>
      </c>
      <c r="E46" s="22">
        <f t="shared" si="26"/>
        <v>281055400.4</v>
      </c>
      <c r="F46" s="22">
        <f t="shared" si="26"/>
        <v>322729787.4</v>
      </c>
      <c r="G46" s="22">
        <f t="shared" si="26"/>
        <v>364404174.3</v>
      </c>
      <c r="H46" s="22">
        <f t="shared" si="26"/>
        <v>406078561.3</v>
      </c>
    </row>
    <row r="47" ht="15.75" customHeight="1"/>
    <row r="48" ht="15.0" customHeight="1">
      <c r="A48" s="3" t="s">
        <v>1384</v>
      </c>
    </row>
    <row r="49" ht="15.0" customHeight="1">
      <c r="B49" s="30">
        <v>0.6</v>
      </c>
      <c r="C49" s="30">
        <v>0.8</v>
      </c>
      <c r="D49" s="30">
        <v>1.0</v>
      </c>
      <c r="E49" s="30">
        <v>1.2</v>
      </c>
      <c r="F49" s="30">
        <v>1.4</v>
      </c>
      <c r="G49" s="30">
        <v>1.6</v>
      </c>
      <c r="H49" s="30">
        <v>2.0</v>
      </c>
    </row>
    <row r="50" ht="15.0" customHeight="1">
      <c r="A50" s="30">
        <v>0.7</v>
      </c>
      <c r="B50" s="22">
        <f t="shared" ref="B50:H50" si="27">$B$5*$A50*1-$B$6*$A50*1-$B$7*$A50*1*1-$B$8*$A50*1-$B$9*1-$B$10*B$49-$B$11*1</f>
        <v>40593126.75</v>
      </c>
      <c r="C50" s="22">
        <f t="shared" si="27"/>
        <v>33038283</v>
      </c>
      <c r="D50" s="22">
        <f t="shared" si="27"/>
        <v>25483439.25</v>
      </c>
      <c r="E50" s="22">
        <f t="shared" si="27"/>
        <v>17928595.5</v>
      </c>
      <c r="F50" s="22">
        <f t="shared" si="27"/>
        <v>10373751.75</v>
      </c>
      <c r="G50" s="22">
        <f t="shared" si="27"/>
        <v>2818908.003</v>
      </c>
      <c r="H50" s="22">
        <f t="shared" si="27"/>
        <v>-12290779.5</v>
      </c>
    </row>
    <row r="51" ht="15.0" customHeight="1">
      <c r="A51" s="30">
        <v>0.8</v>
      </c>
      <c r="B51" s="22">
        <f t="shared" ref="B51:H51" si="28">$B$5*$A51*1-$B$6*$A51*1-$B$7*$A51*1*1-$B$8*$A51*1-$B$9*1-$B$10*B$49-$B$11*1</f>
        <v>83188453.61</v>
      </c>
      <c r="C51" s="22">
        <f t="shared" si="28"/>
        <v>75633609.86</v>
      </c>
      <c r="D51" s="22">
        <f t="shared" si="28"/>
        <v>68078766.11</v>
      </c>
      <c r="E51" s="22">
        <f t="shared" si="28"/>
        <v>60523922.36</v>
      </c>
      <c r="F51" s="22">
        <f t="shared" si="28"/>
        <v>52969078.61</v>
      </c>
      <c r="G51" s="22">
        <f t="shared" si="28"/>
        <v>45414234.86</v>
      </c>
      <c r="H51" s="22">
        <f t="shared" si="28"/>
        <v>30304547.36</v>
      </c>
    </row>
    <row r="52" ht="15.0" customHeight="1">
      <c r="A52" s="30">
        <v>0.9</v>
      </c>
      <c r="B52" s="22">
        <f t="shared" ref="B52:H52" si="29">$B$5*$A52*1-$B$6*$A52*1-$B$7*$A52*1*1-$B$8*$A52*1-$B$9*1-$B$10*B$49-$B$11*1</f>
        <v>125783780.5</v>
      </c>
      <c r="C52" s="22">
        <f t="shared" si="29"/>
        <v>118228936.7</v>
      </c>
      <c r="D52" s="22">
        <f t="shared" si="29"/>
        <v>110674093</v>
      </c>
      <c r="E52" s="22">
        <f t="shared" si="29"/>
        <v>103119249.2</v>
      </c>
      <c r="F52" s="22">
        <f t="shared" si="29"/>
        <v>95564405.47</v>
      </c>
      <c r="G52" s="22">
        <f t="shared" si="29"/>
        <v>88009561.72</v>
      </c>
      <c r="H52" s="22">
        <f t="shared" si="29"/>
        <v>72899874.22</v>
      </c>
    </row>
    <row r="53" ht="15.0" customHeight="1">
      <c r="A53" s="30">
        <v>1.0</v>
      </c>
      <c r="B53" s="22">
        <f t="shared" ref="B53:H53" si="30">$B$5*$A53*1-$B$6*$A53*1-$B$7*$A53*1*1-$B$8*$A53*1-$B$9*1-$B$10*B$49-$B$11*1</f>
        <v>168379107.3</v>
      </c>
      <c r="C53" s="22">
        <f t="shared" si="30"/>
        <v>160824263.6</v>
      </c>
      <c r="D53" s="22">
        <f t="shared" si="30"/>
        <v>153269419.8</v>
      </c>
      <c r="E53" s="22">
        <f t="shared" si="30"/>
        <v>145714576.1</v>
      </c>
      <c r="F53" s="22">
        <f t="shared" si="30"/>
        <v>138159732.3</v>
      </c>
      <c r="G53" s="22">
        <f t="shared" si="30"/>
        <v>130604888.6</v>
      </c>
      <c r="H53" s="22">
        <f t="shared" si="30"/>
        <v>115495201.1</v>
      </c>
    </row>
    <row r="54" ht="15.0" customHeight="1">
      <c r="A54" s="30">
        <v>1.1</v>
      </c>
      <c r="B54" s="22">
        <f t="shared" ref="B54:H54" si="31">$B$5*$A54*1-$B$6*$A54*1-$B$7*$A54*1*1-$B$8*$A54*1-$B$9*1-$B$10*B$49-$B$11*1</f>
        <v>210974434.2</v>
      </c>
      <c r="C54" s="22">
        <f t="shared" si="31"/>
        <v>203419590.4</v>
      </c>
      <c r="D54" s="22">
        <f t="shared" si="31"/>
        <v>195864746.7</v>
      </c>
      <c r="E54" s="22">
        <f t="shared" si="31"/>
        <v>188309902.9</v>
      </c>
      <c r="F54" s="22">
        <f t="shared" si="31"/>
        <v>180755059.2</v>
      </c>
      <c r="G54" s="22">
        <f t="shared" si="31"/>
        <v>173200215.4</v>
      </c>
      <c r="H54" s="22">
        <f t="shared" si="31"/>
        <v>158090527.9</v>
      </c>
    </row>
    <row r="55" ht="15.0" customHeight="1">
      <c r="A55" s="30">
        <v>1.2</v>
      </c>
      <c r="B55" s="22">
        <f t="shared" ref="B55:H55" si="32">$B$5*$A55*1-$B$6*$A55*1-$B$7*$A55*1*1-$B$8*$A55*1-$B$9*1-$B$10*B$49-$B$11*1</f>
        <v>253569761</v>
      </c>
      <c r="C55" s="22">
        <f t="shared" si="32"/>
        <v>246014917.3</v>
      </c>
      <c r="D55" s="22">
        <f t="shared" si="32"/>
        <v>238460073.5</v>
      </c>
      <c r="E55" s="22">
        <f t="shared" si="32"/>
        <v>230905229.8</v>
      </c>
      <c r="F55" s="22">
        <f t="shared" si="32"/>
        <v>223350386</v>
      </c>
      <c r="G55" s="22">
        <f t="shared" si="32"/>
        <v>215795542.3</v>
      </c>
      <c r="H55" s="22">
        <f t="shared" si="32"/>
        <v>200685854.8</v>
      </c>
    </row>
    <row r="56" ht="15.0" customHeight="1">
      <c r="A56" s="30">
        <v>1.3</v>
      </c>
      <c r="B56" s="22">
        <f t="shared" ref="B56:H56" si="33">$B$5*$A56*1-$B$6*$A56*1-$B$7*$A56*1*1-$B$8*$A56*1-$B$9*1-$B$10*B$49-$B$11*1</f>
        <v>296165087.9</v>
      </c>
      <c r="C56" s="22">
        <f t="shared" si="33"/>
        <v>288610244.1</v>
      </c>
      <c r="D56" s="22">
        <f t="shared" si="33"/>
        <v>281055400.4</v>
      </c>
      <c r="E56" s="22">
        <f t="shared" si="33"/>
        <v>273500556.6</v>
      </c>
      <c r="F56" s="22">
        <f t="shared" si="33"/>
        <v>265945712.9</v>
      </c>
      <c r="G56" s="22">
        <f t="shared" si="33"/>
        <v>258390869.1</v>
      </c>
      <c r="H56" s="22">
        <f t="shared" si="33"/>
        <v>243281181.6</v>
      </c>
    </row>
    <row r="57" ht="15.75" customHeight="1"/>
    <row r="58" ht="15.0" customHeight="1">
      <c r="A58" s="3" t="s">
        <v>1406</v>
      </c>
    </row>
    <row r="59" ht="15.0" customHeight="1">
      <c r="B59" s="30">
        <v>0.6</v>
      </c>
      <c r="C59" s="30">
        <v>0.8</v>
      </c>
      <c r="D59" s="30">
        <v>1.0</v>
      </c>
      <c r="E59" s="30">
        <v>1.2</v>
      </c>
      <c r="F59" s="30">
        <v>1.4</v>
      </c>
    </row>
    <row r="60" ht="15.0" customHeight="1">
      <c r="A60" s="30">
        <v>0.8</v>
      </c>
      <c r="B60" s="74">
        <f>IF($B$13*B$59&gt;0,$B$12*$A60/($B$13*B$59*12*(1-Inputs!$H$16)),"never")</f>
        <v>4.732762835</v>
      </c>
      <c r="C60" s="74">
        <f>IF($B$13*C$59&gt;0,$B$12*$A60/($B$13*C$59*12*(1-Inputs!$H$16)),"never")</f>
        <v>3.549572126</v>
      </c>
      <c r="D60" s="74">
        <f>IF($B$13*D$59&gt;0,$B$12*$A60/($B$13*D$59*12*(1-Inputs!$H$16)),"never")</f>
        <v>2.839657701</v>
      </c>
      <c r="E60" s="74">
        <f>IF($B$13*E$59&gt;0,$B$12*$A60/($B$13*E$59*12*(1-Inputs!$H$16)),"never")</f>
        <v>2.366381417</v>
      </c>
      <c r="F60" s="74">
        <f>IF($B$13*F$59&gt;0,$B$12*$A60/($B$13*F$59*12*(1-Inputs!$H$16)),"never")</f>
        <v>2.028326929</v>
      </c>
    </row>
    <row r="61" ht="15.0" customHeight="1">
      <c r="A61" s="30">
        <v>0.9</v>
      </c>
      <c r="B61" s="74">
        <f>IF($B$13*B$59&gt;0,$B$12*$A61/($B$13*B$59*12*(1-Inputs!$H$16)),"never")</f>
        <v>5.324358189</v>
      </c>
      <c r="C61" s="74">
        <f>IF($B$13*C$59&gt;0,$B$12*$A61/($B$13*C$59*12*(1-Inputs!$H$16)),"never")</f>
        <v>3.993268642</v>
      </c>
      <c r="D61" s="74">
        <f>IF($B$13*D$59&gt;0,$B$12*$A61/($B$13*D$59*12*(1-Inputs!$H$16)),"never")</f>
        <v>3.194614913</v>
      </c>
      <c r="E61" s="74">
        <f>IF($B$13*E$59&gt;0,$B$12*$A61/($B$13*E$59*12*(1-Inputs!$H$16)),"never")</f>
        <v>2.662179094</v>
      </c>
      <c r="F61" s="74">
        <f>IF($B$13*F$59&gt;0,$B$12*$A61/($B$13*F$59*12*(1-Inputs!$H$16)),"never")</f>
        <v>2.281867795</v>
      </c>
    </row>
    <row r="62" ht="15.0" customHeight="1">
      <c r="A62" s="30">
        <v>1.0</v>
      </c>
      <c r="B62" s="74">
        <f>IF($B$13*B$59&gt;0,$B$12*$A62/($B$13*B$59*12*(1-Inputs!$H$16)),"never")</f>
        <v>5.915953543</v>
      </c>
      <c r="C62" s="74">
        <f>IF($B$13*C$59&gt;0,$B$12*$A62/($B$13*C$59*12*(1-Inputs!$H$16)),"never")</f>
        <v>4.436965157</v>
      </c>
      <c r="D62" s="74">
        <f>IF($B$13*D$59&gt;0,$B$12*$A62/($B$13*D$59*12*(1-Inputs!$H$16)),"never")</f>
        <v>3.549572126</v>
      </c>
      <c r="E62" s="74">
        <f>IF($B$13*E$59&gt;0,$B$12*$A62/($B$13*E$59*12*(1-Inputs!$H$16)),"never")</f>
        <v>2.957976772</v>
      </c>
      <c r="F62" s="74">
        <f>IF($B$13*F$59&gt;0,$B$12*$A62/($B$13*F$59*12*(1-Inputs!$H$16)),"never")</f>
        <v>2.535408661</v>
      </c>
    </row>
    <row r="63" ht="15.0" customHeight="1">
      <c r="A63" s="30">
        <v>1.15</v>
      </c>
      <c r="B63" s="74">
        <f>IF($B$13*B$59&gt;0,$B$12*$A63/($B$13*B$59*12*(1-Inputs!$H$16)),"never")</f>
        <v>6.803346575</v>
      </c>
      <c r="C63" s="74">
        <f>IF($B$13*C$59&gt;0,$B$12*$A63/($B$13*C$59*12*(1-Inputs!$H$16)),"never")</f>
        <v>5.102509931</v>
      </c>
      <c r="D63" s="74">
        <f>IF($B$13*D$59&gt;0,$B$12*$A63/($B$13*D$59*12*(1-Inputs!$H$16)),"never")</f>
        <v>4.082007945</v>
      </c>
      <c r="E63" s="74">
        <f>IF($B$13*E$59&gt;0,$B$12*$A63/($B$13*E$59*12*(1-Inputs!$H$16)),"never")</f>
        <v>3.401673287</v>
      </c>
      <c r="F63" s="74">
        <f>IF($B$13*F$59&gt;0,$B$12*$A63/($B$13*F$59*12*(1-Inputs!$H$16)),"never")</f>
        <v>2.915719961</v>
      </c>
    </row>
    <row r="64" ht="15.0" customHeight="1">
      <c r="A64" s="30">
        <v>1.3</v>
      </c>
      <c r="B64" s="74">
        <f>IF($B$13*B$59&gt;0,$B$12*$A64/($B$13*B$59*12*(1-Inputs!$H$16)),"never")</f>
        <v>7.690739606</v>
      </c>
      <c r="C64" s="74">
        <f>IF($B$13*C$59&gt;0,$B$12*$A64/($B$13*C$59*12*(1-Inputs!$H$16)),"never")</f>
        <v>5.768054705</v>
      </c>
      <c r="D64" s="74">
        <f>IF($B$13*D$59&gt;0,$B$12*$A64/($B$13*D$59*12*(1-Inputs!$H$16)),"never")</f>
        <v>4.614443764</v>
      </c>
      <c r="E64" s="74">
        <f>IF($B$13*E$59&gt;0,$B$12*$A64/($B$13*E$59*12*(1-Inputs!$H$16)),"never")</f>
        <v>3.845369803</v>
      </c>
      <c r="F64" s="74">
        <f>IF($B$13*F$59&gt;0,$B$12*$A64/($B$13*F$59*12*(1-Inputs!$H$16)),"never")</f>
        <v>3.29603126</v>
      </c>
    </row>
    <row r="65" ht="15.75" customHeight="1"/>
    <row r="66" ht="15.0" customHeight="1">
      <c r="A66" s="2" t="s">
        <v>1432</v>
      </c>
    </row>
    <row r="67" ht="15.75" customHeight="1"/>
    <row r="68" ht="15.75" customHeight="1"/>
    <row r="69" ht="15.75" customHeight="1"/>
    <row r="70" ht="15.75" customHeight="1">
      <c r="A70" s="60" t="s">
        <v>1433</v>
      </c>
    </row>
    <row r="71" ht="27.0" customHeight="1">
      <c r="A71" s="15" t="s">
        <v>624</v>
      </c>
      <c r="B71" s="61" t="s">
        <v>631</v>
      </c>
      <c r="C71" s="63"/>
      <c r="D71" s="61" t="s">
        <v>633</v>
      </c>
      <c r="E71" s="62"/>
      <c r="F71" s="62"/>
      <c r="G71" s="63"/>
      <c r="H71" s="61" t="s">
        <v>636</v>
      </c>
      <c r="I71" s="62"/>
      <c r="J71" s="62"/>
      <c r="K71" s="62"/>
      <c r="L71" s="62"/>
      <c r="M71" s="62"/>
      <c r="N71" s="62"/>
      <c r="O71" s="62"/>
      <c r="P71" s="63"/>
      <c r="Q71" s="61" t="s">
        <v>69</v>
      </c>
      <c r="R71" s="62"/>
      <c r="S71" s="63"/>
    </row>
    <row r="72" ht="27.0" customHeight="1">
      <c r="A72" s="80" t="s">
        <v>1434</v>
      </c>
      <c r="B72" s="79">
        <f>Sensitivity!E4</f>
        <v>0.2</v>
      </c>
      <c r="C72" s="66"/>
      <c r="D72" s="64" t="s">
        <v>665</v>
      </c>
      <c r="E72" s="65"/>
      <c r="F72" s="65"/>
      <c r="G72" s="66"/>
      <c r="H72" s="64" t="s">
        <v>1435</v>
      </c>
      <c r="I72" s="65"/>
      <c r="J72" s="65"/>
      <c r="K72" s="65"/>
      <c r="L72" s="65"/>
      <c r="M72" s="65"/>
      <c r="N72" s="65"/>
      <c r="O72" s="65"/>
      <c r="P72" s="66"/>
      <c r="Q72" s="78" t="s">
        <v>153</v>
      </c>
      <c r="R72" s="65"/>
      <c r="S72" s="66"/>
    </row>
    <row r="73" ht="15.0" customHeight="1">
      <c r="A73" s="80" t="s">
        <v>1436</v>
      </c>
      <c r="B73" s="67">
        <f>Sensitivity!B12</f>
        <v>5092222453</v>
      </c>
      <c r="C73" s="66"/>
      <c r="D73" s="64" t="s">
        <v>1437</v>
      </c>
      <c r="E73" s="65"/>
      <c r="F73" s="65"/>
      <c r="G73" s="66"/>
      <c r="H73" s="64" t="s">
        <v>1438</v>
      </c>
      <c r="I73" s="65"/>
      <c r="J73" s="65"/>
      <c r="K73" s="65"/>
      <c r="L73" s="65"/>
      <c r="M73" s="65"/>
      <c r="N73" s="65"/>
      <c r="O73" s="65"/>
      <c r="P73" s="66"/>
      <c r="Q73" s="78" t="s">
        <v>680</v>
      </c>
      <c r="R73" s="65"/>
      <c r="S73" s="66"/>
    </row>
    <row r="74" ht="15.0" customHeight="1">
      <c r="A74" s="80" t="s">
        <v>1439</v>
      </c>
      <c r="B74" s="76" t="s">
        <v>665</v>
      </c>
      <c r="C74" s="66"/>
      <c r="D74" s="64" t="s">
        <v>665</v>
      </c>
      <c r="E74" s="65"/>
      <c r="F74" s="65"/>
      <c r="G74" s="66"/>
      <c r="H74" s="64" t="s">
        <v>1440</v>
      </c>
      <c r="I74" s="65"/>
      <c r="J74" s="65"/>
      <c r="K74" s="65"/>
      <c r="L74" s="65"/>
      <c r="M74" s="65"/>
      <c r="N74" s="65"/>
      <c r="O74" s="65"/>
      <c r="P74" s="66"/>
      <c r="Q74" s="78" t="s">
        <v>153</v>
      </c>
      <c r="R74" s="65"/>
      <c r="S74" s="66"/>
    </row>
    <row r="75" ht="15.0" customHeight="1">
      <c r="A75" s="80" t="s">
        <v>1441</v>
      </c>
      <c r="B75" s="76" t="s">
        <v>665</v>
      </c>
      <c r="C75" s="66"/>
      <c r="D75" s="64" t="s">
        <v>1442</v>
      </c>
      <c r="E75" s="65"/>
      <c r="F75" s="65"/>
      <c r="G75" s="66"/>
      <c r="H75" s="64" t="s">
        <v>1443</v>
      </c>
      <c r="I75" s="65"/>
      <c r="J75" s="65"/>
      <c r="K75" s="65"/>
      <c r="L75" s="65"/>
      <c r="M75" s="65"/>
      <c r="N75" s="65"/>
      <c r="O75" s="65"/>
      <c r="P75" s="66"/>
      <c r="Q75" s="78" t="s">
        <v>680</v>
      </c>
      <c r="R75" s="65"/>
      <c r="S75" s="66"/>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72:C72"/>
    <mergeCell ref="B73:C73"/>
    <mergeCell ref="D73:G73"/>
    <mergeCell ref="B74:C74"/>
    <mergeCell ref="D74:G74"/>
    <mergeCell ref="B75:C75"/>
    <mergeCell ref="D75:G75"/>
    <mergeCell ref="H73:P73"/>
    <mergeCell ref="Q73:S73"/>
    <mergeCell ref="H74:P74"/>
    <mergeCell ref="Q74:S74"/>
    <mergeCell ref="H75:P75"/>
    <mergeCell ref="Q75:S75"/>
    <mergeCell ref="B71:C71"/>
    <mergeCell ref="D71:G71"/>
    <mergeCell ref="H71:P71"/>
    <mergeCell ref="Q71:S71"/>
    <mergeCell ref="D72:G72"/>
    <mergeCell ref="H72:P72"/>
    <mergeCell ref="Q72:S72"/>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9.0" topLeftCell="A40" activePane="bottomLeft" state="frozen"/>
      <selection activeCell="B41" sqref="B41" pane="bottomLeft"/>
    </sheetView>
  </sheetViews>
  <sheetFormatPr customHeight="1" defaultColWidth="14.43" defaultRowHeight="15.0"/>
  <cols>
    <col customWidth="1" min="1" max="1" width="34.0"/>
    <col customWidth="1" min="2" max="4" width="12.0"/>
    <col customWidth="1" min="5" max="5" width="4.0"/>
    <col customWidth="1" min="6" max="6" width="12.0"/>
    <col customWidth="1" min="7" max="9" width="16.0"/>
    <col customWidth="1" min="10" max="10" width="11.71"/>
    <col customWidth="1" min="11" max="17" width="8.86"/>
    <col customWidth="1" min="18" max="43" width="8.71"/>
  </cols>
  <sheetData>
    <row r="1" ht="17.25" customHeight="1">
      <c r="A1" s="1" t="s">
        <v>1361</v>
      </c>
    </row>
    <row r="2" ht="15.0" customHeight="1">
      <c r="A2" s="2" t="s">
        <v>1363</v>
      </c>
      <c r="V2" s="60" t="s">
        <v>1364</v>
      </c>
    </row>
    <row r="3" ht="27.0" customHeight="1">
      <c r="A3" s="11" t="s">
        <v>362</v>
      </c>
      <c r="V3" s="61" t="s">
        <v>624</v>
      </c>
      <c r="W3" s="62"/>
      <c r="X3" s="62"/>
      <c r="Y3" s="63"/>
      <c r="Z3" s="61" t="s">
        <v>631</v>
      </c>
      <c r="AA3" s="63"/>
      <c r="AB3" s="61" t="s">
        <v>633</v>
      </c>
      <c r="AC3" s="62"/>
      <c r="AD3" s="62"/>
      <c r="AE3" s="63"/>
      <c r="AF3" s="61" t="s">
        <v>636</v>
      </c>
      <c r="AG3" s="62"/>
      <c r="AH3" s="62"/>
      <c r="AI3" s="62"/>
      <c r="AJ3" s="62"/>
      <c r="AK3" s="62"/>
      <c r="AL3" s="62"/>
      <c r="AM3" s="62"/>
      <c r="AN3" s="63"/>
      <c r="AO3" s="61" t="s">
        <v>69</v>
      </c>
      <c r="AP3" s="62"/>
      <c r="AQ3" s="63"/>
    </row>
    <row r="4" ht="15.0" customHeight="1">
      <c r="A4" s="3" t="s">
        <v>1368</v>
      </c>
      <c r="V4" s="64" t="s">
        <v>1369</v>
      </c>
      <c r="W4" s="65"/>
      <c r="X4" s="65"/>
      <c r="Y4" s="66"/>
      <c r="Z4" s="67">
        <f>MonteCarlo!B5</f>
        <v>735630000</v>
      </c>
      <c r="AA4" s="66"/>
      <c r="AB4" s="64" t="s">
        <v>1372</v>
      </c>
      <c r="AC4" s="65"/>
      <c r="AD4" s="65"/>
      <c r="AE4" s="66"/>
      <c r="AF4" s="64" t="s">
        <v>1374</v>
      </c>
      <c r="AG4" s="65"/>
      <c r="AH4" s="65"/>
      <c r="AI4" s="65"/>
      <c r="AJ4" s="65"/>
      <c r="AK4" s="65"/>
      <c r="AL4" s="65"/>
      <c r="AM4" s="65"/>
      <c r="AN4" s="66"/>
      <c r="AO4" s="78" t="s">
        <v>680</v>
      </c>
      <c r="AP4" s="65"/>
      <c r="AQ4" s="66"/>
    </row>
    <row r="5" ht="15.0" customHeight="1">
      <c r="A5" s="13" t="s">
        <v>263</v>
      </c>
      <c r="B5" s="41">
        <f>Scenarios!$D$13</f>
        <v>735630000</v>
      </c>
      <c r="V5" s="64" t="s">
        <v>1376</v>
      </c>
      <c r="W5" s="65"/>
      <c r="X5" s="65"/>
      <c r="Y5" s="66"/>
      <c r="Z5" s="76" t="s">
        <v>665</v>
      </c>
      <c r="AA5" s="66"/>
      <c r="AB5" s="64" t="s">
        <v>1377</v>
      </c>
      <c r="AC5" s="65"/>
      <c r="AD5" s="65"/>
      <c r="AE5" s="66"/>
      <c r="AF5" s="64" t="s">
        <v>1378</v>
      </c>
      <c r="AG5" s="65"/>
      <c r="AH5" s="65"/>
      <c r="AI5" s="65"/>
      <c r="AJ5" s="65"/>
      <c r="AK5" s="65"/>
      <c r="AL5" s="65"/>
      <c r="AM5" s="65"/>
      <c r="AN5" s="66"/>
      <c r="AO5" s="69" t="s">
        <v>82</v>
      </c>
      <c r="AP5" s="65"/>
      <c r="AQ5" s="66"/>
    </row>
    <row r="6" ht="27.0" customHeight="1">
      <c r="A6" s="13" t="s">
        <v>376</v>
      </c>
      <c r="B6" s="41">
        <f>Scenarios!$D$16</f>
        <v>215191146.4</v>
      </c>
      <c r="V6" s="64" t="s">
        <v>1379</v>
      </c>
      <c r="W6" s="65"/>
      <c r="X6" s="65"/>
      <c r="Y6" s="66"/>
      <c r="Z6" s="76" t="s">
        <v>665</v>
      </c>
      <c r="AA6" s="66"/>
      <c r="AB6" s="64" t="s">
        <v>1380</v>
      </c>
      <c r="AC6" s="65"/>
      <c r="AD6" s="65"/>
      <c r="AE6" s="66"/>
      <c r="AF6" s="64" t="s">
        <v>1381</v>
      </c>
      <c r="AG6" s="65"/>
      <c r="AH6" s="65"/>
      <c r="AI6" s="65"/>
      <c r="AJ6" s="65"/>
      <c r="AK6" s="65"/>
      <c r="AL6" s="65"/>
      <c r="AM6" s="65"/>
      <c r="AN6" s="66"/>
      <c r="AO6" s="69" t="s">
        <v>124</v>
      </c>
      <c r="AP6" s="65"/>
      <c r="AQ6" s="66"/>
    </row>
    <row r="7" ht="15.0" customHeight="1">
      <c r="A7" s="13" t="s">
        <v>1309</v>
      </c>
      <c r="B7" s="41">
        <f>Scenarios!$D$19</f>
        <v>22019625</v>
      </c>
      <c r="V7" s="64" t="s">
        <v>1382</v>
      </c>
      <c r="W7" s="65"/>
      <c r="X7" s="65"/>
      <c r="Y7" s="66"/>
      <c r="Z7" s="67">
        <f>MonteCarlo!B33</f>
        <v>1</v>
      </c>
      <c r="AA7" s="66"/>
      <c r="AB7" s="64" t="s">
        <v>665</v>
      </c>
      <c r="AC7" s="65"/>
      <c r="AD7" s="65"/>
      <c r="AE7" s="66"/>
      <c r="AF7" s="64" t="s">
        <v>1383</v>
      </c>
      <c r="AG7" s="65"/>
      <c r="AH7" s="65"/>
      <c r="AI7" s="65"/>
      <c r="AJ7" s="65"/>
      <c r="AK7" s="65"/>
      <c r="AL7" s="65"/>
      <c r="AM7" s="65"/>
      <c r="AN7" s="66"/>
      <c r="AO7" s="78" t="s">
        <v>153</v>
      </c>
      <c r="AP7" s="65"/>
      <c r="AQ7" s="66"/>
    </row>
    <row r="8" ht="15.0" customHeight="1">
      <c r="A8" s="13" t="s">
        <v>1385</v>
      </c>
      <c r="B8" s="41">
        <f>Scenarios!$D$22-Scenarios!$D$16-Scenarios!$D$19</f>
        <v>72465960</v>
      </c>
    </row>
    <row r="9" ht="15.0" customHeight="1">
      <c r="A9" s="13" t="s">
        <v>445</v>
      </c>
      <c r="B9" s="41">
        <f>Scenarios!$D$26</f>
        <v>166907330</v>
      </c>
    </row>
    <row r="10" ht="15.0" customHeight="1">
      <c r="A10" s="13" t="s">
        <v>1386</v>
      </c>
      <c r="B10" s="41">
        <f>Scenarios!$D$27+Scenarios!$D$28</f>
        <v>37774218.75</v>
      </c>
    </row>
    <row r="11" ht="15.0" customHeight="1">
      <c r="A11" s="13" t="s">
        <v>1387</v>
      </c>
      <c r="B11" s="41">
        <f>Scenarios!$D$29+Scenarios!$D$30</f>
        <v>68002300</v>
      </c>
    </row>
    <row r="12" ht="15.0" customHeight="1">
      <c r="A12" s="13" t="s">
        <v>1388</v>
      </c>
      <c r="B12" s="41">
        <f>Scenarios!$D$53</f>
        <v>5092222453</v>
      </c>
    </row>
    <row r="14" ht="15.0" customHeight="1">
      <c r="A14" s="3" t="s">
        <v>1389</v>
      </c>
    </row>
    <row r="15" ht="15.0" customHeight="1">
      <c r="A15" s="12" t="s">
        <v>838</v>
      </c>
      <c r="B15" s="12" t="s">
        <v>1391</v>
      </c>
      <c r="C15" s="12" t="s">
        <v>1392</v>
      </c>
      <c r="D15" s="12" t="s">
        <v>1393</v>
      </c>
      <c r="H15" s="10" t="s">
        <v>1394</v>
      </c>
      <c r="I15" s="10" t="s">
        <v>1395</v>
      </c>
    </row>
    <row r="16" ht="15.0" customHeight="1">
      <c r="A16" s="13" t="s">
        <v>1396</v>
      </c>
      <c r="B16" s="129">
        <f t="shared" ref="B16:B21" si="1">MIN(H16,I16,1)</f>
        <v>0.775</v>
      </c>
      <c r="C16" s="130">
        <v>1.0</v>
      </c>
      <c r="D16" s="129">
        <f t="shared" ref="D16:D21" si="2">MAX(H16,I16,1)</f>
        <v>1.275</v>
      </c>
      <c r="H16" s="128">
        <f>Scenarios!$C$6/Scenarios!$D$6</f>
        <v>0.775</v>
      </c>
      <c r="I16" s="128">
        <f>Scenarios!$E$6/Scenarios!$D$6</f>
        <v>1.275</v>
      </c>
    </row>
    <row r="17" ht="15.0" customHeight="1">
      <c r="A17" s="13" t="s">
        <v>1398</v>
      </c>
      <c r="B17" s="129">
        <f t="shared" si="1"/>
        <v>0.8987010961</v>
      </c>
      <c r="C17" s="130">
        <v>1.0</v>
      </c>
      <c r="D17" s="129">
        <f t="shared" si="2"/>
        <v>1.120990113</v>
      </c>
      <c r="H17" s="128">
        <f>Scenarios!$C$8/Scenarios!$D$8</f>
        <v>0.8987010961</v>
      </c>
      <c r="I17" s="128">
        <f>Scenarios!$E$8/Scenarios!$D$8</f>
        <v>1.120990113</v>
      </c>
    </row>
    <row r="18" ht="15.0" customHeight="1">
      <c r="A18" s="13" t="s">
        <v>1399</v>
      </c>
      <c r="B18" s="129">
        <f t="shared" si="1"/>
        <v>0.9389329531</v>
      </c>
      <c r="C18" s="130">
        <v>1.0</v>
      </c>
      <c r="D18" s="129">
        <f t="shared" si="2"/>
        <v>1.090387109</v>
      </c>
      <c r="H18" s="128">
        <f>(Scenarios!$C$16/Scenarios!$C$13)/(Scenarios!$D$16/Scenarios!$D$13)</f>
        <v>1.090387109</v>
      </c>
      <c r="I18" s="128">
        <f>(Scenarios!$E$16/Scenarios!$E$13)/(Scenarios!$D$16/Scenarios!$D$13)</f>
        <v>0.9389329531</v>
      </c>
    </row>
    <row r="19" ht="15.0" customHeight="1">
      <c r="A19" s="13" t="s">
        <v>1330</v>
      </c>
      <c r="B19" s="129">
        <f t="shared" si="1"/>
        <v>0.9698856845</v>
      </c>
      <c r="C19" s="130">
        <v>1.0</v>
      </c>
      <c r="D19" s="129">
        <f t="shared" si="2"/>
        <v>1.111834232</v>
      </c>
      <c r="H19" s="128">
        <f>Scenarios!$C$26/Scenarios!$D$26</f>
        <v>1.111834232</v>
      </c>
      <c r="I19" s="128">
        <f>Scenarios!$E$26/Scenarios!$D$26</f>
        <v>0.9698856845</v>
      </c>
    </row>
    <row r="20" ht="15.0" customHeight="1">
      <c r="A20" s="13" t="s">
        <v>1386</v>
      </c>
      <c r="B20" s="129">
        <f t="shared" si="1"/>
        <v>0.8146881288</v>
      </c>
      <c r="C20" s="130">
        <v>1.0</v>
      </c>
      <c r="D20" s="129">
        <f t="shared" si="2"/>
        <v>1.862766148</v>
      </c>
      <c r="H20" s="128">
        <f>(Scenarios!$C$27+Scenarios!$C$28)/(Scenarios!$D$27+Scenarios!$D$28)</f>
        <v>1.862766148</v>
      </c>
      <c r="I20" s="128">
        <f>(Scenarios!$E$27+Scenarios!$E$28)/(Scenarios!$D$27+Scenarios!$D$28)</f>
        <v>0.8146881288</v>
      </c>
    </row>
    <row r="21" ht="15.0" customHeight="1">
      <c r="A21" s="13" t="s">
        <v>1388</v>
      </c>
      <c r="B21" s="129">
        <f t="shared" si="1"/>
        <v>0.8587602294</v>
      </c>
      <c r="C21" s="130">
        <v>1.0</v>
      </c>
      <c r="D21" s="129">
        <f t="shared" si="2"/>
        <v>1.463650805</v>
      </c>
      <c r="H21" s="128">
        <f>Scenarios!$C$53/Scenarios!$D$53</f>
        <v>1.463650805</v>
      </c>
      <c r="I21" s="128">
        <f>Scenarios!$E$53/Scenarios!$D$53</f>
        <v>0.8587602294</v>
      </c>
    </row>
    <row r="22" ht="15.75" customHeight="1"/>
    <row r="23" ht="15.0" customHeight="1">
      <c r="A23" s="3" t="s">
        <v>1400</v>
      </c>
      <c r="D23" s="3" t="s">
        <v>1401</v>
      </c>
    </row>
    <row r="24" ht="15.0" customHeight="1">
      <c r="A24" s="13" t="s">
        <v>1402</v>
      </c>
      <c r="B24" s="98">
        <f>AVERAGE(J40:J1039)</f>
        <v>152898448.9</v>
      </c>
      <c r="D24" s="10" t="s">
        <v>1403</v>
      </c>
      <c r="E24" s="10"/>
      <c r="F24" s="10" t="s">
        <v>1404</v>
      </c>
      <c r="G24" s="10" t="s">
        <v>1405</v>
      </c>
      <c r="H24" s="22">
        <f>(MAX(J40:J1039)-MIN(J40:J1039))/12</f>
        <v>30358322.49</v>
      </c>
    </row>
    <row r="25" ht="15.0" customHeight="1">
      <c r="A25" s="13" t="s">
        <v>1407</v>
      </c>
      <c r="B25" s="98">
        <f>PERCENTILE(J40:J1039,0.1)</f>
        <v>53272231.31</v>
      </c>
      <c r="D25" s="131">
        <f>MIN($J$40:$J$1039)+$H$24*1</f>
        <v>14702741.38</v>
      </c>
      <c r="F25" s="87">
        <f>COUNTIFS($J$40:$J$1039,"&lt;="&amp;D25)</f>
        <v>16</v>
      </c>
    </row>
    <row r="26" ht="15.0" customHeight="1">
      <c r="A26" s="13" t="s">
        <v>1408</v>
      </c>
      <c r="B26" s="98">
        <f>PERCENTILE(J40:J1039,0.5)</f>
        <v>147005871.8</v>
      </c>
      <c r="D26" s="131">
        <f>MIN($J$40:$J$1039)+$H$24*2</f>
        <v>45061063.87</v>
      </c>
      <c r="F26" s="87">
        <f t="shared" ref="F26:F36" si="3">COUNTIFS($J$40:$J$1039,"&gt;"&amp;D25,$J$40:$J$1039,"&lt;="&amp;D26)</f>
        <v>55</v>
      </c>
    </row>
    <row r="27" ht="15.0" customHeight="1">
      <c r="A27" s="13" t="s">
        <v>1409</v>
      </c>
      <c r="B27" s="98">
        <f>PERCENTILE(J40:J1039,0.9)</f>
        <v>256990019.4</v>
      </c>
      <c r="D27" s="131">
        <f>MIN($J$40:$J$1039)+$H$24*3</f>
        <v>75419386.36</v>
      </c>
      <c r="F27" s="87">
        <f t="shared" si="3"/>
        <v>88</v>
      </c>
    </row>
    <row r="28" ht="15.0" customHeight="1">
      <c r="A28" s="13" t="s">
        <v>1410</v>
      </c>
      <c r="B28" s="132">
        <f>COUNTIF(J40:J1039,"&lt;0")/1000</f>
        <v>0.004</v>
      </c>
      <c r="D28" s="131">
        <f>MIN($J$40:$J$1039)+$H$24*4</f>
        <v>105777708.9</v>
      </c>
      <c r="F28" s="87">
        <f t="shared" si="3"/>
        <v>128</v>
      </c>
    </row>
    <row r="29" ht="15.0" customHeight="1">
      <c r="A29" s="13" t="s">
        <v>1411</v>
      </c>
      <c r="B29" s="132">
        <f>COUNTIF(K40:K1039,"&lt;=3")/1000</f>
        <v>0.272</v>
      </c>
      <c r="D29" s="131">
        <f>MIN($J$40:$J$1039)+$H$24*5</f>
        <v>136136031.4</v>
      </c>
      <c r="F29" s="87">
        <f t="shared" si="3"/>
        <v>152</v>
      </c>
    </row>
    <row r="30" ht="15.0" customHeight="1">
      <c r="A30" s="13" t="s">
        <v>1412</v>
      </c>
      <c r="B30" s="132">
        <f>COUNTIF(K40:K1039,"&lt;=5")/1000</f>
        <v>0.637</v>
      </c>
      <c r="D30" s="131">
        <f>MIN($J$40:$J$1039)+$H$24*6</f>
        <v>166494353.8</v>
      </c>
      <c r="F30" s="87">
        <f t="shared" si="3"/>
        <v>152</v>
      </c>
    </row>
    <row r="31" ht="15.0" customHeight="1">
      <c r="A31" s="13" t="s">
        <v>1413</v>
      </c>
      <c r="B31" s="133">
        <f>MEDIAN(K40:K1039)</f>
        <v>4.051304718</v>
      </c>
      <c r="D31" s="131">
        <f>MIN($J$40:$J$1039)+$H$24*7</f>
        <v>196852676.3</v>
      </c>
      <c r="F31" s="87">
        <f t="shared" si="3"/>
        <v>123</v>
      </c>
    </row>
    <row r="32" ht="15.0" customHeight="1">
      <c r="D32" s="131">
        <f>MIN($J$40:$J$1039)+$H$24*8</f>
        <v>227210998.8</v>
      </c>
      <c r="F32" s="87">
        <f t="shared" si="3"/>
        <v>111</v>
      </c>
    </row>
    <row r="33" ht="15.0" customHeight="1">
      <c r="A33" s="13" t="s">
        <v>1414</v>
      </c>
      <c r="B33" s="6">
        <v>1.0</v>
      </c>
      <c r="D33" s="131">
        <f>MIN($J$40:$J$1039)+$H$24*9</f>
        <v>257569321.3</v>
      </c>
      <c r="F33" s="87">
        <f t="shared" si="3"/>
        <v>76</v>
      </c>
    </row>
    <row r="34" ht="15.0" customHeight="1">
      <c r="A34" s="2" t="s">
        <v>1415</v>
      </c>
      <c r="D34" s="131">
        <f>MIN($J$40:$J$1039)+$H$24*10</f>
        <v>287927643.8</v>
      </c>
      <c r="F34" s="87">
        <f t="shared" si="3"/>
        <v>44</v>
      </c>
    </row>
    <row r="35" ht="15.0" customHeight="1">
      <c r="D35" s="131">
        <f>MIN($J$40:$J$1039)+$H$24*11</f>
        <v>318285966.3</v>
      </c>
      <c r="F35" s="87">
        <f t="shared" si="3"/>
        <v>45</v>
      </c>
    </row>
    <row r="36" ht="15.0" customHeight="1">
      <c r="D36" s="131">
        <f>MIN($J$40:$J$1039)+$H$24*12</f>
        <v>348644288.8</v>
      </c>
      <c r="F36" s="87">
        <f t="shared" si="3"/>
        <v>10</v>
      </c>
    </row>
    <row r="37" ht="15.75" customHeight="1"/>
    <row r="38" ht="15.75" customHeight="1"/>
    <row r="39" ht="23.25" customHeight="1">
      <c r="A39" s="12" t="s">
        <v>1416</v>
      </c>
      <c r="B39" s="12" t="s">
        <v>1417</v>
      </c>
      <c r="C39" s="12" t="s">
        <v>1418</v>
      </c>
      <c r="D39" s="12" t="s">
        <v>1419</v>
      </c>
      <c r="E39" s="12"/>
      <c r="F39" s="12" t="s">
        <v>1420</v>
      </c>
      <c r="G39" s="12" t="s">
        <v>1421</v>
      </c>
      <c r="H39" s="12" t="s">
        <v>1422</v>
      </c>
      <c r="I39" s="12"/>
      <c r="J39" s="12" t="s">
        <v>1423</v>
      </c>
      <c r="K39" s="12" t="s">
        <v>1424</v>
      </c>
      <c r="L39" s="12" t="s">
        <v>1425</v>
      </c>
      <c r="M39" s="12" t="s">
        <v>1426</v>
      </c>
      <c r="N39" s="12" t="s">
        <v>1427</v>
      </c>
      <c r="O39" s="12" t="s">
        <v>1428</v>
      </c>
      <c r="P39" s="12" t="s">
        <v>1429</v>
      </c>
      <c r="Q39" s="12" t="s">
        <v>1430</v>
      </c>
    </row>
    <row r="40" ht="15.0" customHeight="1">
      <c r="A40" s="13">
        <v>1.0</v>
      </c>
      <c r="B40" s="134">
        <f t="shared" ref="B40:D40" si="4">RAND()</f>
        <v>0.7208310156</v>
      </c>
      <c r="C40" s="134">
        <f t="shared" si="4"/>
        <v>0.1143587314</v>
      </c>
      <c r="D40" s="134">
        <f t="shared" si="4"/>
        <v>0.7774950388</v>
      </c>
      <c r="F40" s="134">
        <f t="shared" ref="F40:H40" si="5">RAND()</f>
        <v>0.150200371</v>
      </c>
      <c r="G40" s="134">
        <f t="shared" si="5"/>
        <v>0.3282853594</v>
      </c>
      <c r="H40" s="134">
        <f t="shared" si="5"/>
        <v>0.8553620152</v>
      </c>
      <c r="J40" s="135">
        <f t="shared" ref="J40:J1039" si="8">$B$5*L40*M40-$B$6*L40*N40-$B$7*L40*M40-$B$8*L40*M40-$B$9*O40-$B$10*P40-$B$11</f>
        <v>200184121.8</v>
      </c>
      <c r="K40" s="136">
        <f>IF(J40&gt;0,MIN(99,$B$12*Q40/(J40*12*(1-Inputs!$H$16))),99)</f>
        <v>3.430402289</v>
      </c>
      <c r="L40" s="134">
        <f t="shared" ref="L40:L1039" si="9">IF($D$16=$B$16,$C$16,IF(B40&lt;($C$16-$B$16)/($D$16-$B$16),$B$16+SQRT(B40*($D$16-$B$16)*($C$16-$B$16)),$D$16-SQRT((1-B40)*($D$16-$B$16)*($D$16-$C$16))))</f>
        <v>1.079077221</v>
      </c>
      <c r="M40" s="134">
        <f t="shared" ref="M40:M1039" si="10">IF($D$17=$B$17,$C$17,IF(IF($B$33=1,B40,C40)&lt;($C$17-$B$17)/($D$17-$B$17),$B$17+SQRT(IF($B$33=1,B40,C40)*($D$17-$B$17)*($C$17-$B$17)),$D$17-SQRT((1-IF($B$33=1,B40,C40))*($D$17-$B$17)*($D$17-$C$17))))</f>
        <v>1.034340321</v>
      </c>
      <c r="N40" s="134">
        <f t="shared" ref="N40:N1039" si="11">IF($D$18=$B$18,$C$18,IF(D40&lt;($C$18-$B$18)/($D$18-$B$18),$B$18+SQRT(D40*($D$18-$B$18)*($C$18-$B$18)),$D$18-SQRT((1-D40)*($D$18-$B$18)*($D$18-$C$18))))</f>
        <v>1.035196689</v>
      </c>
      <c r="O40" s="134">
        <f t="shared" ref="O40:O1039" si="12">IF($D$19=$B$19,$C$19,IF(F40&lt;($C$19-$B$19)/($D$19-$B$19),$B$19+SQRT(F40*($D$19-$B$19)*($C$19-$B$19)),$D$19-SQRT((1-F40)*($D$19-$B$19)*($D$19-$C$19))))</f>
        <v>0.9952245681</v>
      </c>
      <c r="P40" s="134">
        <f t="shared" ref="P40:P1039" si="13">IF($D$20=$B$20,$C$20,IF(G40&lt;($C$20-$B$20)/($D$20-$B$20),$B$20+SQRT(G40*($D$20-$B$20)*($C$20-$B$20)),$D$20-SQRT((1-G40)*($D$20-$B$20)*($D$20-$C$20))))</f>
        <v>1.083410366</v>
      </c>
      <c r="Q40" s="134">
        <f t="shared" ref="Q40:Q1039" si="14">IF($D$21=$B$21,$C$21,IF(H40&lt;($C$21-$B$21)/($D$21-$B$21),$B$21+SQRT(H40*($D$21-$B$21)*($C$21-$B$21)),$D$21-SQRT((1-H40)*($D$21-$B$21)*($D$21-$C$21))))</f>
        <v>1.262243555</v>
      </c>
    </row>
    <row r="41" ht="15.0" customHeight="1">
      <c r="A41" s="13">
        <v>2.0</v>
      </c>
      <c r="B41" s="134">
        <f t="shared" ref="B41:D41" si="6">RAND()</f>
        <v>0.8778555591</v>
      </c>
      <c r="C41" s="134">
        <f t="shared" si="6"/>
        <v>0.0232067309</v>
      </c>
      <c r="D41" s="134">
        <f t="shared" si="6"/>
        <v>0.286620404</v>
      </c>
      <c r="F41" s="134">
        <f t="shared" ref="F41:H41" si="7">RAND()</f>
        <v>0.3145293987</v>
      </c>
      <c r="G41" s="134">
        <f t="shared" si="7"/>
        <v>0.1878647541</v>
      </c>
      <c r="H41" s="134">
        <f t="shared" si="7"/>
        <v>0.9719490987</v>
      </c>
      <c r="J41" s="135">
        <f t="shared" si="8"/>
        <v>262852769.7</v>
      </c>
      <c r="K41" s="136">
        <f>IF(J41&gt;0,MIN(99,$B$12*Q41/(J41*12*(1-Inputs!$H$16))),99)</f>
        <v>2.845818325</v>
      </c>
      <c r="L41" s="134">
        <f t="shared" si="9"/>
        <v>1.145405013</v>
      </c>
      <c r="M41" s="134">
        <f t="shared" si="10"/>
        <v>1.063674783</v>
      </c>
      <c r="N41" s="134">
        <f t="shared" si="11"/>
        <v>0.9904199556</v>
      </c>
      <c r="O41" s="134">
        <f t="shared" si="12"/>
        <v>1.007519109</v>
      </c>
      <c r="P41" s="134">
        <f t="shared" si="13"/>
        <v>1.005812101</v>
      </c>
      <c r="Q41" s="134">
        <f t="shared" si="14"/>
        <v>1.374954132</v>
      </c>
    </row>
    <row r="42" ht="15.0" customHeight="1">
      <c r="A42" s="13">
        <v>3.0</v>
      </c>
      <c r="B42" s="134">
        <f t="shared" ref="B42:D42" si="15">RAND()</f>
        <v>0.2569345826</v>
      </c>
      <c r="C42" s="134">
        <f t="shared" si="15"/>
        <v>0.8750733846</v>
      </c>
      <c r="D42" s="134">
        <f t="shared" si="15"/>
        <v>0.8922590466</v>
      </c>
      <c r="F42" s="134">
        <f t="shared" ref="F42:H42" si="16">RAND()</f>
        <v>0.7467960668</v>
      </c>
      <c r="G42" s="134">
        <f t="shared" si="16"/>
        <v>0.1584572158</v>
      </c>
      <c r="H42" s="134">
        <f t="shared" si="16"/>
        <v>0.5943393601</v>
      </c>
      <c r="J42" s="135">
        <f t="shared" si="8"/>
        <v>96276261.61</v>
      </c>
      <c r="K42" s="136">
        <f>IF(J42&gt;0,MIN(99,$B$12*Q42/(J42*12*(1-Inputs!$H$16))),99)</f>
        <v>6.364822106</v>
      </c>
      <c r="L42" s="134">
        <f t="shared" si="9"/>
        <v>0.9450151186</v>
      </c>
      <c r="M42" s="134">
        <f t="shared" si="10"/>
        <v>0.9747639572</v>
      </c>
      <c r="N42" s="134">
        <f t="shared" si="11"/>
        <v>1.05198242</v>
      </c>
      <c r="O42" s="134">
        <f t="shared" si="12"/>
        <v>1.048434404</v>
      </c>
      <c r="P42" s="134">
        <f t="shared" si="13"/>
        <v>0.9901183607</v>
      </c>
      <c r="Q42" s="134">
        <f t="shared" si="14"/>
        <v>1.126351572</v>
      </c>
    </row>
    <row r="43" ht="15.0" customHeight="1">
      <c r="A43" s="13">
        <v>4.0</v>
      </c>
      <c r="B43" s="134">
        <f t="shared" ref="B43:D43" si="17">RAND()</f>
        <v>0.737756002</v>
      </c>
      <c r="C43" s="134">
        <f t="shared" si="17"/>
        <v>0.9871019813</v>
      </c>
      <c r="D43" s="134">
        <f t="shared" si="17"/>
        <v>0.6897528836</v>
      </c>
      <c r="F43" s="134">
        <f t="shared" ref="F43:H43" si="18">RAND()</f>
        <v>0.6335703409</v>
      </c>
      <c r="G43" s="134">
        <f t="shared" si="18"/>
        <v>0.8134687717</v>
      </c>
      <c r="H43" s="134">
        <f t="shared" si="18"/>
        <v>0.9365853719</v>
      </c>
      <c r="J43" s="135">
        <f t="shared" si="8"/>
        <v>186367748.3</v>
      </c>
      <c r="K43" s="136">
        <f>IF(J43&gt;0,MIN(99,$B$12*Q43/(J43*12*(1-Inputs!$H$16))),99)</f>
        <v>3.883354549</v>
      </c>
      <c r="L43" s="134">
        <f t="shared" si="9"/>
        <v>1.085109111</v>
      </c>
      <c r="M43" s="134">
        <f t="shared" si="10"/>
        <v>1.037008015</v>
      </c>
      <c r="N43" s="134">
        <f t="shared" si="11"/>
        <v>1.025217109</v>
      </c>
      <c r="O43" s="134">
        <f t="shared" si="12"/>
        <v>1.035565212</v>
      </c>
      <c r="P43" s="134">
        <f t="shared" si="13"/>
        <v>1.452071418</v>
      </c>
      <c r="Q43" s="134">
        <f t="shared" si="14"/>
        <v>1.330289866</v>
      </c>
    </row>
    <row r="44" ht="15.0" customHeight="1">
      <c r="A44" s="13">
        <v>5.0</v>
      </c>
      <c r="B44" s="134">
        <f t="shared" ref="B44:D44" si="19">RAND()</f>
        <v>0.9870083611</v>
      </c>
      <c r="C44" s="134">
        <f t="shared" si="19"/>
        <v>0.3988930907</v>
      </c>
      <c r="D44" s="134">
        <f t="shared" si="19"/>
        <v>0.199608382</v>
      </c>
      <c r="F44" s="134">
        <f t="shared" ref="F44:H44" si="20">RAND()</f>
        <v>0.9773641579</v>
      </c>
      <c r="G44" s="134">
        <f t="shared" si="20"/>
        <v>0.9599437954</v>
      </c>
      <c r="H44" s="134">
        <f t="shared" si="20"/>
        <v>0.292403432</v>
      </c>
      <c r="J44" s="135">
        <f t="shared" si="8"/>
        <v>297153898.4</v>
      </c>
      <c r="K44" s="136">
        <f>IF(J44&gt;0,MIN(99,$B$12*Q44/(J44*12*(1-Inputs!$H$16))),99)</f>
        <v>1.864109217</v>
      </c>
      <c r="L44" s="134">
        <f t="shared" si="9"/>
        <v>1.232734762</v>
      </c>
      <c r="M44" s="134">
        <f t="shared" si="10"/>
        <v>1.102297677</v>
      </c>
      <c r="N44" s="134">
        <f t="shared" si="11"/>
        <v>0.981899796</v>
      </c>
      <c r="O44" s="134">
        <f t="shared" si="12"/>
        <v>1.092878036</v>
      </c>
      <c r="P44" s="134">
        <f t="shared" si="13"/>
        <v>1.672448855</v>
      </c>
      <c r="Q44" s="134">
        <f t="shared" si="14"/>
        <v>1.018172276</v>
      </c>
    </row>
    <row r="45" ht="15.0" customHeight="1">
      <c r="A45" s="13">
        <v>6.0</v>
      </c>
      <c r="B45" s="134">
        <f t="shared" ref="B45:D45" si="21">RAND()</f>
        <v>0.7214042783</v>
      </c>
      <c r="C45" s="134">
        <f t="shared" si="21"/>
        <v>0.06666362368</v>
      </c>
      <c r="D45" s="134">
        <f t="shared" si="21"/>
        <v>0.2923313781</v>
      </c>
      <c r="F45" s="134">
        <f t="shared" ref="F45:H45" si="22">RAND()</f>
        <v>0.1142506168</v>
      </c>
      <c r="G45" s="134">
        <f t="shared" si="22"/>
        <v>0.3049937617</v>
      </c>
      <c r="H45" s="134">
        <f t="shared" si="22"/>
        <v>0.7629512235</v>
      </c>
      <c r="J45" s="135">
        <f t="shared" si="8"/>
        <v>211661999.3</v>
      </c>
      <c r="K45" s="136">
        <f>IF(J45&gt;0,MIN(99,$B$12*Q45/(J45*12*(1-Inputs!$H$16))),99)</f>
        <v>3.099326036</v>
      </c>
      <c r="L45" s="134">
        <f t="shared" si="9"/>
        <v>1.079278484</v>
      </c>
      <c r="M45" s="134">
        <f t="shared" si="10"/>
        <v>1.034429332</v>
      </c>
      <c r="N45" s="134">
        <f t="shared" si="11"/>
        <v>0.9909303705</v>
      </c>
      <c r="O45" s="134">
        <f t="shared" si="12"/>
        <v>0.9919851236</v>
      </c>
      <c r="P45" s="134">
        <f t="shared" si="13"/>
        <v>1.070013491</v>
      </c>
      <c r="Q45" s="134">
        <f t="shared" si="14"/>
        <v>1.20580933</v>
      </c>
    </row>
    <row r="46" ht="15.0" customHeight="1">
      <c r="A46" s="13">
        <v>7.0</v>
      </c>
      <c r="B46" s="134">
        <f t="shared" ref="B46:D46" si="23">RAND()</f>
        <v>0.1609771878</v>
      </c>
      <c r="C46" s="134">
        <f t="shared" si="23"/>
        <v>0.4918891219</v>
      </c>
      <c r="D46" s="134">
        <f t="shared" si="23"/>
        <v>0.5169471149</v>
      </c>
      <c r="F46" s="134">
        <f t="shared" ref="F46:H46" si="24">RAND()</f>
        <v>0.01228470566</v>
      </c>
      <c r="G46" s="134">
        <f t="shared" si="24"/>
        <v>0.2811365476</v>
      </c>
      <c r="H46" s="134">
        <f t="shared" si="24"/>
        <v>0.2758523839</v>
      </c>
      <c r="J46" s="135">
        <f t="shared" si="8"/>
        <v>90694820.13</v>
      </c>
      <c r="K46" s="136">
        <f>IF(J46&gt;0,MIN(99,$B$12*Q46/(J46*12*(1-Inputs!$H$16))),99)</f>
        <v>6.07652409</v>
      </c>
      <c r="L46" s="134">
        <f t="shared" si="9"/>
        <v>0.9095731534</v>
      </c>
      <c r="M46" s="134">
        <f t="shared" si="10"/>
        <v>0.9589076187</v>
      </c>
      <c r="N46" s="134">
        <f t="shared" si="11"/>
        <v>1.009068267</v>
      </c>
      <c r="O46" s="134">
        <f t="shared" si="12"/>
        <v>0.9771322855</v>
      </c>
      <c r="P46" s="134">
        <f t="shared" si="13"/>
        <v>1.056522034</v>
      </c>
      <c r="Q46" s="134">
        <f t="shared" si="14"/>
        <v>1.012992405</v>
      </c>
    </row>
    <row r="47" ht="15.0" customHeight="1">
      <c r="A47" s="13">
        <v>8.0</v>
      </c>
      <c r="B47" s="134">
        <f t="shared" ref="B47:D47" si="25">RAND()</f>
        <v>0.6906519426</v>
      </c>
      <c r="C47" s="134">
        <f t="shared" si="25"/>
        <v>0.09714929068</v>
      </c>
      <c r="D47" s="134">
        <f t="shared" si="25"/>
        <v>0.8187950776</v>
      </c>
      <c r="F47" s="134">
        <f t="shared" ref="F47:H47" si="26">RAND()</f>
        <v>0.692511368</v>
      </c>
      <c r="G47" s="134">
        <f t="shared" si="26"/>
        <v>0.373281227</v>
      </c>
      <c r="H47" s="134">
        <f t="shared" si="26"/>
        <v>0.5015805572</v>
      </c>
      <c r="J47" s="135">
        <f t="shared" si="8"/>
        <v>182469674.9</v>
      </c>
      <c r="K47" s="136">
        <f>IF(J47&gt;0,MIN(99,$B$12*Q47/(J47*12*(1-Inputs!$H$16))),99)</f>
        <v>3.249198721</v>
      </c>
      <c r="L47" s="134">
        <f t="shared" si="9"/>
        <v>1.068758981</v>
      </c>
      <c r="M47" s="134">
        <f t="shared" si="10"/>
        <v>1.029776924</v>
      </c>
      <c r="N47" s="134">
        <f t="shared" si="11"/>
        <v>1.040581433</v>
      </c>
      <c r="O47" s="134">
        <f t="shared" si="12"/>
        <v>1.041967989</v>
      </c>
      <c r="P47" s="134">
        <f t="shared" si="13"/>
        <v>1.109965981</v>
      </c>
      <c r="Q47" s="134">
        <f t="shared" si="14"/>
        <v>1.089771518</v>
      </c>
    </row>
    <row r="48" ht="15.0" customHeight="1">
      <c r="A48" s="13">
        <v>9.0</v>
      </c>
      <c r="B48" s="134">
        <f t="shared" ref="B48:D48" si="27">RAND()</f>
        <v>0.01079066471</v>
      </c>
      <c r="C48" s="134">
        <f t="shared" si="27"/>
        <v>0.8056436454</v>
      </c>
      <c r="D48" s="134">
        <f t="shared" si="27"/>
        <v>0.05108712638</v>
      </c>
      <c r="F48" s="134">
        <f t="shared" ref="F48:H48" si="28">RAND()</f>
        <v>0.1907828813</v>
      </c>
      <c r="G48" s="134">
        <f t="shared" si="28"/>
        <v>0.6447317083</v>
      </c>
      <c r="H48" s="134">
        <f t="shared" si="28"/>
        <v>0.01510414515</v>
      </c>
      <c r="J48" s="135">
        <f t="shared" si="8"/>
        <v>23701130.19</v>
      </c>
      <c r="K48" s="136">
        <f>IF(J48&gt;0,MIN(99,$B$12*Q48/(J48*12*(1-Inputs!$H$16))),99)</f>
        <v>20.53673759</v>
      </c>
      <c r="L48" s="134">
        <f t="shared" si="9"/>
        <v>0.8098417821</v>
      </c>
      <c r="M48" s="134">
        <f t="shared" si="10"/>
        <v>0.9142889194</v>
      </c>
      <c r="N48" s="134">
        <f t="shared" si="11"/>
        <v>0.9606699625</v>
      </c>
      <c r="O48" s="134">
        <f t="shared" si="12"/>
        <v>0.9984432825</v>
      </c>
      <c r="P48" s="134">
        <f t="shared" si="13"/>
        <v>1.295976932</v>
      </c>
      <c r="Q48" s="134">
        <f t="shared" si="14"/>
        <v>0.8946825997</v>
      </c>
    </row>
    <row r="49" ht="15.0" customHeight="1">
      <c r="A49" s="13">
        <v>10.0</v>
      </c>
      <c r="B49" s="134">
        <f t="shared" ref="B49:D49" si="29">RAND()</f>
        <v>0.2481913423</v>
      </c>
      <c r="C49" s="134">
        <f t="shared" si="29"/>
        <v>0.4625396113</v>
      </c>
      <c r="D49" s="134">
        <f t="shared" si="29"/>
        <v>0.1445002582</v>
      </c>
      <c r="F49" s="134">
        <f t="shared" ref="F49:H49" si="30">RAND()</f>
        <v>0.2731794342</v>
      </c>
      <c r="G49" s="134">
        <f t="shared" si="30"/>
        <v>0.365179177</v>
      </c>
      <c r="H49" s="134">
        <f t="shared" si="30"/>
        <v>0.01307736706</v>
      </c>
      <c r="J49" s="135">
        <f t="shared" si="8"/>
        <v>112834653.6</v>
      </c>
      <c r="K49" s="136">
        <f>IF(J49&gt;0,MIN(99,$B$12*Q49/(J49*12*(1-Inputs!$H$16))),99)</f>
        <v>4.301741007</v>
      </c>
      <c r="L49" s="134">
        <f t="shared" si="9"/>
        <v>0.9420973549</v>
      </c>
      <c r="M49" s="134">
        <f t="shared" si="10"/>
        <v>0.9734585823</v>
      </c>
      <c r="N49" s="134">
        <f t="shared" si="11"/>
        <v>0.9754906113</v>
      </c>
      <c r="O49" s="134">
        <f t="shared" si="12"/>
        <v>1.004418854</v>
      </c>
      <c r="P49" s="134">
        <f t="shared" si="13"/>
        <v>1.105115609</v>
      </c>
      <c r="Q49" s="134">
        <f t="shared" si="14"/>
        <v>0.8921856643</v>
      </c>
    </row>
    <row r="50" ht="15.0" customHeight="1">
      <c r="A50" s="13">
        <v>11.0</v>
      </c>
      <c r="B50" s="134">
        <f t="shared" ref="B50:D50" si="31">RAND()</f>
        <v>0.760820752</v>
      </c>
      <c r="C50" s="134">
        <f t="shared" si="31"/>
        <v>0.7950134425</v>
      </c>
      <c r="D50" s="134">
        <f t="shared" si="31"/>
        <v>0.9638125789</v>
      </c>
      <c r="F50" s="134">
        <f t="shared" ref="F50:H50" si="32">RAND()</f>
        <v>0.4985279235</v>
      </c>
      <c r="G50" s="134">
        <f t="shared" si="32"/>
        <v>0.4010208949</v>
      </c>
      <c r="H50" s="134">
        <f t="shared" si="32"/>
        <v>0.4923849233</v>
      </c>
      <c r="J50" s="135">
        <f t="shared" si="8"/>
        <v>197161267.8</v>
      </c>
      <c r="K50" s="136">
        <f>IF(J50&gt;0,MIN(99,$B$12*Q50/(J50*12*(1-Inputs!$H$16))),99)</f>
        <v>2.997609224</v>
      </c>
      <c r="L50" s="134">
        <f t="shared" si="9"/>
        <v>1.093651864</v>
      </c>
      <c r="M50" s="134">
        <f t="shared" si="10"/>
        <v>1.040786175</v>
      </c>
      <c r="N50" s="134">
        <f t="shared" si="11"/>
        <v>1.0681298</v>
      </c>
      <c r="O50" s="134">
        <f t="shared" si="12"/>
        <v>1.022611353</v>
      </c>
      <c r="P50" s="134">
        <f t="shared" si="13"/>
        <v>1.126814654</v>
      </c>
      <c r="Q50" s="134">
        <f t="shared" si="14"/>
        <v>1.086338321</v>
      </c>
    </row>
    <row r="51" ht="15.0" customHeight="1">
      <c r="A51" s="13">
        <v>12.0</v>
      </c>
      <c r="B51" s="134">
        <f t="shared" ref="B51:D51" si="33">RAND()</f>
        <v>0.6719253677</v>
      </c>
      <c r="C51" s="134">
        <f t="shared" si="33"/>
        <v>0.6354547686</v>
      </c>
      <c r="D51" s="134">
        <f t="shared" si="33"/>
        <v>0.4997200582</v>
      </c>
      <c r="F51" s="134">
        <f t="shared" ref="F51:H51" si="34">RAND()</f>
        <v>0.3804641238</v>
      </c>
      <c r="G51" s="134">
        <f t="shared" si="34"/>
        <v>0.007450836455</v>
      </c>
      <c r="H51" s="134">
        <f t="shared" si="34"/>
        <v>0.4574791503</v>
      </c>
      <c r="J51" s="135">
        <f t="shared" si="8"/>
        <v>200075502.9</v>
      </c>
      <c r="K51" s="136">
        <f>IF(J51&gt;0,MIN(99,$B$12*Q51/(J51*12*(1-Inputs!$H$16))),99)</f>
        <v>2.919258077</v>
      </c>
      <c r="L51" s="134">
        <f t="shared" si="9"/>
        <v>1.062608235</v>
      </c>
      <c r="M51" s="134">
        <f t="shared" si="10"/>
        <v>1.027056664</v>
      </c>
      <c r="N51" s="134">
        <f t="shared" si="11"/>
        <v>1.007630938</v>
      </c>
      <c r="O51" s="134">
        <f t="shared" si="12"/>
        <v>1.012662914</v>
      </c>
      <c r="P51" s="134">
        <f t="shared" si="13"/>
        <v>0.8527290427</v>
      </c>
      <c r="Q51" s="134">
        <f t="shared" si="14"/>
        <v>1.073581178</v>
      </c>
    </row>
    <row r="52" ht="15.0" customHeight="1">
      <c r="A52" s="13">
        <v>13.0</v>
      </c>
      <c r="B52" s="134">
        <f t="shared" ref="B52:D52" si="35">RAND()</f>
        <v>0.3072730521</v>
      </c>
      <c r="C52" s="134">
        <f t="shared" si="35"/>
        <v>0.05468984744</v>
      </c>
      <c r="D52" s="134">
        <f t="shared" si="35"/>
        <v>0.3654395451</v>
      </c>
      <c r="F52" s="134">
        <f t="shared" ref="F52:H52" si="36">RAND()</f>
        <v>0.350123978</v>
      </c>
      <c r="G52" s="134">
        <f t="shared" si="36"/>
        <v>0.3289495595</v>
      </c>
      <c r="H52" s="134">
        <f t="shared" si="36"/>
        <v>0.3143216468</v>
      </c>
      <c r="J52" s="135">
        <f t="shared" si="8"/>
        <v>121190582.3</v>
      </c>
      <c r="K52" s="136">
        <f>IF(J52&gt;0,MIN(99,$B$12*Q52/(J52*12*(1-Inputs!$H$16))),99)</f>
        <v>4.601928921</v>
      </c>
      <c r="L52" s="134">
        <f t="shared" si="9"/>
        <v>0.9609253032</v>
      </c>
      <c r="M52" s="134">
        <f t="shared" si="10"/>
        <v>0.9818819957</v>
      </c>
      <c r="N52" s="134">
        <f t="shared" si="11"/>
        <v>0.9970698473</v>
      </c>
      <c r="O52" s="134">
        <f t="shared" si="12"/>
        <v>1.01026361</v>
      </c>
      <c r="P52" s="134">
        <f t="shared" si="13"/>
        <v>1.08379578</v>
      </c>
      <c r="Q52" s="134">
        <f t="shared" si="14"/>
        <v>1.025126027</v>
      </c>
    </row>
    <row r="53" ht="15.0" customHeight="1">
      <c r="A53" s="13">
        <v>14.0</v>
      </c>
      <c r="B53" s="134">
        <f t="shared" ref="B53:D53" si="37">RAND()</f>
        <v>0.8641050348</v>
      </c>
      <c r="C53" s="134">
        <f t="shared" si="37"/>
        <v>0.302468958</v>
      </c>
      <c r="D53" s="134">
        <f t="shared" si="37"/>
        <v>0.374655102</v>
      </c>
      <c r="F53" s="134">
        <f t="shared" ref="F53:H53" si="38">RAND()</f>
        <v>0.4395917695</v>
      </c>
      <c r="G53" s="134">
        <f t="shared" si="38"/>
        <v>0.04599411029</v>
      </c>
      <c r="H53" s="134">
        <f t="shared" si="38"/>
        <v>0.04668003561</v>
      </c>
      <c r="J53" s="135">
        <f t="shared" si="8"/>
        <v>257405983.1</v>
      </c>
      <c r="K53" s="136">
        <f>IF(J53&gt;0,MIN(99,$B$12*Q53/(J53*12*(1-Inputs!$H$16))),99)</f>
        <v>1.948507769</v>
      </c>
      <c r="L53" s="134">
        <f t="shared" si="9"/>
        <v>1.138304873</v>
      </c>
      <c r="M53" s="134">
        <f t="shared" si="10"/>
        <v>1.06053464</v>
      </c>
      <c r="N53" s="134">
        <f t="shared" si="11"/>
        <v>0.9977983236</v>
      </c>
      <c r="O53" s="134">
        <f t="shared" si="12"/>
        <v>1.017513946</v>
      </c>
      <c r="P53" s="134">
        <f t="shared" si="13"/>
        <v>0.9092028675</v>
      </c>
      <c r="Q53" s="134">
        <f t="shared" si="14"/>
        <v>0.9219115592</v>
      </c>
    </row>
    <row r="54" ht="15.0" customHeight="1">
      <c r="A54" s="13">
        <v>15.0</v>
      </c>
      <c r="B54" s="134">
        <f t="shared" ref="B54:D54" si="39">RAND()</f>
        <v>0.0974839254</v>
      </c>
      <c r="C54" s="134">
        <f t="shared" si="39"/>
        <v>0.5847905703</v>
      </c>
      <c r="D54" s="134">
        <f t="shared" si="39"/>
        <v>0.3460094352</v>
      </c>
      <c r="F54" s="134">
        <f t="shared" ref="F54:H54" si="40">RAND()</f>
        <v>0.1980731314</v>
      </c>
      <c r="G54" s="134">
        <f t="shared" si="40"/>
        <v>0.08350404379</v>
      </c>
      <c r="H54" s="134">
        <f t="shared" si="40"/>
        <v>0.7225188682</v>
      </c>
      <c r="J54" s="135">
        <f t="shared" si="8"/>
        <v>74537754.07</v>
      </c>
      <c r="K54" s="136">
        <f>IF(J54&gt;0,MIN(99,$B$12*Q54/(J54*12*(1-Inputs!$H$16))),99)</f>
        <v>8.646855116</v>
      </c>
      <c r="L54" s="134">
        <f t="shared" si="9"/>
        <v>0.8797231665</v>
      </c>
      <c r="M54" s="134">
        <f t="shared" si="10"/>
        <v>0.9455530686</v>
      </c>
      <c r="N54" s="134">
        <f t="shared" si="11"/>
        <v>0.9955031939</v>
      </c>
      <c r="O54" s="134">
        <f t="shared" si="12"/>
        <v>0.9989837929</v>
      </c>
      <c r="P54" s="134">
        <f t="shared" si="13"/>
        <v>0.9420390764</v>
      </c>
      <c r="Q54" s="134">
        <f t="shared" si="14"/>
        <v>1.184685209</v>
      </c>
    </row>
    <row r="55" ht="15.0" customHeight="1">
      <c r="A55" s="13">
        <v>16.0</v>
      </c>
      <c r="B55" s="134">
        <f t="shared" ref="B55:D55" si="41">RAND()</f>
        <v>0.5906694667</v>
      </c>
      <c r="C55" s="134">
        <f t="shared" si="41"/>
        <v>0.9537271027</v>
      </c>
      <c r="D55" s="134">
        <f t="shared" si="41"/>
        <v>0.3119311049</v>
      </c>
      <c r="F55" s="134">
        <f t="shared" ref="F55:H55" si="42">RAND()</f>
        <v>0.200227301</v>
      </c>
      <c r="G55" s="134">
        <f t="shared" si="42"/>
        <v>0.9442949178</v>
      </c>
      <c r="H55" s="134">
        <f t="shared" si="42"/>
        <v>0.5187134571</v>
      </c>
      <c r="J55" s="135">
        <f t="shared" si="8"/>
        <v>157716827.5</v>
      </c>
      <c r="K55" s="136">
        <f>IF(J55&gt;0,MIN(99,$B$12*Q55/(J55*12*(1-Inputs!$H$16))),99)</f>
        <v>3.78150381</v>
      </c>
      <c r="L55" s="134">
        <f t="shared" si="9"/>
        <v>1.037759724</v>
      </c>
      <c r="M55" s="134">
        <f t="shared" si="10"/>
        <v>1.016067037</v>
      </c>
      <c r="N55" s="134">
        <f t="shared" si="11"/>
        <v>0.9926452097</v>
      </c>
      <c r="O55" s="134">
        <f t="shared" si="12"/>
        <v>0.9991415951</v>
      </c>
      <c r="P55" s="134">
        <f t="shared" si="13"/>
        <v>1.638331055</v>
      </c>
      <c r="Q55" s="134">
        <f t="shared" si="14"/>
        <v>1.09625366</v>
      </c>
    </row>
    <row r="56" ht="15.0" customHeight="1">
      <c r="A56" s="13">
        <v>17.0</v>
      </c>
      <c r="B56" s="134">
        <f t="shared" ref="B56:D56" si="43">RAND()</f>
        <v>0.7426659945</v>
      </c>
      <c r="C56" s="134">
        <f t="shared" si="43"/>
        <v>0.7661923443</v>
      </c>
      <c r="D56" s="134">
        <f t="shared" si="43"/>
        <v>0.502635389</v>
      </c>
      <c r="F56" s="134">
        <f t="shared" ref="F56:H56" si="44">RAND()</f>
        <v>0.3477042874</v>
      </c>
      <c r="G56" s="134">
        <f t="shared" si="44"/>
        <v>0.845559769</v>
      </c>
      <c r="H56" s="134">
        <f t="shared" si="44"/>
        <v>0.7030553807</v>
      </c>
      <c r="J56" s="135">
        <f t="shared" si="8"/>
        <v>194625546.8</v>
      </c>
      <c r="K56" s="136">
        <f>IF(J56&gt;0,MIN(99,$B$12*Q56/(J56*12*(1-Inputs!$H$16))),99)</f>
        <v>3.284689925</v>
      </c>
      <c r="L56" s="134">
        <f t="shared" si="9"/>
        <v>1.086895174</v>
      </c>
      <c r="M56" s="134">
        <f t="shared" si="10"/>
        <v>1.037797928</v>
      </c>
      <c r="N56" s="134">
        <f t="shared" si="11"/>
        <v>1.007872416</v>
      </c>
      <c r="O56" s="134">
        <f t="shared" si="12"/>
        <v>1.010074696</v>
      </c>
      <c r="P56" s="134">
        <f t="shared" si="13"/>
        <v>1.489065737</v>
      </c>
      <c r="Q56" s="134">
        <f t="shared" si="14"/>
        <v>1.175067204</v>
      </c>
    </row>
    <row r="57" ht="15.0" customHeight="1">
      <c r="A57" s="13">
        <v>18.0</v>
      </c>
      <c r="B57" s="134">
        <f t="shared" ref="B57:D57" si="45">RAND()</f>
        <v>0.4533718592</v>
      </c>
      <c r="C57" s="134">
        <f t="shared" si="45"/>
        <v>0.02515368655</v>
      </c>
      <c r="D57" s="134">
        <f t="shared" si="45"/>
        <v>0.04030543729</v>
      </c>
      <c r="F57" s="134">
        <f t="shared" ref="F57:H57" si="46">RAND()</f>
        <v>0.1530642452</v>
      </c>
      <c r="G57" s="134">
        <f t="shared" si="46"/>
        <v>0.2348821868</v>
      </c>
      <c r="H57" s="134">
        <f t="shared" si="46"/>
        <v>0.3272737962</v>
      </c>
      <c r="J57" s="135">
        <f t="shared" si="8"/>
        <v>162042453</v>
      </c>
      <c r="K57" s="136">
        <f>IF(J57&gt;0,MIN(99,$B$12*Q57/(J57*12*(1-Inputs!$H$16))),99)</f>
        <v>3.455726988</v>
      </c>
      <c r="L57" s="134">
        <f t="shared" si="9"/>
        <v>1.000844261</v>
      </c>
      <c r="M57" s="134">
        <f t="shared" si="10"/>
        <v>0.9997400069</v>
      </c>
      <c r="N57" s="134">
        <f t="shared" si="11"/>
        <v>0.9582404456</v>
      </c>
      <c r="O57" s="134">
        <f t="shared" si="12"/>
        <v>0.995464996</v>
      </c>
      <c r="P57" s="134">
        <f t="shared" si="13"/>
        <v>1.030987991</v>
      </c>
      <c r="Q57" s="134">
        <f t="shared" si="14"/>
        <v>1.029287538</v>
      </c>
    </row>
    <row r="58" ht="15.0" customHeight="1">
      <c r="A58" s="13">
        <v>19.0</v>
      </c>
      <c r="B58" s="134">
        <f t="shared" ref="B58:D58" si="47">RAND()</f>
        <v>0.348655858</v>
      </c>
      <c r="C58" s="134">
        <f t="shared" si="47"/>
        <v>0.8371197218</v>
      </c>
      <c r="D58" s="134">
        <f t="shared" si="47"/>
        <v>0.6327669628</v>
      </c>
      <c r="F58" s="134">
        <f t="shared" ref="F58:H58" si="48">RAND()</f>
        <v>0.4098731444</v>
      </c>
      <c r="G58" s="134">
        <f t="shared" si="48"/>
        <v>0.06432389216</v>
      </c>
      <c r="H58" s="134">
        <f t="shared" si="48"/>
        <v>0.05215121153</v>
      </c>
      <c r="J58" s="135">
        <f t="shared" si="8"/>
        <v>130057789.2</v>
      </c>
      <c r="K58" s="136">
        <f>IF(J58&gt;0,MIN(99,$B$12*Q58/(J58*12*(1-Inputs!$H$16))),99)</f>
        <v>3.871472858</v>
      </c>
      <c r="L58" s="134">
        <f t="shared" si="9"/>
        <v>0.9730499534</v>
      </c>
      <c r="M58" s="134">
        <f t="shared" si="10"/>
        <v>0.9873064284</v>
      </c>
      <c r="N58" s="134">
        <f t="shared" si="11"/>
        <v>1.019484092</v>
      </c>
      <c r="O58" s="134">
        <f t="shared" si="12"/>
        <v>1.015045334</v>
      </c>
      <c r="P58" s="134">
        <f t="shared" si="13"/>
        <v>0.9264605309</v>
      </c>
      <c r="Q58" s="134">
        <f t="shared" si="14"/>
        <v>0.9255098976</v>
      </c>
    </row>
    <row r="59" ht="15.0" customHeight="1">
      <c r="A59" s="13">
        <v>20.0</v>
      </c>
      <c r="B59" s="134">
        <f t="shared" ref="B59:D59" si="49">RAND()</f>
        <v>0.9325114979</v>
      </c>
      <c r="C59" s="134">
        <f t="shared" si="49"/>
        <v>0.4822974686</v>
      </c>
      <c r="D59" s="134">
        <f t="shared" si="49"/>
        <v>0.3752020457</v>
      </c>
      <c r="F59" s="134">
        <f t="shared" ref="F59:H59" si="50">RAND()</f>
        <v>0.1996295485</v>
      </c>
      <c r="G59" s="134">
        <f t="shared" si="50"/>
        <v>0.2286086892</v>
      </c>
      <c r="H59" s="134">
        <f t="shared" si="50"/>
        <v>0.6189320598</v>
      </c>
      <c r="J59" s="135">
        <f t="shared" si="8"/>
        <v>288266420.7</v>
      </c>
      <c r="K59" s="136">
        <f>IF(J59&gt;0,MIN(99,$B$12*Q59/(J59*12*(1-Inputs!$H$16))),99)</f>
        <v>2.145343917</v>
      </c>
      <c r="L59" s="134">
        <f t="shared" si="9"/>
        <v>1.178668961</v>
      </c>
      <c r="M59" s="134">
        <f t="shared" si="10"/>
        <v>1.078386264</v>
      </c>
      <c r="N59" s="134">
        <f t="shared" si="11"/>
        <v>0.9978412756</v>
      </c>
      <c r="O59" s="134">
        <f t="shared" si="12"/>
        <v>0.9990978926</v>
      </c>
      <c r="P59" s="134">
        <f t="shared" si="13"/>
        <v>1.027584917</v>
      </c>
      <c r="Q59" s="134">
        <f t="shared" si="14"/>
        <v>1.136735597</v>
      </c>
    </row>
    <row r="60" ht="15.0" customHeight="1">
      <c r="A60" s="13">
        <v>21.0</v>
      </c>
      <c r="B60" s="134">
        <f t="shared" ref="B60:D60" si="51">RAND()</f>
        <v>0.3557415612</v>
      </c>
      <c r="C60" s="134">
        <f t="shared" si="51"/>
        <v>0.6733738832</v>
      </c>
      <c r="D60" s="134">
        <f t="shared" si="51"/>
        <v>0.368978325</v>
      </c>
      <c r="F60" s="134">
        <f t="shared" ref="F60:H60" si="52">RAND()</f>
        <v>0.9146723377</v>
      </c>
      <c r="G60" s="134">
        <f t="shared" si="52"/>
        <v>0.1501607348</v>
      </c>
      <c r="H60" s="134">
        <f t="shared" si="52"/>
        <v>0.9897563943</v>
      </c>
      <c r="J60" s="135">
        <f t="shared" si="8"/>
        <v>123849438.5</v>
      </c>
      <c r="K60" s="136">
        <f>IF(J60&gt;0,MIN(99,$B$12*Q60/(J60*12*(1-Inputs!$H$16))),99)</f>
        <v>6.194017194</v>
      </c>
      <c r="L60" s="134">
        <f t="shared" si="9"/>
        <v>0.9750523072</v>
      </c>
      <c r="M60" s="134">
        <f t="shared" si="10"/>
        <v>0.9882022592</v>
      </c>
      <c r="N60" s="134">
        <f t="shared" si="11"/>
        <v>0.9973506571</v>
      </c>
      <c r="O60" s="134">
        <f t="shared" si="12"/>
        <v>1.075029998</v>
      </c>
      <c r="P60" s="134">
        <f t="shared" si="13"/>
        <v>0.9854640433</v>
      </c>
      <c r="Q60" s="134">
        <f t="shared" si="14"/>
        <v>1.410051353</v>
      </c>
    </row>
    <row r="61" ht="15.0" customHeight="1">
      <c r="A61" s="13">
        <v>22.0</v>
      </c>
      <c r="B61" s="134">
        <f t="shared" ref="B61:D61" si="53">RAND()</f>
        <v>0.2202065937</v>
      </c>
      <c r="C61" s="134">
        <f t="shared" si="53"/>
        <v>0.6982695695</v>
      </c>
      <c r="D61" s="134">
        <f t="shared" si="53"/>
        <v>0.3720314318</v>
      </c>
      <c r="F61" s="134">
        <f t="shared" ref="F61:H61" si="54">RAND()</f>
        <v>0.5082352384</v>
      </c>
      <c r="G61" s="134">
        <f t="shared" si="54"/>
        <v>0.5876426886</v>
      </c>
      <c r="H61" s="134">
        <f t="shared" si="54"/>
        <v>0.5153585528</v>
      </c>
      <c r="J61" s="135">
        <f t="shared" si="8"/>
        <v>93051830.08</v>
      </c>
      <c r="K61" s="136">
        <f>IF(J61&gt;0,MIN(99,$B$12*Q61/(J61*12*(1-Inputs!$H$16))),99)</f>
        <v>6.401930461</v>
      </c>
      <c r="L61" s="134">
        <f t="shared" si="9"/>
        <v>0.9323951772</v>
      </c>
      <c r="M61" s="134">
        <f t="shared" si="10"/>
        <v>0.9691179366</v>
      </c>
      <c r="N61" s="134">
        <f t="shared" si="11"/>
        <v>0.9975918475</v>
      </c>
      <c r="O61" s="134">
        <f t="shared" si="12"/>
        <v>1.023479145</v>
      </c>
      <c r="P61" s="134">
        <f t="shared" si="13"/>
        <v>1.252133242</v>
      </c>
      <c r="Q61" s="134">
        <f t="shared" si="14"/>
        <v>1.094975376</v>
      </c>
    </row>
    <row r="62" ht="15.0" customHeight="1">
      <c r="A62" s="13">
        <v>23.0</v>
      </c>
      <c r="B62" s="134">
        <f t="shared" ref="B62:D62" si="55">RAND()</f>
        <v>0.01355004065</v>
      </c>
      <c r="C62" s="134">
        <f t="shared" si="55"/>
        <v>0.170865499</v>
      </c>
      <c r="D62" s="134">
        <f t="shared" si="55"/>
        <v>0.3291662612</v>
      </c>
      <c r="F62" s="134">
        <f t="shared" ref="F62:H62" si="56">RAND()</f>
        <v>0.850300846</v>
      </c>
      <c r="G62" s="134">
        <f t="shared" si="56"/>
        <v>0.799749693</v>
      </c>
      <c r="H62" s="134">
        <f t="shared" si="56"/>
        <v>0.4608511291</v>
      </c>
      <c r="J62" s="135">
        <f t="shared" si="8"/>
        <v>4293567.966</v>
      </c>
      <c r="K62" s="136">
        <f>IF(J62&gt;0,MIN(99,$B$12*Q62/(J62*12*(1-Inputs!$H$16))),99)</f>
        <v>99</v>
      </c>
      <c r="L62" s="134">
        <f t="shared" si="9"/>
        <v>0.8140433038</v>
      </c>
      <c r="M62" s="134">
        <f t="shared" si="10"/>
        <v>0.9161686332</v>
      </c>
      <c r="N62" s="134">
        <f t="shared" si="11"/>
        <v>0.9941091438</v>
      </c>
      <c r="O62" s="134">
        <f t="shared" si="12"/>
        <v>1.063085589</v>
      </c>
      <c r="P62" s="134">
        <f t="shared" si="13"/>
        <v>1.437236377</v>
      </c>
      <c r="Q62" s="134">
        <f t="shared" si="14"/>
        <v>1.074795285</v>
      </c>
    </row>
    <row r="63" ht="15.0" customHeight="1">
      <c r="A63" s="13">
        <v>24.0</v>
      </c>
      <c r="B63" s="134">
        <f t="shared" ref="B63:D63" si="57">RAND()</f>
        <v>0.08254857793</v>
      </c>
      <c r="C63" s="134">
        <f t="shared" si="57"/>
        <v>0.06621785668</v>
      </c>
      <c r="D63" s="134">
        <f t="shared" si="57"/>
        <v>0.6414428463</v>
      </c>
      <c r="F63" s="134">
        <f t="shared" ref="F63:H63" si="58">RAND()</f>
        <v>0.5130301208</v>
      </c>
      <c r="G63" s="134">
        <f t="shared" si="58"/>
        <v>0.6585306154</v>
      </c>
      <c r="H63" s="134">
        <f t="shared" si="58"/>
        <v>0.7404223597</v>
      </c>
      <c r="J63" s="135">
        <f t="shared" si="8"/>
        <v>46569028.13</v>
      </c>
      <c r="K63" s="136">
        <f>IF(J63&gt;0,MIN(99,$B$12*Q63/(J63*12*(1-Inputs!$H$16))),99)</f>
        <v>13.94692971</v>
      </c>
      <c r="L63" s="134">
        <f t="shared" si="9"/>
        <v>0.8713676036</v>
      </c>
      <c r="M63" s="134">
        <f t="shared" si="10"/>
        <v>0.9418148833</v>
      </c>
      <c r="N63" s="134">
        <f t="shared" si="11"/>
        <v>1.02032664</v>
      </c>
      <c r="O63" s="134">
        <f t="shared" si="12"/>
        <v>1.023910947</v>
      </c>
      <c r="P63" s="134">
        <f t="shared" si="13"/>
        <v>1.307093218</v>
      </c>
      <c r="Q63" s="134">
        <f t="shared" si="14"/>
        <v>1.193834893</v>
      </c>
    </row>
    <row r="64" ht="15.0" customHeight="1">
      <c r="A64" s="13">
        <v>25.0</v>
      </c>
      <c r="B64" s="134">
        <f t="shared" ref="B64:D64" si="59">RAND()</f>
        <v>0.168736784</v>
      </c>
      <c r="C64" s="134">
        <f t="shared" si="59"/>
        <v>0.5117861712</v>
      </c>
      <c r="D64" s="134">
        <f t="shared" si="59"/>
        <v>0.1602487421</v>
      </c>
      <c r="F64" s="134">
        <f t="shared" ref="F64:H64" si="60">RAND()</f>
        <v>0.9076027177</v>
      </c>
      <c r="G64" s="134">
        <f t="shared" si="60"/>
        <v>0.254670084</v>
      </c>
      <c r="H64" s="134">
        <f t="shared" si="60"/>
        <v>0.8767998458</v>
      </c>
      <c r="J64" s="135">
        <f t="shared" si="8"/>
        <v>83487951.89</v>
      </c>
      <c r="K64" s="136">
        <f>IF(J64&gt;0,MIN(99,$B$12*Q64/(J64*12*(1-Inputs!$H$16))),99)</f>
        <v>8.326446034</v>
      </c>
      <c r="L64" s="134">
        <f t="shared" si="9"/>
        <v>0.9127784025</v>
      </c>
      <c r="M64" s="134">
        <f t="shared" si="10"/>
        <v>0.9603416112</v>
      </c>
      <c r="N64" s="134">
        <f t="shared" si="11"/>
        <v>0.977431237</v>
      </c>
      <c r="O64" s="134">
        <f t="shared" si="12"/>
        <v>1.073535671</v>
      </c>
      <c r="P64" s="134">
        <f t="shared" si="13"/>
        <v>1.041814401</v>
      </c>
      <c r="Q64" s="134">
        <f t="shared" si="14"/>
        <v>1.27776786</v>
      </c>
    </row>
    <row r="65" ht="15.0" customHeight="1">
      <c r="A65" s="13">
        <v>26.0</v>
      </c>
      <c r="B65" s="134">
        <f t="shared" ref="B65:D65" si="61">RAND()</f>
        <v>0.4337149727</v>
      </c>
      <c r="C65" s="134">
        <f t="shared" si="61"/>
        <v>0.6018793451</v>
      </c>
      <c r="D65" s="134">
        <f t="shared" si="61"/>
        <v>0.9367405094</v>
      </c>
      <c r="F65" s="134">
        <f t="shared" ref="F65:H65" si="62">RAND()</f>
        <v>0.615800628</v>
      </c>
      <c r="G65" s="134">
        <f t="shared" si="62"/>
        <v>0.4816233191</v>
      </c>
      <c r="H65" s="134">
        <f t="shared" si="62"/>
        <v>0.084829916</v>
      </c>
      <c r="J65" s="135">
        <f t="shared" si="8"/>
        <v>124515734.9</v>
      </c>
      <c r="K65" s="136">
        <f>IF(J65&gt;0,MIN(99,$B$12*Q65/(J65*12*(1-Inputs!$H$16))),99)</f>
        <v>4.124103599</v>
      </c>
      <c r="L65" s="134">
        <f t="shared" si="9"/>
        <v>0.9958912276</v>
      </c>
      <c r="M65" s="134">
        <f t="shared" si="10"/>
        <v>0.9975253589</v>
      </c>
      <c r="N65" s="134">
        <f t="shared" si="11"/>
        <v>1.060959384</v>
      </c>
      <c r="O65" s="134">
        <f t="shared" si="12"/>
        <v>1.033737802</v>
      </c>
      <c r="P65" s="134">
        <f t="shared" si="13"/>
        <v>1.178120136</v>
      </c>
      <c r="Q65" s="134">
        <f t="shared" si="14"/>
        <v>0.9438919535</v>
      </c>
    </row>
    <row r="66" ht="15.0" customHeight="1">
      <c r="A66" s="13">
        <v>27.0</v>
      </c>
      <c r="B66" s="134">
        <f t="shared" ref="B66:D66" si="63">RAND()</f>
        <v>0.2659414381</v>
      </c>
      <c r="C66" s="134">
        <f t="shared" si="63"/>
        <v>0.8314128941</v>
      </c>
      <c r="D66" s="134">
        <f t="shared" si="63"/>
        <v>0.7426790566</v>
      </c>
      <c r="F66" s="134">
        <f t="shared" ref="F66:H66" si="64">RAND()</f>
        <v>0.394200088</v>
      </c>
      <c r="G66" s="134">
        <f t="shared" si="64"/>
        <v>0.9127360501</v>
      </c>
      <c r="H66" s="134">
        <f t="shared" si="64"/>
        <v>0.7427702295</v>
      </c>
      <c r="J66" s="135">
        <f t="shared" si="8"/>
        <v>85963554.55</v>
      </c>
      <c r="K66" s="136">
        <f>IF(J66&gt;0,MIN(99,$B$12*Q66/(J66*12*(1-Inputs!$H$16))),99)</f>
        <v>7.563208995</v>
      </c>
      <c r="L66" s="134">
        <f t="shared" si="9"/>
        <v>0.9479693955</v>
      </c>
      <c r="M66" s="134">
        <f t="shared" si="10"/>
        <v>0.9760856676</v>
      </c>
      <c r="N66" s="134">
        <f t="shared" si="11"/>
        <v>1.031035648</v>
      </c>
      <c r="O66" s="134">
        <f t="shared" si="12"/>
        <v>1.013768458</v>
      </c>
      <c r="P66" s="134">
        <f t="shared" si="13"/>
        <v>1.581860295</v>
      </c>
      <c r="Q66" s="134">
        <f t="shared" si="14"/>
        <v>1.195057902</v>
      </c>
    </row>
    <row r="67" ht="15.0" customHeight="1">
      <c r="A67" s="13">
        <v>28.0</v>
      </c>
      <c r="B67" s="134">
        <f t="shared" ref="B67:D67" si="65">RAND()</f>
        <v>0.8568489422</v>
      </c>
      <c r="C67" s="134">
        <f t="shared" si="65"/>
        <v>0.8271246267</v>
      </c>
      <c r="D67" s="134">
        <f t="shared" si="65"/>
        <v>0.9083367888</v>
      </c>
      <c r="F67" s="134">
        <f t="shared" ref="F67:H67" si="66">RAND()</f>
        <v>0.9497029512</v>
      </c>
      <c r="G67" s="134">
        <f t="shared" si="66"/>
        <v>0.4732098802</v>
      </c>
      <c r="H67" s="134">
        <f t="shared" si="66"/>
        <v>0.8271598495</v>
      </c>
      <c r="J67" s="135">
        <f t="shared" si="8"/>
        <v>219637196.6</v>
      </c>
      <c r="K67" s="136">
        <f>IF(J67&gt;0,MIN(99,$B$12*Q67/(J67*12*(1-Inputs!$H$16))),99)</f>
        <v>3.080101654</v>
      </c>
      <c r="L67" s="134">
        <f t="shared" si="9"/>
        <v>1.134702921</v>
      </c>
      <c r="M67" s="134">
        <f t="shared" si="10"/>
        <v>1.058941622</v>
      </c>
      <c r="N67" s="134">
        <f t="shared" si="11"/>
        <v>1.054963616</v>
      </c>
      <c r="O67" s="134">
        <f t="shared" si="12"/>
        <v>1.083577358</v>
      </c>
      <c r="P67" s="134">
        <f t="shared" si="13"/>
        <v>1.172586474</v>
      </c>
      <c r="Q67" s="134">
        <f t="shared" si="14"/>
        <v>1.243481771</v>
      </c>
    </row>
    <row r="68" ht="15.0" customHeight="1">
      <c r="A68" s="13">
        <v>29.0</v>
      </c>
      <c r="B68" s="134">
        <f t="shared" ref="B68:D68" si="67">RAND()</f>
        <v>0.8258792785</v>
      </c>
      <c r="C68" s="134">
        <f t="shared" si="67"/>
        <v>0.07341817109</v>
      </c>
      <c r="D68" s="134">
        <f t="shared" si="67"/>
        <v>0.8920637719</v>
      </c>
      <c r="F68" s="134">
        <f t="shared" ref="F68:H68" si="68">RAND()</f>
        <v>0.5398389613</v>
      </c>
      <c r="G68" s="134">
        <f t="shared" si="68"/>
        <v>0.04844471255</v>
      </c>
      <c r="H68" s="134">
        <f t="shared" si="68"/>
        <v>0.42423833</v>
      </c>
      <c r="J68" s="135">
        <f t="shared" si="8"/>
        <v>228660823.5</v>
      </c>
      <c r="K68" s="136">
        <f>IF(J68&gt;0,MIN(99,$B$12*Q68/(J68*12*(1-Inputs!$H$16))),99)</f>
        <v>2.526306798</v>
      </c>
      <c r="L68" s="134">
        <f t="shared" si="9"/>
        <v>1.120269269</v>
      </c>
      <c r="M68" s="134">
        <f t="shared" si="10"/>
        <v>1.052558123</v>
      </c>
      <c r="N68" s="134">
        <f t="shared" si="11"/>
        <v>1.051947632</v>
      </c>
      <c r="O68" s="134">
        <f t="shared" si="12"/>
        <v>1.026365398</v>
      </c>
      <c r="P68" s="134">
        <f t="shared" si="13"/>
        <v>0.911688103</v>
      </c>
      <c r="Q68" s="134">
        <f t="shared" si="14"/>
        <v>1.061808836</v>
      </c>
    </row>
    <row r="69" ht="15.0" customHeight="1">
      <c r="A69" s="13">
        <v>30.0</v>
      </c>
      <c r="B69" s="134">
        <f t="shared" ref="B69:D69" si="69">RAND()</f>
        <v>0.7865286356</v>
      </c>
      <c r="C69" s="134">
        <f t="shared" si="69"/>
        <v>0.1148483289</v>
      </c>
      <c r="D69" s="134">
        <f t="shared" si="69"/>
        <v>0.7346026314</v>
      </c>
      <c r="F69" s="134">
        <f t="shared" ref="F69:H69" si="70">RAND()</f>
        <v>0.8192706779</v>
      </c>
      <c r="G69" s="134">
        <f t="shared" si="70"/>
        <v>0.9881627834</v>
      </c>
      <c r="H69" s="134">
        <f t="shared" si="70"/>
        <v>0.9135342629</v>
      </c>
      <c r="J69" s="135">
        <f t="shared" si="8"/>
        <v>183868104.4</v>
      </c>
      <c r="K69" s="136">
        <f>IF(J69&gt;0,MIN(99,$B$12*Q69/(J69*12*(1-Inputs!$H$16))),99)</f>
        <v>3.869978157</v>
      </c>
      <c r="L69" s="134">
        <f t="shared" si="9"/>
        <v>1.103674834</v>
      </c>
      <c r="M69" s="134">
        <f t="shared" si="10"/>
        <v>1.045218984</v>
      </c>
      <c r="N69" s="134">
        <f t="shared" si="11"/>
        <v>1.030111424</v>
      </c>
      <c r="O69" s="134">
        <f t="shared" si="12"/>
        <v>1.058270951</v>
      </c>
      <c r="P69" s="134">
        <f t="shared" si="13"/>
        <v>1.759307178</v>
      </c>
      <c r="Q69" s="134">
        <f t="shared" si="14"/>
        <v>1.307926664</v>
      </c>
    </row>
    <row r="70" ht="15.0" customHeight="1">
      <c r="A70" s="13">
        <v>31.0</v>
      </c>
      <c r="B70" s="134">
        <f t="shared" ref="B70:D70" si="71">RAND()</f>
        <v>0.9038842984</v>
      </c>
      <c r="C70" s="134">
        <f t="shared" si="71"/>
        <v>0.1755051498</v>
      </c>
      <c r="D70" s="134">
        <f t="shared" si="71"/>
        <v>0.5032476929</v>
      </c>
      <c r="F70" s="134">
        <f t="shared" ref="F70:H70" si="72">RAND()</f>
        <v>0.9193923928</v>
      </c>
      <c r="G70" s="134">
        <f t="shared" si="72"/>
        <v>0.9401031687</v>
      </c>
      <c r="H70" s="134">
        <f t="shared" si="72"/>
        <v>0.5238060448</v>
      </c>
      <c r="J70" s="135">
        <f t="shared" si="8"/>
        <v>235138383.8</v>
      </c>
      <c r="K70" s="136">
        <f>IF(J70&gt;0,MIN(99,$B$12*Q70/(J70*12*(1-Inputs!$H$16))),99)</f>
        <v>2.540916827</v>
      </c>
      <c r="L70" s="134">
        <f t="shared" si="9"/>
        <v>1.160039533</v>
      </c>
      <c r="M70" s="134">
        <f t="shared" si="10"/>
        <v>1.070147119</v>
      </c>
      <c r="N70" s="134">
        <f t="shared" si="11"/>
        <v>1.007923224</v>
      </c>
      <c r="O70" s="134">
        <f t="shared" si="12"/>
        <v>1.076062425</v>
      </c>
      <c r="P70" s="134">
        <f t="shared" si="13"/>
        <v>1.630039948</v>
      </c>
      <c r="Q70" s="134">
        <f t="shared" si="14"/>
        <v>1.09820258</v>
      </c>
    </row>
    <row r="71" ht="15.0" customHeight="1">
      <c r="A71" s="13">
        <v>32.0</v>
      </c>
      <c r="B71" s="134">
        <f t="shared" ref="B71:D71" si="73">RAND()</f>
        <v>0.1878619455</v>
      </c>
      <c r="C71" s="134">
        <f t="shared" si="73"/>
        <v>0.9434762986</v>
      </c>
      <c r="D71" s="134">
        <f t="shared" si="73"/>
        <v>0.5197232511</v>
      </c>
      <c r="F71" s="134">
        <f t="shared" ref="F71:H71" si="74">RAND()</f>
        <v>0.2912444298</v>
      </c>
      <c r="G71" s="134">
        <f t="shared" si="74"/>
        <v>0.2756812742</v>
      </c>
      <c r="H71" s="134">
        <f t="shared" si="74"/>
        <v>0.2131551811</v>
      </c>
      <c r="J71" s="135">
        <f t="shared" si="8"/>
        <v>93133716.89</v>
      </c>
      <c r="K71" s="136">
        <f>IF(J71&gt;0,MIN(99,$B$12*Q71/(J71*12*(1-Inputs!$H$16))),99)</f>
        <v>5.804746428</v>
      </c>
      <c r="L71" s="134">
        <f t="shared" si="9"/>
        <v>0.9203769888</v>
      </c>
      <c r="M71" s="134">
        <f t="shared" si="10"/>
        <v>0.9637411337</v>
      </c>
      <c r="N71" s="134">
        <f t="shared" si="11"/>
        <v>1.009302276</v>
      </c>
      <c r="O71" s="134">
        <f t="shared" si="12"/>
        <v>1.005762149</v>
      </c>
      <c r="P71" s="134">
        <f t="shared" si="13"/>
        <v>1.053468625</v>
      </c>
      <c r="Q71" s="134">
        <f t="shared" si="14"/>
        <v>0.9937077338</v>
      </c>
    </row>
    <row r="72" ht="15.0" customHeight="1">
      <c r="A72" s="13">
        <v>33.0</v>
      </c>
      <c r="B72" s="134">
        <f t="shared" ref="B72:D72" si="75">RAND()</f>
        <v>0.3986774957</v>
      </c>
      <c r="C72" s="134">
        <f t="shared" si="75"/>
        <v>0.7276787478</v>
      </c>
      <c r="D72" s="134">
        <f t="shared" si="75"/>
        <v>0.1073774996</v>
      </c>
      <c r="F72" s="134">
        <f t="shared" ref="F72:H72" si="76">RAND()</f>
        <v>0.1603993439</v>
      </c>
      <c r="G72" s="134">
        <f t="shared" si="76"/>
        <v>0.9475420071</v>
      </c>
      <c r="H72" s="134">
        <f t="shared" si="76"/>
        <v>0.7824315998</v>
      </c>
      <c r="J72" s="135">
        <f t="shared" si="8"/>
        <v>126062615.5</v>
      </c>
      <c r="K72" s="136">
        <f>IF(J72&gt;0,MIN(99,$B$12*Q72/(J72*12*(1-Inputs!$H$16))),99)</f>
        <v>5.250541223</v>
      </c>
      <c r="L72" s="134">
        <f t="shared" si="9"/>
        <v>0.9867810621</v>
      </c>
      <c r="M72" s="134">
        <f t="shared" si="10"/>
        <v>0.9934495728</v>
      </c>
      <c r="N72" s="134">
        <f t="shared" si="11"/>
        <v>0.9704467477</v>
      </c>
      <c r="O72" s="134">
        <f t="shared" si="12"/>
        <v>0.996070726</v>
      </c>
      <c r="P72" s="134">
        <f t="shared" si="13"/>
        <v>1.644970504</v>
      </c>
      <c r="Q72" s="134">
        <f t="shared" si="14"/>
        <v>1.21663097</v>
      </c>
    </row>
    <row r="73" ht="15.0" customHeight="1">
      <c r="A73" s="13">
        <v>34.0</v>
      </c>
      <c r="B73" s="134">
        <f t="shared" ref="B73:D73" si="77">RAND()</f>
        <v>0.1801912473</v>
      </c>
      <c r="C73" s="134">
        <f t="shared" si="77"/>
        <v>0.8207964941</v>
      </c>
      <c r="D73" s="134">
        <f t="shared" si="77"/>
        <v>0.3747143399</v>
      </c>
      <c r="F73" s="134">
        <f t="shared" ref="F73:H73" si="78">RAND()</f>
        <v>0.1660536259</v>
      </c>
      <c r="G73" s="134">
        <f t="shared" si="78"/>
        <v>0.8413647079</v>
      </c>
      <c r="H73" s="134">
        <f t="shared" si="78"/>
        <v>0.4285659164</v>
      </c>
      <c r="J73" s="135">
        <f t="shared" si="8"/>
        <v>78690292.66</v>
      </c>
      <c r="K73" s="136">
        <f>IF(J73&gt;0,MIN(99,$B$12*Q73/(J73*12*(1-Inputs!$H$16))),99)</f>
        <v>7.351485447</v>
      </c>
      <c r="L73" s="134">
        <f t="shared" si="9"/>
        <v>0.9173780718</v>
      </c>
      <c r="M73" s="134">
        <f t="shared" si="10"/>
        <v>0.9623994518</v>
      </c>
      <c r="N73" s="134">
        <f t="shared" si="11"/>
        <v>0.9978029772</v>
      </c>
      <c r="O73" s="134">
        <f t="shared" si="12"/>
        <v>0.9965282569</v>
      </c>
      <c r="P73" s="134">
        <f t="shared" si="13"/>
        <v>1.484024329</v>
      </c>
      <c r="Q73" s="134">
        <f t="shared" si="14"/>
        <v>1.063321863</v>
      </c>
    </row>
    <row r="74" ht="15.0" customHeight="1">
      <c r="A74" s="13">
        <v>35.0</v>
      </c>
      <c r="B74" s="134">
        <f t="shared" ref="B74:D74" si="79">RAND()</f>
        <v>0.5912095026</v>
      </c>
      <c r="C74" s="134">
        <f t="shared" si="79"/>
        <v>0.2216037654</v>
      </c>
      <c r="D74" s="134">
        <f t="shared" si="79"/>
        <v>0.8952860514</v>
      </c>
      <c r="F74" s="134">
        <f t="shared" ref="F74:H74" si="80">RAND()</f>
        <v>0.9321596067</v>
      </c>
      <c r="G74" s="134">
        <f t="shared" si="80"/>
        <v>0.3024047805</v>
      </c>
      <c r="H74" s="134">
        <f t="shared" si="80"/>
        <v>0.6658209892</v>
      </c>
      <c r="J74" s="135">
        <f t="shared" si="8"/>
        <v>152648723.3</v>
      </c>
      <c r="K74" s="136">
        <f>IF(J74&gt;0,MIN(99,$B$12*Q74/(J74*12*(1-Inputs!$H$16))),99)</f>
        <v>4.125366051</v>
      </c>
      <c r="L74" s="134">
        <f t="shared" si="9"/>
        <v>1.037916273</v>
      </c>
      <c r="M74" s="134">
        <f t="shared" si="10"/>
        <v>1.016136273</v>
      </c>
      <c r="N74" s="134">
        <f t="shared" si="11"/>
        <v>1.052525757</v>
      </c>
      <c r="O74" s="134">
        <f t="shared" si="12"/>
        <v>1.079017371</v>
      </c>
      <c r="P74" s="134">
        <f t="shared" si="13"/>
        <v>1.068538315</v>
      </c>
      <c r="Q74" s="134">
        <f t="shared" si="14"/>
        <v>1.157508391</v>
      </c>
    </row>
    <row r="75" ht="15.0" customHeight="1">
      <c r="A75" s="13">
        <v>36.0</v>
      </c>
      <c r="B75" s="134">
        <f t="shared" ref="B75:D75" si="81">RAND()</f>
        <v>0.4022439575</v>
      </c>
      <c r="C75" s="134">
        <f t="shared" si="81"/>
        <v>0.04743790256</v>
      </c>
      <c r="D75" s="134">
        <f t="shared" si="81"/>
        <v>0.8357642746</v>
      </c>
      <c r="F75" s="134">
        <f t="shared" ref="F75:H75" si="82">RAND()</f>
        <v>0.8908083776</v>
      </c>
      <c r="G75" s="134">
        <f t="shared" si="82"/>
        <v>0.418517361</v>
      </c>
      <c r="H75" s="134">
        <f t="shared" si="82"/>
        <v>0.5534345156</v>
      </c>
      <c r="J75" s="135">
        <f t="shared" si="8"/>
        <v>118111178.4</v>
      </c>
      <c r="K75" s="136">
        <f>IF(J75&gt;0,MIN(99,$B$12*Q75/(J75*12*(1-Inputs!$H$16))),99)</f>
        <v>5.111722652</v>
      </c>
      <c r="L75" s="134">
        <f t="shared" si="9"/>
        <v>0.9877262213</v>
      </c>
      <c r="M75" s="134">
        <f t="shared" si="10"/>
        <v>0.9938724264</v>
      </c>
      <c r="N75" s="134">
        <f t="shared" si="11"/>
        <v>1.042970809</v>
      </c>
      <c r="O75" s="134">
        <f t="shared" si="12"/>
        <v>1.070200291</v>
      </c>
      <c r="P75" s="134">
        <f t="shared" si="13"/>
        <v>1.137643064</v>
      </c>
      <c r="Q75" s="134">
        <f t="shared" si="14"/>
        <v>1.10975412</v>
      </c>
    </row>
    <row r="76" ht="15.0" customHeight="1">
      <c r="A76" s="13">
        <v>37.0</v>
      </c>
      <c r="B76" s="134">
        <f t="shared" ref="B76:D76" si="83">RAND()</f>
        <v>0.9793431044</v>
      </c>
      <c r="C76" s="134">
        <f t="shared" si="83"/>
        <v>0.3060122624</v>
      </c>
      <c r="D76" s="134">
        <f t="shared" si="83"/>
        <v>0.05827116965</v>
      </c>
      <c r="F76" s="134">
        <f t="shared" ref="F76:H76" si="84">RAND()</f>
        <v>0.4029853484</v>
      </c>
      <c r="G76" s="134">
        <f t="shared" si="84"/>
        <v>0.8450533025</v>
      </c>
      <c r="H76" s="134">
        <f t="shared" si="84"/>
        <v>0.4418735951</v>
      </c>
      <c r="J76" s="135">
        <f t="shared" si="8"/>
        <v>313096543.7</v>
      </c>
      <c r="K76" s="136">
        <f>IF(J76&gt;0,MIN(99,$B$12*Q76/(J76*12*(1-Inputs!$H$16))),99)</f>
        <v>1.855790248</v>
      </c>
      <c r="L76" s="134">
        <f t="shared" si="9"/>
        <v>1.221705318</v>
      </c>
      <c r="M76" s="134">
        <f t="shared" si="10"/>
        <v>1.097419739</v>
      </c>
      <c r="N76" s="134">
        <f t="shared" si="11"/>
        <v>0.9621480726</v>
      </c>
      <c r="O76" s="134">
        <f t="shared" si="12"/>
        <v>1.014482126</v>
      </c>
      <c r="P76" s="134">
        <f t="shared" si="13"/>
        <v>1.488453487</v>
      </c>
      <c r="Q76" s="134">
        <f t="shared" si="14"/>
        <v>1.068010796</v>
      </c>
    </row>
    <row r="77" ht="15.0" customHeight="1">
      <c r="A77" s="13">
        <v>38.0</v>
      </c>
      <c r="B77" s="134">
        <f t="shared" ref="B77:D77" si="85">RAND()</f>
        <v>0.8841035664</v>
      </c>
      <c r="C77" s="134">
        <f t="shared" si="85"/>
        <v>0.6964112223</v>
      </c>
      <c r="D77" s="134">
        <f t="shared" si="85"/>
        <v>0.2333304623</v>
      </c>
      <c r="F77" s="134">
        <f t="shared" ref="F77:H77" si="86">RAND()</f>
        <v>0.2027210057</v>
      </c>
      <c r="G77" s="134">
        <f t="shared" si="86"/>
        <v>0.7640731023</v>
      </c>
      <c r="H77" s="134">
        <f t="shared" si="86"/>
        <v>0.08319208306</v>
      </c>
      <c r="J77" s="135">
        <f t="shared" si="8"/>
        <v>253209476.2</v>
      </c>
      <c r="K77" s="136">
        <f>IF(J77&gt;0,MIN(99,$B$12*Q77/(J77*12*(1-Inputs!$H$16))),99)</f>
        <v>2.026253163</v>
      </c>
      <c r="L77" s="134">
        <f t="shared" si="9"/>
        <v>1.148763081</v>
      </c>
      <c r="M77" s="134">
        <f t="shared" si="10"/>
        <v>1.065159939</v>
      </c>
      <c r="N77" s="134">
        <f t="shared" si="11"/>
        <v>0.9853876657</v>
      </c>
      <c r="O77" s="134">
        <f t="shared" si="12"/>
        <v>0.9993232133</v>
      </c>
      <c r="P77" s="134">
        <f t="shared" si="13"/>
        <v>1.400883036</v>
      </c>
      <c r="Q77" s="134">
        <f t="shared" si="14"/>
        <v>0.9430661179</v>
      </c>
    </row>
    <row r="78" ht="15.0" customHeight="1">
      <c r="A78" s="13">
        <v>39.0</v>
      </c>
      <c r="B78" s="134">
        <f t="shared" ref="B78:D78" si="87">RAND()</f>
        <v>0.6337517084</v>
      </c>
      <c r="C78" s="134">
        <f t="shared" si="87"/>
        <v>0.6903616735</v>
      </c>
      <c r="D78" s="134">
        <f t="shared" si="87"/>
        <v>0.7328334105</v>
      </c>
      <c r="F78" s="134">
        <f t="shared" ref="F78:H78" si="88">RAND()</f>
        <v>0.1365754063</v>
      </c>
      <c r="G78" s="134">
        <f t="shared" si="88"/>
        <v>0.2159968225</v>
      </c>
      <c r="H78" s="134">
        <f t="shared" si="88"/>
        <v>0.4590702851</v>
      </c>
      <c r="J78" s="135">
        <f t="shared" si="8"/>
        <v>182910248.3</v>
      </c>
      <c r="K78" s="136">
        <f>IF(J78&gt;0,MIN(99,$B$12*Q78/(J78*12*(1-Inputs!$H$16))),99)</f>
        <v>3.194919137</v>
      </c>
      <c r="L78" s="134">
        <f t="shared" si="9"/>
        <v>1.050591577</v>
      </c>
      <c r="M78" s="134">
        <f t="shared" si="10"/>
        <v>1.021742117</v>
      </c>
      <c r="N78" s="134">
        <f t="shared" si="11"/>
        <v>1.02991085</v>
      </c>
      <c r="O78" s="134">
        <f t="shared" si="12"/>
        <v>0.9940479818</v>
      </c>
      <c r="P78" s="134">
        <f t="shared" si="13"/>
        <v>1.020785197</v>
      </c>
      <c r="Q78" s="134">
        <f t="shared" si="14"/>
        <v>1.074153607</v>
      </c>
    </row>
    <row r="79" ht="15.0" customHeight="1">
      <c r="A79" s="13">
        <v>40.0</v>
      </c>
      <c r="B79" s="134">
        <f t="shared" ref="B79:D79" si="89">RAND()</f>
        <v>0.5540212411</v>
      </c>
      <c r="C79" s="134">
        <f t="shared" si="89"/>
        <v>0.7735991364</v>
      </c>
      <c r="D79" s="134">
        <f t="shared" si="89"/>
        <v>0.2053478288</v>
      </c>
      <c r="F79" s="134">
        <f t="shared" ref="F79:H79" si="90">RAND()</f>
        <v>0.6288866773</v>
      </c>
      <c r="G79" s="134">
        <f t="shared" si="90"/>
        <v>0.3542412467</v>
      </c>
      <c r="H79" s="134">
        <f t="shared" si="90"/>
        <v>0.3319019734</v>
      </c>
      <c r="J79" s="135">
        <f t="shared" si="8"/>
        <v>166768005.6</v>
      </c>
      <c r="K79" s="136">
        <f>IF(J79&gt;0,MIN(99,$B$12*Q79/(J79*12*(1-Inputs!$H$16))),99)</f>
        <v>3.362687936</v>
      </c>
      <c r="L79" s="134">
        <f t="shared" si="9"/>
        <v>1.027367047</v>
      </c>
      <c r="M79" s="134">
        <f t="shared" si="10"/>
        <v>1.011470719</v>
      </c>
      <c r="N79" s="134">
        <f t="shared" si="11"/>
        <v>0.9825131426</v>
      </c>
      <c r="O79" s="134">
        <f t="shared" si="12"/>
        <v>1.035079329</v>
      </c>
      <c r="P79" s="134">
        <f t="shared" si="13"/>
        <v>1.098616345</v>
      </c>
      <c r="Q79" s="134">
        <f t="shared" si="14"/>
        <v>1.030784269</v>
      </c>
    </row>
    <row r="80" ht="15.0" customHeight="1">
      <c r="A80" s="13">
        <v>41.0</v>
      </c>
      <c r="B80" s="134">
        <f t="shared" ref="B80:D80" si="91">RAND()</f>
        <v>0.7471916111</v>
      </c>
      <c r="C80" s="134">
        <f t="shared" si="91"/>
        <v>0.6228830596</v>
      </c>
      <c r="D80" s="134">
        <f t="shared" si="91"/>
        <v>0.3476593673</v>
      </c>
      <c r="F80" s="134">
        <f t="shared" ref="F80:H80" si="92">RAND()</f>
        <v>0.528609952</v>
      </c>
      <c r="G80" s="134">
        <f t="shared" si="92"/>
        <v>0.1489168422</v>
      </c>
      <c r="H80" s="134">
        <f t="shared" si="92"/>
        <v>0.8745154838</v>
      </c>
      <c r="J80" s="135">
        <f t="shared" si="8"/>
        <v>215253295.4</v>
      </c>
      <c r="K80" s="136">
        <f>IF(J80&gt;0,MIN(99,$B$12*Q80/(J80*12*(1-Inputs!$H$16))),99)</f>
        <v>3.225152396</v>
      </c>
      <c r="L80" s="134">
        <f t="shared" si="9"/>
        <v>1.088556568</v>
      </c>
      <c r="M80" s="134">
        <f t="shared" si="10"/>
        <v>1.038532704</v>
      </c>
      <c r="N80" s="134">
        <f t="shared" si="11"/>
        <v>0.99563791</v>
      </c>
      <c r="O80" s="134">
        <f t="shared" si="12"/>
        <v>1.025328863</v>
      </c>
      <c r="P80" s="134">
        <f t="shared" si="13"/>
        <v>0.9847552406</v>
      </c>
      <c r="Q80" s="134">
        <f t="shared" si="14"/>
        <v>1.276052466</v>
      </c>
    </row>
    <row r="81" ht="15.0" customHeight="1">
      <c r="A81" s="13">
        <v>42.0</v>
      </c>
      <c r="B81" s="134">
        <f t="shared" ref="B81:D81" si="93">RAND()</f>
        <v>0.1798745899</v>
      </c>
      <c r="C81" s="134">
        <f t="shared" si="93"/>
        <v>0.2224826079</v>
      </c>
      <c r="D81" s="134">
        <f t="shared" si="93"/>
        <v>0.28854186</v>
      </c>
      <c r="F81" s="134">
        <f t="shared" ref="F81:H81" si="94">RAND()</f>
        <v>0.7668481423</v>
      </c>
      <c r="G81" s="134">
        <f t="shared" si="94"/>
        <v>0.9269587736</v>
      </c>
      <c r="H81" s="134">
        <f t="shared" si="94"/>
        <v>0.1698306432</v>
      </c>
      <c r="J81" s="135">
        <f t="shared" si="8"/>
        <v>66340300.75</v>
      </c>
      <c r="K81" s="136">
        <f>IF(J81&gt;0,MIN(99,$B$12*Q81/(J81*12*(1-Inputs!$H$16))),99)</f>
        <v>8.030308965</v>
      </c>
      <c r="L81" s="134">
        <f t="shared" si="9"/>
        <v>0.9172529134</v>
      </c>
      <c r="M81" s="134">
        <f t="shared" si="10"/>
        <v>0.9623434573</v>
      </c>
      <c r="N81" s="134">
        <f t="shared" si="11"/>
        <v>0.9905922475</v>
      </c>
      <c r="O81" s="134">
        <f t="shared" si="12"/>
        <v>1.050996601</v>
      </c>
      <c r="P81" s="134">
        <f t="shared" si="13"/>
        <v>1.605769545</v>
      </c>
      <c r="Q81" s="134">
        <f t="shared" si="14"/>
        <v>0.9792152588</v>
      </c>
    </row>
    <row r="82" ht="15.0" customHeight="1">
      <c r="A82" s="13">
        <v>43.0</v>
      </c>
      <c r="B82" s="134">
        <f t="shared" ref="B82:D82" si="95">RAND()</f>
        <v>0.3623586939</v>
      </c>
      <c r="C82" s="134">
        <f t="shared" si="95"/>
        <v>0.1014025123</v>
      </c>
      <c r="D82" s="134">
        <f t="shared" si="95"/>
        <v>0.9631942234</v>
      </c>
      <c r="F82" s="134">
        <f t="shared" ref="F82:H82" si="96">RAND()</f>
        <v>0.8771592365</v>
      </c>
      <c r="G82" s="134">
        <f t="shared" si="96"/>
        <v>0.345921214</v>
      </c>
      <c r="H82" s="134">
        <f t="shared" si="96"/>
        <v>0.3955938918</v>
      </c>
      <c r="J82" s="135">
        <f t="shared" si="8"/>
        <v>107443614.5</v>
      </c>
      <c r="K82" s="136">
        <f>IF(J82&gt;0,MIN(99,$B$12*Q82/(J82*12*(1-Inputs!$H$16))),99)</f>
        <v>5.326470183</v>
      </c>
      <c r="L82" s="134">
        <f t="shared" si="9"/>
        <v>0.9769043166</v>
      </c>
      <c r="M82" s="134">
        <f t="shared" si="10"/>
        <v>0.9890308274</v>
      </c>
      <c r="N82" s="134">
        <f t="shared" si="11"/>
        <v>1.067940443</v>
      </c>
      <c r="O82" s="134">
        <f t="shared" si="12"/>
        <v>1.067674736</v>
      </c>
      <c r="P82" s="134">
        <f t="shared" si="13"/>
        <v>1.093709401</v>
      </c>
      <c r="Q82" s="134">
        <f t="shared" si="14"/>
        <v>1.05193424</v>
      </c>
    </row>
    <row r="83" ht="15.0" customHeight="1">
      <c r="A83" s="13">
        <v>44.0</v>
      </c>
      <c r="B83" s="134">
        <f t="shared" ref="B83:D83" si="97">RAND()</f>
        <v>0.8316748586</v>
      </c>
      <c r="C83" s="134">
        <f t="shared" si="97"/>
        <v>0.3628766481</v>
      </c>
      <c r="D83" s="134">
        <f t="shared" si="97"/>
        <v>0.353843554</v>
      </c>
      <c r="F83" s="134">
        <f t="shared" ref="F83:H83" si="98">RAND()</f>
        <v>0.2735172762</v>
      </c>
      <c r="G83" s="134">
        <f t="shared" si="98"/>
        <v>0.2581480398</v>
      </c>
      <c r="H83" s="134">
        <f t="shared" si="98"/>
        <v>0.6384980499</v>
      </c>
      <c r="J83" s="135">
        <f t="shared" si="8"/>
        <v>242808144.9</v>
      </c>
      <c r="K83" s="136">
        <f>IF(J83&gt;0,MIN(99,$B$12*Q83/(J83*12*(1-Inputs!$H$16))),99)</f>
        <v>2.56604563</v>
      </c>
      <c r="L83" s="134">
        <f t="shared" si="9"/>
        <v>1.122866155</v>
      </c>
      <c r="M83" s="134">
        <f t="shared" si="10"/>
        <v>1.053706634</v>
      </c>
      <c r="N83" s="134">
        <f t="shared" si="11"/>
        <v>0.9961400226</v>
      </c>
      <c r="O83" s="134">
        <f t="shared" si="12"/>
        <v>1.004443822</v>
      </c>
      <c r="P83" s="134">
        <f t="shared" si="13"/>
        <v>1.043732057</v>
      </c>
      <c r="Q83" s="134">
        <f t="shared" si="14"/>
        <v>1.145238941</v>
      </c>
    </row>
    <row r="84" ht="15.0" customHeight="1">
      <c r="A84" s="13">
        <v>45.0</v>
      </c>
      <c r="B84" s="134">
        <f t="shared" ref="B84:D84" si="99">RAND()</f>
        <v>0.03759163127</v>
      </c>
      <c r="C84" s="134">
        <f t="shared" si="99"/>
        <v>0.06309082882</v>
      </c>
      <c r="D84" s="134">
        <f t="shared" si="99"/>
        <v>0.4862653003</v>
      </c>
      <c r="F84" s="134">
        <f t="shared" ref="F84:H84" si="100">RAND()</f>
        <v>0.567589039</v>
      </c>
      <c r="G84" s="134">
        <f t="shared" si="100"/>
        <v>0.7883443229</v>
      </c>
      <c r="H84" s="134">
        <f t="shared" si="100"/>
        <v>0.8481087468</v>
      </c>
      <c r="J84" s="135">
        <f t="shared" si="8"/>
        <v>24160261.5</v>
      </c>
      <c r="K84" s="136">
        <f>IF(J84&gt;0,MIN(99,$B$12*Q84/(J84*12*(1-Inputs!$H$16))),99)</f>
        <v>28.31087892</v>
      </c>
      <c r="L84" s="134">
        <f t="shared" si="9"/>
        <v>0.8400312119</v>
      </c>
      <c r="M84" s="134">
        <f t="shared" si="10"/>
        <v>0.9277953324</v>
      </c>
      <c r="N84" s="134">
        <f t="shared" si="11"/>
        <v>1.00652548</v>
      </c>
      <c r="O84" s="134">
        <f t="shared" si="12"/>
        <v>1.028982574</v>
      </c>
      <c r="P84" s="134">
        <f t="shared" si="13"/>
        <v>1.425286035</v>
      </c>
      <c r="Q84" s="134">
        <f t="shared" si="14"/>
        <v>1.257255268</v>
      </c>
    </row>
    <row r="85" ht="15.0" customHeight="1">
      <c r="A85" s="13">
        <v>46.0</v>
      </c>
      <c r="B85" s="134">
        <f t="shared" ref="B85:D85" si="101">RAND()</f>
        <v>0.7992143826</v>
      </c>
      <c r="C85" s="134">
        <f t="shared" si="101"/>
        <v>0.2668132759</v>
      </c>
      <c r="D85" s="134">
        <f t="shared" si="101"/>
        <v>0.146566371</v>
      </c>
      <c r="F85" s="134">
        <f t="shared" ref="F85:H85" si="102">RAND()</f>
        <v>0.0816129999</v>
      </c>
      <c r="G85" s="134">
        <f t="shared" si="102"/>
        <v>0.7629152887</v>
      </c>
      <c r="H85" s="134">
        <f t="shared" si="102"/>
        <v>0.232294946</v>
      </c>
      <c r="J85" s="135">
        <f t="shared" si="8"/>
        <v>225998812.4</v>
      </c>
      <c r="K85" s="136">
        <f>IF(J85&gt;0,MIN(99,$B$12*Q85/(J85*12*(1-Inputs!$H$16))),99)</f>
        <v>2.406397226</v>
      </c>
      <c r="L85" s="134">
        <f t="shared" si="9"/>
        <v>1.10884338</v>
      </c>
      <c r="M85" s="134">
        <f t="shared" si="10"/>
        <v>1.047504852</v>
      </c>
      <c r="N85" s="134">
        <f t="shared" si="11"/>
        <v>0.9757510405</v>
      </c>
      <c r="O85" s="134">
        <f t="shared" si="12"/>
        <v>0.9885637393</v>
      </c>
      <c r="P85" s="134">
        <f t="shared" si="13"/>
        <v>1.399751075</v>
      </c>
      <c r="Q85" s="134">
        <f t="shared" si="14"/>
        <v>0.9996361578</v>
      </c>
    </row>
    <row r="86" ht="15.0" customHeight="1">
      <c r="A86" s="13">
        <v>47.0</v>
      </c>
      <c r="B86" s="134">
        <f t="shared" ref="B86:D86" si="103">RAND()</f>
        <v>0.3050860318</v>
      </c>
      <c r="C86" s="134">
        <f t="shared" si="103"/>
        <v>0.9154497185</v>
      </c>
      <c r="D86" s="134">
        <f t="shared" si="103"/>
        <v>0.9197490502</v>
      </c>
      <c r="F86" s="134">
        <f t="shared" ref="F86:H86" si="104">RAND()</f>
        <v>0.4321781374</v>
      </c>
      <c r="G86" s="134">
        <f t="shared" si="104"/>
        <v>0.358570905</v>
      </c>
      <c r="H86" s="134">
        <f t="shared" si="104"/>
        <v>0.9891793006</v>
      </c>
      <c r="J86" s="135">
        <f t="shared" si="8"/>
        <v>106535856.1</v>
      </c>
      <c r="K86" s="136">
        <f>IF(J86&gt;0,MIN(99,$B$12*Q86/(J86*12*(1-Inputs!$H$16))),99)</f>
        <v>7.193028077</v>
      </c>
      <c r="L86" s="134">
        <f t="shared" si="9"/>
        <v>0.9602624586</v>
      </c>
      <c r="M86" s="134">
        <f t="shared" si="10"/>
        <v>0.9815854464</v>
      </c>
      <c r="N86" s="134">
        <f t="shared" si="11"/>
        <v>1.057242039</v>
      </c>
      <c r="O86" s="134">
        <f t="shared" si="12"/>
        <v>1.016892115</v>
      </c>
      <c r="P86" s="134">
        <f t="shared" si="13"/>
        <v>1.101182374</v>
      </c>
      <c r="Q86" s="134">
        <f t="shared" si="14"/>
        <v>1.408562224</v>
      </c>
    </row>
    <row r="87" ht="15.0" customHeight="1">
      <c r="A87" s="13">
        <v>48.0</v>
      </c>
      <c r="B87" s="134">
        <f t="shared" ref="B87:D87" si="105">RAND()</f>
        <v>0.1446470128</v>
      </c>
      <c r="C87" s="134">
        <f t="shared" si="105"/>
        <v>0.1243656259</v>
      </c>
      <c r="D87" s="134">
        <f t="shared" si="105"/>
        <v>0.8112420805</v>
      </c>
      <c r="F87" s="134">
        <f t="shared" ref="F87:H87" si="106">RAND()</f>
        <v>0.8172159607</v>
      </c>
      <c r="G87" s="134">
        <f t="shared" si="106"/>
        <v>0.5680964149</v>
      </c>
      <c r="H87" s="134">
        <f t="shared" si="106"/>
        <v>0.05748091842</v>
      </c>
      <c r="J87" s="135">
        <f t="shared" si="8"/>
        <v>59831793.16</v>
      </c>
      <c r="K87" s="136">
        <f>IF(J87&gt;0,MIN(99,$B$12*Q87/(J87*12*(1-Inputs!$H$16))),99)</f>
        <v>8.445772135</v>
      </c>
      <c r="L87" s="134">
        <f t="shared" si="9"/>
        <v>0.9025648421</v>
      </c>
      <c r="M87" s="134">
        <f t="shared" si="10"/>
        <v>0.9557721786</v>
      </c>
      <c r="N87" s="134">
        <f t="shared" si="11"/>
        <v>1.039554028</v>
      </c>
      <c r="O87" s="134">
        <f t="shared" si="12"/>
        <v>1.057967331</v>
      </c>
      <c r="P87" s="134">
        <f t="shared" si="13"/>
        <v>1.237828398</v>
      </c>
      <c r="Q87" s="134">
        <f t="shared" si="14"/>
        <v>0.9288377552</v>
      </c>
    </row>
    <row r="88" ht="15.0" customHeight="1">
      <c r="A88" s="13">
        <v>49.0</v>
      </c>
      <c r="B88" s="134">
        <f t="shared" ref="B88:D88" si="107">RAND()</f>
        <v>0.5690117373</v>
      </c>
      <c r="C88" s="134">
        <f t="shared" si="107"/>
        <v>0.6038555412</v>
      </c>
      <c r="D88" s="134">
        <f t="shared" si="107"/>
        <v>0.07119402964</v>
      </c>
      <c r="F88" s="134">
        <f t="shared" ref="F88:H88" si="108">RAND()</f>
        <v>0.4301159291</v>
      </c>
      <c r="G88" s="134">
        <f t="shared" si="108"/>
        <v>0.9459717569</v>
      </c>
      <c r="H88" s="134">
        <f t="shared" si="108"/>
        <v>0.883570136</v>
      </c>
      <c r="J88" s="135">
        <f t="shared" si="8"/>
        <v>156356622.2</v>
      </c>
      <c r="K88" s="136">
        <f>IF(J88&gt;0,MIN(99,$B$12*Q88/(J88*12*(1-Inputs!$H$16))),99)</f>
        <v>4.463999335</v>
      </c>
      <c r="L88" s="134">
        <f t="shared" si="9"/>
        <v>1.031564411</v>
      </c>
      <c r="M88" s="134">
        <f t="shared" si="10"/>
        <v>1.013327066</v>
      </c>
      <c r="N88" s="134">
        <f t="shared" si="11"/>
        <v>0.9645934962</v>
      </c>
      <c r="O88" s="134">
        <f t="shared" si="12"/>
        <v>1.016719866</v>
      </c>
      <c r="P88" s="134">
        <f t="shared" si="13"/>
        <v>1.641734848</v>
      </c>
      <c r="Q88" s="134">
        <f t="shared" si="14"/>
        <v>1.282947492</v>
      </c>
    </row>
    <row r="89" ht="15.0" customHeight="1">
      <c r="A89" s="13">
        <v>50.0</v>
      </c>
      <c r="B89" s="134">
        <f t="shared" ref="B89:D89" si="109">RAND()</f>
        <v>0.691044041</v>
      </c>
      <c r="C89" s="134">
        <f t="shared" si="109"/>
        <v>0.6281932023</v>
      </c>
      <c r="D89" s="134">
        <f t="shared" si="109"/>
        <v>0.6273591822</v>
      </c>
      <c r="F89" s="134">
        <f t="shared" ref="F89:H89" si="110">RAND()</f>
        <v>0.1243751204</v>
      </c>
      <c r="G89" s="134">
        <f t="shared" si="110"/>
        <v>0.8365019107</v>
      </c>
      <c r="H89" s="134">
        <f t="shared" si="110"/>
        <v>0.6305588693</v>
      </c>
      <c r="J89" s="135">
        <f t="shared" si="8"/>
        <v>181809110.1</v>
      </c>
      <c r="K89" s="136">
        <f>IF(J89&gt;0,MIN(99,$B$12*Q89/(J89*12*(1-Inputs!$H$16))),99)</f>
        <v>3.41657748</v>
      </c>
      <c r="L89" s="134">
        <f t="shared" si="9"/>
        <v>1.068889728</v>
      </c>
      <c r="M89" s="134">
        <f t="shared" si="10"/>
        <v>1.029834749</v>
      </c>
      <c r="N89" s="134">
        <f t="shared" si="11"/>
        <v>1.01896395</v>
      </c>
      <c r="O89" s="134">
        <f t="shared" si="12"/>
        <v>0.9929435303</v>
      </c>
      <c r="P89" s="134">
        <f t="shared" si="13"/>
        <v>1.478263181</v>
      </c>
      <c r="Q89" s="134">
        <f t="shared" si="14"/>
        <v>1.141761505</v>
      </c>
    </row>
    <row r="90" ht="15.0" customHeight="1">
      <c r="A90" s="13">
        <v>51.0</v>
      </c>
      <c r="B90" s="134">
        <f t="shared" ref="B90:D90" si="111">RAND()</f>
        <v>0.7225825645</v>
      </c>
      <c r="C90" s="134">
        <f t="shared" si="111"/>
        <v>0.4149515646</v>
      </c>
      <c r="D90" s="134">
        <f t="shared" si="111"/>
        <v>0.1612222994</v>
      </c>
      <c r="F90" s="134">
        <f t="shared" ref="F90:H90" si="112">RAND()</f>
        <v>0.4640235674</v>
      </c>
      <c r="G90" s="134">
        <f t="shared" si="112"/>
        <v>0.1747037429</v>
      </c>
      <c r="H90" s="134">
        <f t="shared" si="112"/>
        <v>0.06160343516</v>
      </c>
      <c r="J90" s="135">
        <f t="shared" si="8"/>
        <v>213163160.9</v>
      </c>
      <c r="K90" s="136">
        <f>IF(J90&gt;0,MIN(99,$B$12*Q90/(J90*12*(1-Inputs!$H$16))),99)</f>
        <v>2.376907796</v>
      </c>
      <c r="L90" s="134">
        <f t="shared" si="9"/>
        <v>1.079692813</v>
      </c>
      <c r="M90" s="134">
        <f t="shared" si="10"/>
        <v>1.034612575</v>
      </c>
      <c r="N90" s="134">
        <f t="shared" si="11"/>
        <v>0.977548004</v>
      </c>
      <c r="O90" s="134">
        <f t="shared" si="12"/>
        <v>1.019592871</v>
      </c>
      <c r="P90" s="134">
        <f t="shared" si="13"/>
        <v>0.9988923303</v>
      </c>
      <c r="Q90" s="134">
        <f t="shared" si="14"/>
        <v>0.9313072156</v>
      </c>
    </row>
    <row r="91" ht="15.0" customHeight="1">
      <c r="A91" s="13">
        <v>52.0</v>
      </c>
      <c r="B91" s="134">
        <f t="shared" ref="B91:D91" si="113">RAND()</f>
        <v>0.6129323335</v>
      </c>
      <c r="C91" s="134">
        <f t="shared" si="113"/>
        <v>0.9885697189</v>
      </c>
      <c r="D91" s="134">
        <f t="shared" si="113"/>
        <v>0.2488722051</v>
      </c>
      <c r="F91" s="134">
        <f t="shared" ref="F91:H91" si="114">RAND()</f>
        <v>0.4185919233</v>
      </c>
      <c r="G91" s="134">
        <f t="shared" si="114"/>
        <v>0.9539963646</v>
      </c>
      <c r="H91" s="134">
        <f t="shared" si="114"/>
        <v>0.1893224376</v>
      </c>
      <c r="J91" s="135">
        <f t="shared" si="8"/>
        <v>160259296.2</v>
      </c>
      <c r="K91" s="136">
        <f>IF(J91&gt;0,MIN(99,$B$12*Q91/(J91*12*(1-Inputs!$H$16))),99)</f>
        <v>3.347023514</v>
      </c>
      <c r="L91" s="134">
        <f t="shared" si="9"/>
        <v>1.044301486</v>
      </c>
      <c r="M91" s="134">
        <f t="shared" si="10"/>
        <v>1.018960229</v>
      </c>
      <c r="N91" s="134">
        <f t="shared" si="11"/>
        <v>0.986909861</v>
      </c>
      <c r="O91" s="134">
        <f t="shared" si="12"/>
        <v>1.015762994</v>
      </c>
      <c r="P91" s="134">
        <f t="shared" si="13"/>
        <v>1.658808765</v>
      </c>
      <c r="Q91" s="134">
        <f t="shared" si="14"/>
        <v>0.9859399757</v>
      </c>
    </row>
    <row r="92" ht="15.0" customHeight="1">
      <c r="A92" s="13">
        <v>53.0</v>
      </c>
      <c r="B92" s="134">
        <f t="shared" ref="B92:D92" si="115">RAND()</f>
        <v>0.3909391315</v>
      </c>
      <c r="C92" s="134">
        <f t="shared" si="115"/>
        <v>0.3598374368</v>
      </c>
      <c r="D92" s="134">
        <f t="shared" si="115"/>
        <v>0.3246601925</v>
      </c>
      <c r="F92" s="134">
        <f t="shared" ref="F92:H92" si="116">RAND()</f>
        <v>0.4993654813</v>
      </c>
      <c r="G92" s="134">
        <f t="shared" si="116"/>
        <v>0.9300717094</v>
      </c>
      <c r="H92" s="134">
        <f t="shared" si="116"/>
        <v>0.2950957984</v>
      </c>
      <c r="J92" s="135">
        <f t="shared" si="8"/>
        <v>116490583.5</v>
      </c>
      <c r="K92" s="136">
        <f>IF(J92&gt;0,MIN(99,$B$12*Q92/(J92*12*(1-Inputs!$H$16))),99)</f>
        <v>4.759087165</v>
      </c>
      <c r="L92" s="134">
        <f t="shared" si="9"/>
        <v>0.9847156463</v>
      </c>
      <c r="M92" s="134">
        <f t="shared" si="10"/>
        <v>0.9925255289</v>
      </c>
      <c r="N92" s="134">
        <f t="shared" si="11"/>
        <v>0.9937301796</v>
      </c>
      <c r="O92" s="134">
        <f t="shared" si="12"/>
        <v>1.022685894</v>
      </c>
      <c r="P92" s="134">
        <f t="shared" si="13"/>
        <v>1.611305627</v>
      </c>
      <c r="Q92" s="134">
        <f t="shared" si="14"/>
        <v>1.019020594</v>
      </c>
    </row>
    <row r="93" ht="15.0" customHeight="1">
      <c r="A93" s="13">
        <v>54.0</v>
      </c>
      <c r="B93" s="134">
        <f t="shared" ref="B93:D93" si="117">RAND()</f>
        <v>0.9122866602</v>
      </c>
      <c r="C93" s="134">
        <f t="shared" si="117"/>
        <v>0.2019196271</v>
      </c>
      <c r="D93" s="134">
        <f t="shared" si="117"/>
        <v>0.1610381461</v>
      </c>
      <c r="F93" s="134">
        <f t="shared" ref="F93:H93" si="118">RAND()</f>
        <v>0.936745708</v>
      </c>
      <c r="G93" s="134">
        <f t="shared" si="118"/>
        <v>0.976960237</v>
      </c>
      <c r="H93" s="134">
        <f t="shared" si="118"/>
        <v>0.1325842246</v>
      </c>
      <c r="J93" s="135">
        <f t="shared" si="8"/>
        <v>242849576.8</v>
      </c>
      <c r="K93" s="136">
        <f>IF(J93&gt;0,MIN(99,$B$12*Q93/(J93*12*(1-Inputs!$H$16))),99)</f>
        <v>2.162255197</v>
      </c>
      <c r="L93" s="134">
        <f t="shared" si="9"/>
        <v>1.165179309</v>
      </c>
      <c r="M93" s="134">
        <f t="shared" si="10"/>
        <v>1.072420262</v>
      </c>
      <c r="N93" s="134">
        <f t="shared" si="11"/>
        <v>0.977525944</v>
      </c>
      <c r="O93" s="134">
        <f t="shared" si="12"/>
        <v>1.080146011</v>
      </c>
      <c r="P93" s="134">
        <f t="shared" si="13"/>
        <v>1.718427591</v>
      </c>
      <c r="Q93" s="134">
        <f t="shared" si="14"/>
        <v>0.9651899292</v>
      </c>
    </row>
    <row r="94" ht="15.0" customHeight="1">
      <c r="A94" s="13">
        <v>55.0</v>
      </c>
      <c r="B94" s="134">
        <f t="shared" ref="B94:D94" si="119">RAND()</f>
        <v>0.7535230373</v>
      </c>
      <c r="C94" s="134">
        <f t="shared" si="119"/>
        <v>0.001699451968</v>
      </c>
      <c r="D94" s="134">
        <f t="shared" si="119"/>
        <v>0.1325456657</v>
      </c>
      <c r="F94" s="134">
        <f t="shared" ref="F94:H94" si="120">RAND()</f>
        <v>0.5434416035</v>
      </c>
      <c r="G94" s="134">
        <f t="shared" si="120"/>
        <v>0.6462243592</v>
      </c>
      <c r="H94" s="134">
        <f t="shared" si="120"/>
        <v>0.1502131188</v>
      </c>
      <c r="J94" s="135">
        <f t="shared" si="8"/>
        <v>210103254.8</v>
      </c>
      <c r="K94" s="136">
        <f>IF(J94&gt;0,MIN(99,$B$12*Q94/(J94*12*(1-Inputs!$H$16))),99)</f>
        <v>2.51701051</v>
      </c>
      <c r="L94" s="134">
        <f t="shared" si="9"/>
        <v>1.09090605</v>
      </c>
      <c r="M94" s="134">
        <f t="shared" si="10"/>
        <v>1.039571798</v>
      </c>
      <c r="N94" s="134">
        <f t="shared" si="11"/>
        <v>0.9739457514</v>
      </c>
      <c r="O94" s="134">
        <f t="shared" si="12"/>
        <v>1.026700627</v>
      </c>
      <c r="P94" s="134">
        <f t="shared" si="13"/>
        <v>1.297168861</v>
      </c>
      <c r="Q94" s="134">
        <f t="shared" si="14"/>
        <v>0.9720448207</v>
      </c>
    </row>
    <row r="95" ht="15.0" customHeight="1">
      <c r="A95" s="13">
        <v>56.0</v>
      </c>
      <c r="B95" s="134">
        <f t="shared" ref="B95:D95" si="121">RAND()</f>
        <v>0.8328310999</v>
      </c>
      <c r="C95" s="134">
        <f t="shared" si="121"/>
        <v>0.3473520717</v>
      </c>
      <c r="D95" s="134">
        <f t="shared" si="121"/>
        <v>0.3673045199</v>
      </c>
      <c r="F95" s="134">
        <f t="shared" ref="F95:H95" si="122">RAND()</f>
        <v>0.1635215583</v>
      </c>
      <c r="G95" s="134">
        <f t="shared" si="122"/>
        <v>0.6291327824</v>
      </c>
      <c r="H95" s="134">
        <f t="shared" si="122"/>
        <v>0.540623977</v>
      </c>
      <c r="J95" s="135">
        <f t="shared" si="8"/>
        <v>235247512.5</v>
      </c>
      <c r="K95" s="136">
        <f>IF(J95&gt;0,MIN(99,$B$12*Q95/(J95*12*(1-Inputs!$H$16))),99)</f>
        <v>2.554796475</v>
      </c>
      <c r="L95" s="134">
        <f t="shared" si="9"/>
        <v>1.123389566</v>
      </c>
      <c r="M95" s="134">
        <f t="shared" si="10"/>
        <v>1.053938121</v>
      </c>
      <c r="N95" s="134">
        <f t="shared" si="11"/>
        <v>0.9972180057</v>
      </c>
      <c r="O95" s="134">
        <f t="shared" si="12"/>
        <v>0.9963243471</v>
      </c>
      <c r="P95" s="134">
        <f t="shared" si="13"/>
        <v>1.283667464</v>
      </c>
      <c r="Q95" s="134">
        <f t="shared" si="14"/>
        <v>1.104713928</v>
      </c>
    </row>
    <row r="96" ht="15.0" customHeight="1">
      <c r="A96" s="13">
        <v>57.0</v>
      </c>
      <c r="B96" s="134">
        <f t="shared" ref="B96:D96" si="123">RAND()</f>
        <v>0.3039214917</v>
      </c>
      <c r="C96" s="134">
        <f t="shared" si="123"/>
        <v>0.2402335634</v>
      </c>
      <c r="D96" s="134">
        <f t="shared" si="123"/>
        <v>0.5449020168</v>
      </c>
      <c r="F96" s="134">
        <f t="shared" ref="F96:H96" si="124">RAND()</f>
        <v>0.3470510692</v>
      </c>
      <c r="G96" s="134">
        <f t="shared" si="124"/>
        <v>0.03964055331</v>
      </c>
      <c r="H96" s="134">
        <f t="shared" si="124"/>
        <v>0.003729188031</v>
      </c>
      <c r="J96" s="135">
        <f t="shared" si="8"/>
        <v>124407868.1</v>
      </c>
      <c r="K96" s="136">
        <f>IF(J96&gt;0,MIN(99,$B$12*Q96/(J96*12*(1-Inputs!$H$16))),99)</f>
        <v>3.833451</v>
      </c>
      <c r="L96" s="134">
        <f t="shared" si="9"/>
        <v>0.9599085391</v>
      </c>
      <c r="M96" s="134">
        <f t="shared" si="10"/>
        <v>0.9814271068</v>
      </c>
      <c r="N96" s="134">
        <f t="shared" si="11"/>
        <v>1.011456346</v>
      </c>
      <c r="O96" s="134">
        <f t="shared" si="12"/>
        <v>1.010023757</v>
      </c>
      <c r="P96" s="134">
        <f t="shared" si="13"/>
        <v>0.902432301</v>
      </c>
      <c r="Q96" s="134">
        <f t="shared" si="14"/>
        <v>0.876609647</v>
      </c>
    </row>
    <row r="97" ht="15.0" customHeight="1">
      <c r="A97" s="13">
        <v>58.0</v>
      </c>
      <c r="B97" s="134">
        <f t="shared" ref="B97:D97" si="125">RAND()</f>
        <v>0.7268425029</v>
      </c>
      <c r="C97" s="134">
        <f t="shared" si="125"/>
        <v>0.8298802828</v>
      </c>
      <c r="D97" s="134">
        <f t="shared" si="125"/>
        <v>0.1616583733</v>
      </c>
      <c r="F97" s="134">
        <f t="shared" ref="F97:H97" si="126">RAND()</f>
        <v>0.2711988162</v>
      </c>
      <c r="G97" s="134">
        <f t="shared" si="126"/>
        <v>0.4233701407</v>
      </c>
      <c r="H97" s="134">
        <f t="shared" si="126"/>
        <v>0.7602918965</v>
      </c>
      <c r="J97" s="135">
        <f t="shared" si="8"/>
        <v>211495739.3</v>
      </c>
      <c r="K97" s="136">
        <f>IF(J97&gt;0,MIN(99,$B$12*Q97/(J97*12*(1-Inputs!$H$16))),99)</f>
        <v>3.098052464</v>
      </c>
      <c r="L97" s="134">
        <f t="shared" si="9"/>
        <v>1.081198153</v>
      </c>
      <c r="M97" s="134">
        <f t="shared" si="10"/>
        <v>1.035278335</v>
      </c>
      <c r="N97" s="134">
        <f t="shared" si="11"/>
        <v>0.9776001917</v>
      </c>
      <c r="O97" s="134">
        <f t="shared" si="12"/>
        <v>1.004272598</v>
      </c>
      <c r="P97" s="134">
        <f t="shared" si="13"/>
        <v>1.140675171</v>
      </c>
      <c r="Q97" s="134">
        <f t="shared" si="14"/>
        <v>1.204367069</v>
      </c>
    </row>
    <row r="98" ht="15.0" customHeight="1">
      <c r="A98" s="13">
        <v>59.0</v>
      </c>
      <c r="B98" s="134">
        <f t="shared" ref="B98:D98" si="127">RAND()</f>
        <v>0.3710465653</v>
      </c>
      <c r="C98" s="134">
        <f t="shared" si="127"/>
        <v>0.8565380177</v>
      </c>
      <c r="D98" s="134">
        <f t="shared" si="127"/>
        <v>0.4615558888</v>
      </c>
      <c r="F98" s="134">
        <f t="shared" ref="F98:H98" si="128">RAND()</f>
        <v>0.5559968926</v>
      </c>
      <c r="G98" s="134">
        <f t="shared" si="128"/>
        <v>0.58425494</v>
      </c>
      <c r="H98" s="134">
        <f t="shared" si="128"/>
        <v>0.2085060402</v>
      </c>
      <c r="J98" s="135">
        <f t="shared" si="8"/>
        <v>123207180.3</v>
      </c>
      <c r="K98" s="136">
        <f>IF(J98&gt;0,MIN(99,$B$12*Q98/(J98*12*(1-Inputs!$H$16))),99)</f>
        <v>4.381339984</v>
      </c>
      <c r="L98" s="134">
        <f t="shared" si="9"/>
        <v>0.9793103977</v>
      </c>
      <c r="M98" s="134">
        <f t="shared" si="10"/>
        <v>0.9901072812</v>
      </c>
      <c r="N98" s="134">
        <f t="shared" si="11"/>
        <v>1.004532392</v>
      </c>
      <c r="O98" s="134">
        <f t="shared" si="12"/>
        <v>1.027879368</v>
      </c>
      <c r="P98" s="134">
        <f t="shared" si="13"/>
        <v>1.249630025</v>
      </c>
      <c r="Q98" s="134">
        <f t="shared" si="14"/>
        <v>0.9922279461</v>
      </c>
    </row>
    <row r="99" ht="15.0" customHeight="1">
      <c r="A99" s="13">
        <v>60.0</v>
      </c>
      <c r="B99" s="134">
        <f t="shared" ref="B99:D99" si="129">RAND()</f>
        <v>0.4726061319</v>
      </c>
      <c r="C99" s="134">
        <f t="shared" si="129"/>
        <v>0.8691146904</v>
      </c>
      <c r="D99" s="134">
        <f t="shared" si="129"/>
        <v>0.2837145075</v>
      </c>
      <c r="F99" s="134">
        <f t="shared" ref="F99:H99" si="130">RAND()</f>
        <v>0.9789187047</v>
      </c>
      <c r="G99" s="134">
        <f t="shared" si="130"/>
        <v>0.8461291181</v>
      </c>
      <c r="H99" s="134">
        <f t="shared" si="130"/>
        <v>0.2596221371</v>
      </c>
      <c r="J99" s="135">
        <f t="shared" si="8"/>
        <v>124939763</v>
      </c>
      <c r="K99" s="136">
        <f>IF(J99&gt;0,MIN(99,$B$12*Q99/(J99*12*(1-Inputs!$H$16))),99)</f>
        <v>4.389130509</v>
      </c>
      <c r="L99" s="134">
        <f t="shared" si="9"/>
        <v>1.00571083</v>
      </c>
      <c r="M99" s="134">
        <f t="shared" si="10"/>
        <v>1.001892932</v>
      </c>
      <c r="N99" s="134">
        <f t="shared" si="11"/>
        <v>0.9901582906</v>
      </c>
      <c r="O99" s="134">
        <f t="shared" si="12"/>
        <v>1.093540534</v>
      </c>
      <c r="P99" s="134">
        <f t="shared" si="13"/>
        <v>1.489755202</v>
      </c>
      <c r="Q99" s="134">
        <f t="shared" si="14"/>
        <v>1.007970109</v>
      </c>
    </row>
    <row r="100" ht="15.0" customHeight="1">
      <c r="A100" s="13">
        <v>61.0</v>
      </c>
      <c r="B100" s="134">
        <f t="shared" ref="B100:D100" si="131">RAND()</f>
        <v>0.4727096813</v>
      </c>
      <c r="C100" s="134">
        <f t="shared" si="131"/>
        <v>0.5893196344</v>
      </c>
      <c r="D100" s="134">
        <f t="shared" si="131"/>
        <v>0.6160413322</v>
      </c>
      <c r="F100" s="134">
        <f t="shared" ref="F100:H100" si="132">RAND()</f>
        <v>0.1185837561</v>
      </c>
      <c r="G100" s="134">
        <f t="shared" si="132"/>
        <v>0.4949011438</v>
      </c>
      <c r="H100" s="134">
        <f t="shared" si="132"/>
        <v>0.8473136126</v>
      </c>
      <c r="J100" s="135">
        <f t="shared" si="8"/>
        <v>147276803.1</v>
      </c>
      <c r="K100" s="136">
        <f>IF(J100&gt;0,MIN(99,$B$12*Q100/(J100*12*(1-Inputs!$H$16))),99)</f>
        <v>4.642310943</v>
      </c>
      <c r="L100" s="134">
        <f t="shared" si="9"/>
        <v>1.005737268</v>
      </c>
      <c r="M100" s="134">
        <f t="shared" si="10"/>
        <v>1.001904625</v>
      </c>
      <c r="N100" s="134">
        <f t="shared" si="11"/>
        <v>1.01788743</v>
      </c>
      <c r="O100" s="134">
        <f t="shared" si="12"/>
        <v>0.9924003021</v>
      </c>
      <c r="P100" s="134">
        <f t="shared" si="13"/>
        <v>1.186945359</v>
      </c>
      <c r="Q100" s="134">
        <f t="shared" si="14"/>
        <v>1.256715744</v>
      </c>
    </row>
    <row r="101" ht="15.0" customHeight="1">
      <c r="A101" s="13">
        <v>62.0</v>
      </c>
      <c r="B101" s="134">
        <f t="shared" ref="B101:D101" si="133">RAND()</f>
        <v>0.3185407452</v>
      </c>
      <c r="C101" s="134">
        <f t="shared" si="133"/>
        <v>0.03200835902</v>
      </c>
      <c r="D101" s="134">
        <f t="shared" si="133"/>
        <v>0.4911593987</v>
      </c>
      <c r="F101" s="134">
        <f t="shared" ref="F101:H101" si="134">RAND()</f>
        <v>0.7280629366</v>
      </c>
      <c r="G101" s="134">
        <f t="shared" si="134"/>
        <v>0.3017997643</v>
      </c>
      <c r="H101" s="134">
        <f t="shared" si="134"/>
        <v>0.5005470309</v>
      </c>
      <c r="J101" s="135">
        <f t="shared" si="8"/>
        <v>116084473.8</v>
      </c>
      <c r="K101" s="136">
        <f>IF(J101&gt;0,MIN(99,$B$12*Q101/(J101*12*(1-Inputs!$H$16))),99)</f>
        <v>5.105501471</v>
      </c>
      <c r="L101" s="134">
        <f t="shared" si="9"/>
        <v>0.9643035495</v>
      </c>
      <c r="M101" s="134">
        <f t="shared" si="10"/>
        <v>0.9833933852</v>
      </c>
      <c r="N101" s="134">
        <f t="shared" si="11"/>
        <v>1.00692589</v>
      </c>
      <c r="O101" s="134">
        <f t="shared" si="12"/>
        <v>1.046130951</v>
      </c>
      <c r="P101" s="134">
        <f t="shared" si="13"/>
        <v>1.068193977</v>
      </c>
      <c r="Q101" s="134">
        <f t="shared" si="14"/>
        <v>1.089384079</v>
      </c>
    </row>
    <row r="102" ht="15.0" customHeight="1">
      <c r="A102" s="13">
        <v>63.0</v>
      </c>
      <c r="B102" s="134">
        <f t="shared" ref="B102:D102" si="135">RAND()</f>
        <v>0.5865102334</v>
      </c>
      <c r="C102" s="134">
        <f t="shared" si="135"/>
        <v>0.4541177849</v>
      </c>
      <c r="D102" s="134">
        <f t="shared" si="135"/>
        <v>0.566118352</v>
      </c>
      <c r="F102" s="134">
        <f t="shared" ref="F102:H102" si="136">RAND()</f>
        <v>0.9720017886</v>
      </c>
      <c r="G102" s="134">
        <f t="shared" si="136"/>
        <v>0.5513670442</v>
      </c>
      <c r="H102" s="134">
        <f t="shared" si="136"/>
        <v>0.5692248214</v>
      </c>
      <c r="J102" s="135">
        <f t="shared" si="8"/>
        <v>152516881</v>
      </c>
      <c r="K102" s="136">
        <f>IF(J102&gt;0,MIN(99,$B$12*Q102/(J102*12*(1-Inputs!$H$16))),99)</f>
        <v>3.981107983</v>
      </c>
      <c r="L102" s="134">
        <f t="shared" si="9"/>
        <v>1.036557464</v>
      </c>
      <c r="M102" s="134">
        <f t="shared" si="10"/>
        <v>1.015535319</v>
      </c>
      <c r="N102" s="134">
        <f t="shared" si="11"/>
        <v>1.013318151</v>
      </c>
      <c r="O102" s="134">
        <f t="shared" si="12"/>
        <v>1.090751931</v>
      </c>
      <c r="P102" s="134">
        <f t="shared" si="13"/>
        <v>1.225840201</v>
      </c>
      <c r="Q102" s="134">
        <f t="shared" si="14"/>
        <v>1.116067223</v>
      </c>
    </row>
    <row r="103" ht="15.0" customHeight="1">
      <c r="A103" s="13">
        <v>64.0</v>
      </c>
      <c r="B103" s="134">
        <f t="shared" ref="B103:D103" si="137">RAND()</f>
        <v>0.9636988113</v>
      </c>
      <c r="C103" s="134">
        <f t="shared" si="137"/>
        <v>0.002127289812</v>
      </c>
      <c r="D103" s="134">
        <f t="shared" si="137"/>
        <v>0.2038915013</v>
      </c>
      <c r="F103" s="134">
        <f t="shared" ref="F103:H103" si="138">RAND()</f>
        <v>0.6815536537</v>
      </c>
      <c r="G103" s="134">
        <f t="shared" si="138"/>
        <v>0.8822689439</v>
      </c>
      <c r="H103" s="134">
        <f t="shared" si="138"/>
        <v>0.4692676148</v>
      </c>
      <c r="J103" s="135">
        <f t="shared" si="8"/>
        <v>287117940.6</v>
      </c>
      <c r="K103" s="136">
        <f>IF(J103&gt;0,MIN(99,$B$12*Q103/(J103*12*(1-Inputs!$H$16))),99)</f>
        <v>2.042332471</v>
      </c>
      <c r="L103" s="134">
        <f t="shared" si="9"/>
        <v>1.204350064</v>
      </c>
      <c r="M103" s="134">
        <f t="shared" si="10"/>
        <v>1.089744117</v>
      </c>
      <c r="N103" s="134">
        <f t="shared" si="11"/>
        <v>0.9823583322</v>
      </c>
      <c r="O103" s="134">
        <f t="shared" si="12"/>
        <v>1.040734004</v>
      </c>
      <c r="P103" s="134">
        <f t="shared" si="13"/>
        <v>1.536487334</v>
      </c>
      <c r="Q103" s="134">
        <f t="shared" si="14"/>
        <v>1.077842375</v>
      </c>
    </row>
    <row r="104" ht="15.0" customHeight="1">
      <c r="A104" s="13">
        <v>65.0</v>
      </c>
      <c r="B104" s="134">
        <f t="shared" ref="B104:D104" si="139">RAND()</f>
        <v>0.7044558181</v>
      </c>
      <c r="C104" s="134">
        <f t="shared" si="139"/>
        <v>0.7452820667</v>
      </c>
      <c r="D104" s="134">
        <f t="shared" si="139"/>
        <v>0.09962442345</v>
      </c>
      <c r="F104" s="134">
        <f t="shared" ref="F104:H104" si="140">RAND()</f>
        <v>0.8234602973</v>
      </c>
      <c r="G104" s="134">
        <f t="shared" si="140"/>
        <v>0.5067377691</v>
      </c>
      <c r="H104" s="134">
        <f t="shared" si="140"/>
        <v>0.4232368065</v>
      </c>
      <c r="J104" s="135">
        <f t="shared" si="8"/>
        <v>196350835.4</v>
      </c>
      <c r="K104" s="136">
        <f>IF(J104&gt;0,MIN(99,$B$12*Q104/(J104*12*(1-Inputs!$H$16))),99)</f>
        <v>2.941048524</v>
      </c>
      <c r="L104" s="134">
        <f t="shared" si="9"/>
        <v>1.073412984</v>
      </c>
      <c r="M104" s="134">
        <f t="shared" si="10"/>
        <v>1.031835227</v>
      </c>
      <c r="N104" s="134">
        <f t="shared" si="11"/>
        <v>0.9692877245</v>
      </c>
      <c r="O104" s="134">
        <f t="shared" si="12"/>
        <v>1.058895437</v>
      </c>
      <c r="P104" s="134">
        <f t="shared" si="13"/>
        <v>1.194910988</v>
      </c>
      <c r="Q104" s="134">
        <f t="shared" si="14"/>
        <v>1.061459491</v>
      </c>
    </row>
    <row r="105" ht="15.0" customHeight="1">
      <c r="A105" s="13">
        <v>66.0</v>
      </c>
      <c r="B105" s="134">
        <f t="shared" ref="B105:D105" si="141">RAND()</f>
        <v>0.8763988933</v>
      </c>
      <c r="C105" s="134">
        <f t="shared" si="141"/>
        <v>0.9809557696</v>
      </c>
      <c r="D105" s="134">
        <f t="shared" si="141"/>
        <v>0.1038480558</v>
      </c>
      <c r="F105" s="134">
        <f t="shared" ref="F105:H105" si="142">RAND()</f>
        <v>0.3267709343</v>
      </c>
      <c r="G105" s="134">
        <f t="shared" si="142"/>
        <v>0.3568433227</v>
      </c>
      <c r="H105" s="134">
        <f t="shared" si="142"/>
        <v>0.9070677886</v>
      </c>
      <c r="J105" s="135">
        <f t="shared" si="8"/>
        <v>263569826.3</v>
      </c>
      <c r="K105" s="136">
        <f>IF(J105&gt;0,MIN(99,$B$12*Q105/(J105*12*(1-Inputs!$H$16))),99)</f>
        <v>2.687920322</v>
      </c>
      <c r="L105" s="134">
        <f t="shared" si="9"/>
        <v>1.144634544</v>
      </c>
      <c r="M105" s="134">
        <f t="shared" si="10"/>
        <v>1.063334032</v>
      </c>
      <c r="N105" s="134">
        <f t="shared" si="11"/>
        <v>0.9699244991</v>
      </c>
      <c r="O105" s="134">
        <f t="shared" si="12"/>
        <v>1.008454766</v>
      </c>
      <c r="P105" s="134">
        <f t="shared" si="13"/>
        <v>1.100157464</v>
      </c>
      <c r="Q105" s="134">
        <f t="shared" si="14"/>
        <v>1.30220861</v>
      </c>
    </row>
    <row r="106" ht="15.0" customHeight="1">
      <c r="A106" s="13">
        <v>67.0</v>
      </c>
      <c r="B106" s="134">
        <f t="shared" ref="B106:D106" si="143">RAND()</f>
        <v>0.8534697022</v>
      </c>
      <c r="C106" s="134">
        <f t="shared" si="143"/>
        <v>0.2547423238</v>
      </c>
      <c r="D106" s="134">
        <f t="shared" si="143"/>
        <v>0.3878692432</v>
      </c>
      <c r="F106" s="134">
        <f t="shared" ref="F106:H106" si="144">RAND()</f>
        <v>0.4152442085</v>
      </c>
      <c r="G106" s="134">
        <f t="shared" si="144"/>
        <v>0.5974483917</v>
      </c>
      <c r="H106" s="134">
        <f t="shared" si="144"/>
        <v>0.2185786125</v>
      </c>
      <c r="J106" s="135">
        <f t="shared" si="8"/>
        <v>240135726.1</v>
      </c>
      <c r="K106" s="136">
        <f>IF(J106&gt;0,MIN(99,$B$12*Q106/(J106*12*(1-Inputs!$H$16))),99)</f>
        <v>2.255165225</v>
      </c>
      <c r="L106" s="134">
        <f t="shared" si="9"/>
        <v>1.133056645</v>
      </c>
      <c r="M106" s="134">
        <f t="shared" si="10"/>
        <v>1.058213532</v>
      </c>
      <c r="N106" s="134">
        <f t="shared" si="11"/>
        <v>0.9988274233</v>
      </c>
      <c r="O106" s="134">
        <f t="shared" si="12"/>
        <v>1.015486805</v>
      </c>
      <c r="P106" s="134">
        <f t="shared" si="13"/>
        <v>1.259437236</v>
      </c>
      <c r="Q106" s="134">
        <f t="shared" si="14"/>
        <v>0.9954137243</v>
      </c>
    </row>
    <row r="107" ht="15.0" customHeight="1">
      <c r="A107" s="13">
        <v>68.0</v>
      </c>
      <c r="B107" s="134">
        <f t="shared" ref="B107:D107" si="145">RAND()</f>
        <v>0.7963238696</v>
      </c>
      <c r="C107" s="134">
        <f t="shared" si="145"/>
        <v>0.434590793</v>
      </c>
      <c r="D107" s="134">
        <f t="shared" si="145"/>
        <v>0.5322445526</v>
      </c>
      <c r="F107" s="134">
        <f t="shared" ref="F107:H107" si="146">RAND()</f>
        <v>0.3250376596</v>
      </c>
      <c r="G107" s="134">
        <f t="shared" si="146"/>
        <v>0.8120575078</v>
      </c>
      <c r="H107" s="134">
        <f t="shared" si="146"/>
        <v>0.7555250867</v>
      </c>
      <c r="J107" s="135">
        <f t="shared" si="8"/>
        <v>211608068</v>
      </c>
      <c r="K107" s="136">
        <f>IF(J107&gt;0,MIN(99,$B$12*Q107/(J107*12*(1-Inputs!$H$16))),99)</f>
        <v>3.089812432</v>
      </c>
      <c r="L107" s="134">
        <f t="shared" si="9"/>
        <v>1.107651657</v>
      </c>
      <c r="M107" s="134">
        <f t="shared" si="10"/>
        <v>1.046977794</v>
      </c>
      <c r="N107" s="134">
        <f t="shared" si="11"/>
        <v>1.010366238</v>
      </c>
      <c r="O107" s="134">
        <f t="shared" si="12"/>
        <v>1.008321773</v>
      </c>
      <c r="P107" s="134">
        <f t="shared" si="13"/>
        <v>1.450520722</v>
      </c>
      <c r="Q107" s="134">
        <f t="shared" si="14"/>
        <v>1.201801715</v>
      </c>
    </row>
    <row r="108" ht="15.0" customHeight="1">
      <c r="A108" s="13">
        <v>69.0</v>
      </c>
      <c r="B108" s="134">
        <f t="shared" ref="B108:D108" si="147">RAND()</f>
        <v>0.3961475169</v>
      </c>
      <c r="C108" s="134">
        <f t="shared" si="147"/>
        <v>0.2969114649</v>
      </c>
      <c r="D108" s="134">
        <f t="shared" si="147"/>
        <v>0.5878067235</v>
      </c>
      <c r="F108" s="134">
        <f t="shared" ref="F108:H108" si="148">RAND()</f>
        <v>0.236232382</v>
      </c>
      <c r="G108" s="134">
        <f t="shared" si="148"/>
        <v>0.340806703</v>
      </c>
      <c r="H108" s="134">
        <f t="shared" si="148"/>
        <v>0.5951017937</v>
      </c>
      <c r="J108" s="135">
        <f t="shared" si="8"/>
        <v>136066218.8</v>
      </c>
      <c r="K108" s="136">
        <f>IF(J108&gt;0,MIN(99,$B$12*Q108/(J108*12*(1-Inputs!$H$16))),99)</f>
        <v>4.504819872</v>
      </c>
      <c r="L108" s="134">
        <f t="shared" si="9"/>
        <v>0.9861080189</v>
      </c>
      <c r="M108" s="134">
        <f t="shared" si="10"/>
        <v>0.9931484608</v>
      </c>
      <c r="N108" s="134">
        <f t="shared" si="11"/>
        <v>1.01526906</v>
      </c>
      <c r="O108" s="134">
        <f t="shared" si="12"/>
        <v>1.00172253</v>
      </c>
      <c r="P108" s="134">
        <f t="shared" si="13"/>
        <v>1.090708471</v>
      </c>
      <c r="Q108" s="134">
        <f t="shared" si="14"/>
        <v>1.126668695</v>
      </c>
    </row>
    <row r="109" ht="15.0" customHeight="1">
      <c r="A109" s="13">
        <v>70.0</v>
      </c>
      <c r="B109" s="134">
        <f t="shared" ref="B109:D109" si="149">RAND()</f>
        <v>0.1943104632</v>
      </c>
      <c r="C109" s="134">
        <f t="shared" si="149"/>
        <v>0.27812087</v>
      </c>
      <c r="D109" s="134">
        <f t="shared" si="149"/>
        <v>0.9705678953</v>
      </c>
      <c r="F109" s="134">
        <f t="shared" ref="F109:H109" si="150">RAND()</f>
        <v>0.2765358237</v>
      </c>
      <c r="G109" s="134">
        <f t="shared" si="150"/>
        <v>0.4937297636</v>
      </c>
      <c r="H109" s="134">
        <f t="shared" si="150"/>
        <v>0.06545601054</v>
      </c>
      <c r="J109" s="135">
        <f t="shared" si="8"/>
        <v>77833977.15</v>
      </c>
      <c r="K109" s="136">
        <f>IF(J109&gt;0,MIN(99,$B$12*Q109/(J109*12*(1-Inputs!$H$16))),99)</f>
        <v>6.525230117</v>
      </c>
      <c r="L109" s="134">
        <f t="shared" si="9"/>
        <v>0.9228510301</v>
      </c>
      <c r="M109" s="134">
        <f t="shared" si="10"/>
        <v>0.9648479921</v>
      </c>
      <c r="N109" s="134">
        <f t="shared" si="11"/>
        <v>1.070314468</v>
      </c>
      <c r="O109" s="134">
        <f t="shared" si="12"/>
        <v>1.004667158</v>
      </c>
      <c r="P109" s="134">
        <f t="shared" si="13"/>
        <v>1.186162161</v>
      </c>
      <c r="Q109" s="134">
        <f t="shared" si="14"/>
        <v>0.9335412997</v>
      </c>
    </row>
    <row r="110" ht="15.0" customHeight="1">
      <c r="A110" s="13">
        <v>71.0</v>
      </c>
      <c r="B110" s="134">
        <f t="shared" ref="B110:D110" si="151">RAND()</f>
        <v>0.4226494881</v>
      </c>
      <c r="C110" s="134">
        <f t="shared" si="151"/>
        <v>0.005713368352</v>
      </c>
      <c r="D110" s="134">
        <f t="shared" si="151"/>
        <v>0.491620078</v>
      </c>
      <c r="F110" s="134">
        <f t="shared" ref="F110:H110" si="152">RAND()</f>
        <v>0.7011987161</v>
      </c>
      <c r="G110" s="134">
        <f t="shared" si="152"/>
        <v>0.1665301155</v>
      </c>
      <c r="H110" s="134">
        <f t="shared" si="152"/>
        <v>0.7905585537</v>
      </c>
      <c r="J110" s="135">
        <f t="shared" si="8"/>
        <v>139475604.8</v>
      </c>
      <c r="K110" s="136">
        <f>IF(J110&gt;0,MIN(99,$B$12*Q110/(J110*12*(1-Inputs!$H$16))),99)</f>
        <v>4.76377786</v>
      </c>
      <c r="L110" s="134">
        <f t="shared" si="9"/>
        <v>0.9930551935</v>
      </c>
      <c r="M110" s="134">
        <f t="shared" si="10"/>
        <v>0.996256549</v>
      </c>
      <c r="N110" s="134">
        <f t="shared" si="11"/>
        <v>1.006963679</v>
      </c>
      <c r="O110" s="134">
        <f t="shared" si="12"/>
        <v>1.042962011</v>
      </c>
      <c r="P110" s="134">
        <f t="shared" si="13"/>
        <v>0.9945316589</v>
      </c>
      <c r="Q110" s="134">
        <f t="shared" si="14"/>
        <v>1.221288412</v>
      </c>
    </row>
    <row r="111" ht="15.0" customHeight="1">
      <c r="A111" s="13">
        <v>72.0</v>
      </c>
      <c r="B111" s="134">
        <f t="shared" ref="B111:D111" si="153">RAND()</f>
        <v>0.2026763794</v>
      </c>
      <c r="C111" s="134">
        <f t="shared" si="153"/>
        <v>0.8669346668</v>
      </c>
      <c r="D111" s="134">
        <f t="shared" si="153"/>
        <v>0.4725701473</v>
      </c>
      <c r="F111" s="134">
        <f t="shared" ref="F111:H111" si="154">RAND()</f>
        <v>0.7200031763</v>
      </c>
      <c r="G111" s="134">
        <f t="shared" si="154"/>
        <v>0.8893194828</v>
      </c>
      <c r="H111" s="134">
        <f t="shared" si="154"/>
        <v>0.7054558348</v>
      </c>
      <c r="J111" s="135">
        <f t="shared" si="8"/>
        <v>72458313.83</v>
      </c>
      <c r="K111" s="136">
        <f>IF(J111&gt;0,MIN(99,$B$12*Q111/(J111*12*(1-Inputs!$H$16))),99)</f>
        <v>8.831566916</v>
      </c>
      <c r="L111" s="134">
        <f t="shared" si="9"/>
        <v>0.9260003069</v>
      </c>
      <c r="M111" s="134">
        <f t="shared" si="10"/>
        <v>0.9662569432</v>
      </c>
      <c r="N111" s="134">
        <f t="shared" si="11"/>
        <v>1.005415039</v>
      </c>
      <c r="O111" s="134">
        <f t="shared" si="12"/>
        <v>1.045164392</v>
      </c>
      <c r="P111" s="134">
        <f t="shared" si="13"/>
        <v>1.546408058</v>
      </c>
      <c r="Q111" s="134">
        <f t="shared" si="14"/>
        <v>1.176236003</v>
      </c>
    </row>
    <row r="112" ht="15.0" customHeight="1">
      <c r="A112" s="13">
        <v>73.0</v>
      </c>
      <c r="B112" s="134">
        <f t="shared" ref="B112:D112" si="155">RAND()</f>
        <v>0.4689356757</v>
      </c>
      <c r="C112" s="134">
        <f t="shared" si="155"/>
        <v>0.4437062271</v>
      </c>
      <c r="D112" s="134">
        <f t="shared" si="155"/>
        <v>0.9366193823</v>
      </c>
      <c r="F112" s="134">
        <f t="shared" ref="F112:H112" si="156">RAND()</f>
        <v>0.3643866218</v>
      </c>
      <c r="G112" s="134">
        <f t="shared" si="156"/>
        <v>0.7955422752</v>
      </c>
      <c r="H112" s="134">
        <f t="shared" si="156"/>
        <v>0.6704341807</v>
      </c>
      <c r="J112" s="135">
        <f t="shared" si="8"/>
        <v>124833545.1</v>
      </c>
      <c r="K112" s="136">
        <f>IF(J112&gt;0,MIN(99,$B$12*Q112/(J112*12*(1-Inputs!$H$16))),99)</f>
        <v>5.053813517</v>
      </c>
      <c r="L112" s="134">
        <f t="shared" si="9"/>
        <v>1.004775381</v>
      </c>
      <c r="M112" s="134">
        <f t="shared" si="10"/>
        <v>1.001479216</v>
      </c>
      <c r="N112" s="134">
        <f t="shared" si="11"/>
        <v>1.060931224</v>
      </c>
      <c r="O112" s="134">
        <f t="shared" si="12"/>
        <v>1.011384364</v>
      </c>
      <c r="P112" s="134">
        <f t="shared" si="13"/>
        <v>1.432789256</v>
      </c>
      <c r="Q112" s="134">
        <f t="shared" si="14"/>
        <v>1.159628813</v>
      </c>
    </row>
    <row r="113" ht="15.0" customHeight="1">
      <c r="A113" s="13">
        <v>74.0</v>
      </c>
      <c r="B113" s="134">
        <f t="shared" ref="B113:D113" si="157">RAND()</f>
        <v>0.3423200531</v>
      </c>
      <c r="C113" s="134">
        <f t="shared" si="157"/>
        <v>0.3167056029</v>
      </c>
      <c r="D113" s="134">
        <f t="shared" si="157"/>
        <v>0.4217463227</v>
      </c>
      <c r="F113" s="134">
        <f t="shared" ref="F113:H113" si="158">RAND()</f>
        <v>0.5641583253</v>
      </c>
      <c r="G113" s="134">
        <f t="shared" si="158"/>
        <v>0.3522238487</v>
      </c>
      <c r="H113" s="134">
        <f t="shared" si="158"/>
        <v>0.8710874929</v>
      </c>
      <c r="J113" s="135">
        <f t="shared" si="8"/>
        <v>123853422.5</v>
      </c>
      <c r="K113" s="136">
        <f>IF(J113&gt;0,MIN(99,$B$12*Q113/(J113*12*(1-Inputs!$H$16))),99)</f>
        <v>5.59403208</v>
      </c>
      <c r="L113" s="134">
        <f t="shared" si="9"/>
        <v>0.9712422125</v>
      </c>
      <c r="M113" s="134">
        <f t="shared" si="10"/>
        <v>0.9864976654</v>
      </c>
      <c r="N113" s="134">
        <f t="shared" si="11"/>
        <v>1.001415172</v>
      </c>
      <c r="O113" s="134">
        <f t="shared" si="12"/>
        <v>1.028654554</v>
      </c>
      <c r="P113" s="134">
        <f t="shared" si="13"/>
        <v>1.097423645</v>
      </c>
      <c r="Q113" s="134">
        <f t="shared" si="14"/>
        <v>1.273507322</v>
      </c>
    </row>
    <row r="114" ht="15.0" customHeight="1">
      <c r="A114" s="13">
        <v>75.0</v>
      </c>
      <c r="B114" s="134">
        <f t="shared" ref="B114:D114" si="159">RAND()</f>
        <v>0.4777673577</v>
      </c>
      <c r="C114" s="134">
        <f t="shared" si="159"/>
        <v>0.4761791232</v>
      </c>
      <c r="D114" s="134">
        <f t="shared" si="159"/>
        <v>0.4735706115</v>
      </c>
      <c r="F114" s="134">
        <f t="shared" ref="F114:H114" si="160">RAND()</f>
        <v>0.5320073429</v>
      </c>
      <c r="G114" s="134">
        <f t="shared" si="160"/>
        <v>0.7310014656</v>
      </c>
      <c r="H114" s="134">
        <f t="shared" si="160"/>
        <v>0.3319145196</v>
      </c>
      <c r="J114" s="135">
        <f t="shared" si="8"/>
        <v>138433066.3</v>
      </c>
      <c r="K114" s="136">
        <f>IF(J114&gt;0,MIN(99,$B$12*Q114/(J114*12*(1-Inputs!$H$16))),99)</f>
        <v>4.050990034</v>
      </c>
      <c r="L114" s="134">
        <f t="shared" si="9"/>
        <v>1.00703174</v>
      </c>
      <c r="M114" s="134">
        <f t="shared" si="10"/>
        <v>1.002477124</v>
      </c>
      <c r="N114" s="134">
        <f t="shared" si="11"/>
        <v>1.005495667</v>
      </c>
      <c r="O114" s="134">
        <f t="shared" si="12"/>
        <v>1.025641157</v>
      </c>
      <c r="P114" s="134">
        <f t="shared" si="13"/>
        <v>1.369571549</v>
      </c>
      <c r="Q114" s="134">
        <f t="shared" si="14"/>
        <v>1.030788333</v>
      </c>
    </row>
    <row r="115" ht="15.0" customHeight="1">
      <c r="A115" s="13">
        <v>76.0</v>
      </c>
      <c r="B115" s="134">
        <f t="shared" ref="B115:D115" si="161">RAND()</f>
        <v>0.8166488985</v>
      </c>
      <c r="C115" s="134">
        <f t="shared" si="161"/>
        <v>0.07001171472</v>
      </c>
      <c r="D115" s="134">
        <f t="shared" si="161"/>
        <v>0.6030104603</v>
      </c>
      <c r="F115" s="134">
        <f t="shared" ref="F115:H115" si="162">RAND()</f>
        <v>0.2456744618</v>
      </c>
      <c r="G115" s="134">
        <f t="shared" si="162"/>
        <v>0.4167931471</v>
      </c>
      <c r="H115" s="134">
        <f t="shared" si="162"/>
        <v>0.2578088942</v>
      </c>
      <c r="J115" s="135">
        <f t="shared" si="8"/>
        <v>229542715</v>
      </c>
      <c r="K115" s="136">
        <f>IF(J115&gt;0,MIN(99,$B$12*Q115/(J115*12*(1-Inputs!$H$16))),99)</f>
        <v>2.387675588</v>
      </c>
      <c r="L115" s="134">
        <f t="shared" si="9"/>
        <v>1.116220982</v>
      </c>
      <c r="M115" s="134">
        <f t="shared" si="10"/>
        <v>1.050767707</v>
      </c>
      <c r="N115" s="134">
        <f t="shared" si="11"/>
        <v>1.01666744</v>
      </c>
      <c r="O115" s="134">
        <f t="shared" si="12"/>
        <v>1.002405274</v>
      </c>
      <c r="P115" s="134">
        <f t="shared" si="13"/>
        <v>1.136568791</v>
      </c>
      <c r="Q115" s="134">
        <f t="shared" si="14"/>
        <v>1.007412452</v>
      </c>
    </row>
    <row r="116" ht="15.0" customHeight="1">
      <c r="A116" s="13">
        <v>77.0</v>
      </c>
      <c r="B116" s="134">
        <f t="shared" ref="B116:D116" si="163">RAND()</f>
        <v>0.7017401539</v>
      </c>
      <c r="C116" s="134">
        <f t="shared" si="163"/>
        <v>0.2721601225</v>
      </c>
      <c r="D116" s="134">
        <f t="shared" si="163"/>
        <v>0.7174832034</v>
      </c>
      <c r="F116" s="134">
        <f t="shared" ref="F116:H116" si="164">RAND()</f>
        <v>0.4716913884</v>
      </c>
      <c r="G116" s="134">
        <f t="shared" si="164"/>
        <v>0.8580052681</v>
      </c>
      <c r="H116" s="134">
        <f t="shared" si="164"/>
        <v>0.9137636426</v>
      </c>
      <c r="J116" s="135">
        <f t="shared" si="8"/>
        <v>176812577.8</v>
      </c>
      <c r="K116" s="136">
        <f>IF(J116&gt;0,MIN(99,$B$12*Q116/(J116*12*(1-Inputs!$H$16))),99)</f>
        <v>4.02504169</v>
      </c>
      <c r="L116" s="134">
        <f t="shared" si="9"/>
        <v>1.072488941</v>
      </c>
      <c r="M116" s="134">
        <f t="shared" si="10"/>
        <v>1.031426555</v>
      </c>
      <c r="N116" s="134">
        <f t="shared" si="11"/>
        <v>1.028197764</v>
      </c>
      <c r="O116" s="134">
        <f t="shared" si="12"/>
        <v>1.020255062</v>
      </c>
      <c r="P116" s="134">
        <f t="shared" si="13"/>
        <v>1.5044392</v>
      </c>
      <c r="Q116" s="134">
        <f t="shared" si="14"/>
        <v>1.308133357</v>
      </c>
    </row>
    <row r="117" ht="15.0" customHeight="1">
      <c r="A117" s="13">
        <v>78.0</v>
      </c>
      <c r="B117" s="134">
        <f t="shared" ref="B117:D117" si="165">RAND()</f>
        <v>0.4129345853</v>
      </c>
      <c r="C117" s="134">
        <f t="shared" si="165"/>
        <v>0.2762662999</v>
      </c>
      <c r="D117" s="134">
        <f t="shared" si="165"/>
        <v>0.1197992816</v>
      </c>
      <c r="F117" s="134">
        <f t="shared" ref="F117:H117" si="166">RAND()</f>
        <v>0.8604620676</v>
      </c>
      <c r="G117" s="134">
        <f t="shared" si="166"/>
        <v>0.8298311324</v>
      </c>
      <c r="H117" s="134">
        <f t="shared" si="166"/>
        <v>0.07838830488</v>
      </c>
      <c r="J117" s="135">
        <f t="shared" si="8"/>
        <v>123482391.6</v>
      </c>
      <c r="K117" s="136">
        <f>IF(J117&gt;0,MIN(99,$B$12*Q117/(J117*12*(1-Inputs!$H$16))),99)</f>
        <v>4.14409363</v>
      </c>
      <c r="L117" s="134">
        <f t="shared" si="9"/>
        <v>0.9905345468</v>
      </c>
      <c r="M117" s="134">
        <f t="shared" si="10"/>
        <v>0.9951288398</v>
      </c>
      <c r="N117" s="134">
        <f t="shared" si="11"/>
        <v>0.9722196854</v>
      </c>
      <c r="O117" s="134">
        <f t="shared" si="12"/>
        <v>1.06476913</v>
      </c>
      <c r="P117" s="134">
        <f t="shared" si="13"/>
        <v>1.470497671</v>
      </c>
      <c r="Q117" s="134">
        <f t="shared" si="14"/>
        <v>0.9405958814</v>
      </c>
    </row>
    <row r="118" ht="15.0" customHeight="1">
      <c r="A118" s="13">
        <v>79.0</v>
      </c>
      <c r="B118" s="134">
        <f t="shared" ref="B118:D118" si="167">RAND()</f>
        <v>0.242429059</v>
      </c>
      <c r="C118" s="134">
        <f t="shared" si="167"/>
        <v>0.122342378</v>
      </c>
      <c r="D118" s="134">
        <f t="shared" si="167"/>
        <v>0.6068274517</v>
      </c>
      <c r="F118" s="134">
        <f t="shared" ref="F118:H118" si="168">RAND()</f>
        <v>0.3333683053</v>
      </c>
      <c r="G118" s="134">
        <f t="shared" si="168"/>
        <v>0.3199903981</v>
      </c>
      <c r="H118" s="134">
        <f t="shared" si="168"/>
        <v>0.811212503</v>
      </c>
      <c r="J118" s="135">
        <f t="shared" si="8"/>
        <v>103340630.2</v>
      </c>
      <c r="K118" s="136">
        <f>IF(J118&gt;0,MIN(99,$B$12*Q118/(J118*12*(1-Inputs!$H$16))),99)</f>
        <v>6.494066385</v>
      </c>
      <c r="L118" s="134">
        <f t="shared" si="9"/>
        <v>0.9401462053</v>
      </c>
      <c r="M118" s="134">
        <f t="shared" si="10"/>
        <v>0.9725856599</v>
      </c>
      <c r="N118" s="134">
        <f t="shared" si="11"/>
        <v>1.017022697</v>
      </c>
      <c r="O118" s="134">
        <f t="shared" si="12"/>
        <v>1.008962551</v>
      </c>
      <c r="P118" s="134">
        <f t="shared" si="13"/>
        <v>1.078613024</v>
      </c>
      <c r="Q118" s="134">
        <f t="shared" si="14"/>
        <v>1.233548731</v>
      </c>
    </row>
    <row r="119" ht="15.0" customHeight="1">
      <c r="A119" s="13">
        <v>80.0</v>
      </c>
      <c r="B119" s="134">
        <f t="shared" ref="B119:D119" si="169">RAND()</f>
        <v>0.2358703681</v>
      </c>
      <c r="C119" s="134">
        <f t="shared" si="169"/>
        <v>0.352267275</v>
      </c>
      <c r="D119" s="134">
        <f t="shared" si="169"/>
        <v>0.8705455128</v>
      </c>
      <c r="F119" s="134">
        <f t="shared" ref="F119:H119" si="170">RAND()</f>
        <v>0.8454374182</v>
      </c>
      <c r="G119" s="134">
        <f t="shared" si="170"/>
        <v>0.5680950317</v>
      </c>
      <c r="H119" s="134">
        <f t="shared" si="170"/>
        <v>0.02826090304</v>
      </c>
      <c r="J119" s="135">
        <f t="shared" si="8"/>
        <v>80598011.09</v>
      </c>
      <c r="K119" s="136">
        <f>IF(J119&gt;0,MIN(99,$B$12*Q119/(J119*12*(1-Inputs!$H$16))),99)</f>
        <v>6.128355558</v>
      </c>
      <c r="L119" s="134">
        <f t="shared" si="9"/>
        <v>0.9378969503</v>
      </c>
      <c r="M119" s="134">
        <f t="shared" si="10"/>
        <v>0.9715793683</v>
      </c>
      <c r="N119" s="134">
        <f t="shared" si="11"/>
        <v>1.048289988</v>
      </c>
      <c r="O119" s="134">
        <f t="shared" si="12"/>
        <v>1.062300045</v>
      </c>
      <c r="P119" s="134">
        <f t="shared" si="13"/>
        <v>1.237827398</v>
      </c>
      <c r="Q119" s="134">
        <f t="shared" si="14"/>
        <v>0.9078973754</v>
      </c>
    </row>
    <row r="120" ht="15.0" customHeight="1">
      <c r="A120" s="13">
        <v>81.0</v>
      </c>
      <c r="B120" s="134">
        <f t="shared" ref="B120:D120" si="171">RAND()</f>
        <v>0.7524934774</v>
      </c>
      <c r="C120" s="134">
        <f t="shared" si="171"/>
        <v>0.9494859374</v>
      </c>
      <c r="D120" s="134">
        <f t="shared" si="171"/>
        <v>0.7261120951</v>
      </c>
      <c r="F120" s="134">
        <f t="shared" ref="F120:H120" si="172">RAND()</f>
        <v>0.4590425086</v>
      </c>
      <c r="G120" s="134">
        <f t="shared" si="172"/>
        <v>0.4274963728</v>
      </c>
      <c r="H120" s="134">
        <f t="shared" si="172"/>
        <v>0.4978927702</v>
      </c>
      <c r="J120" s="135">
        <f t="shared" si="8"/>
        <v>203924397.1</v>
      </c>
      <c r="K120" s="136">
        <f>IF(J120&gt;0,MIN(99,$B$12*Q120/(J120*12*(1-Inputs!$H$16))),99)</f>
        <v>2.90366986</v>
      </c>
      <c r="L120" s="134">
        <f t="shared" si="9"/>
        <v>1.090521961</v>
      </c>
      <c r="M120" s="134">
        <f t="shared" si="10"/>
        <v>1.039401929</v>
      </c>
      <c r="N120" s="134">
        <f t="shared" si="11"/>
        <v>1.029154851</v>
      </c>
      <c r="O120" s="134">
        <f t="shared" si="12"/>
        <v>1.019165243</v>
      </c>
      <c r="P120" s="134">
        <f t="shared" si="13"/>
        <v>1.143263369</v>
      </c>
      <c r="Q120" s="134">
        <f t="shared" si="14"/>
        <v>1.088390907</v>
      </c>
    </row>
    <row r="121" ht="15.0" customHeight="1">
      <c r="A121" s="13">
        <v>82.0</v>
      </c>
      <c r="B121" s="134">
        <f t="shared" ref="B121:D121" si="173">RAND()</f>
        <v>0.8234582052</v>
      </c>
      <c r="C121" s="134">
        <f t="shared" si="173"/>
        <v>0.0832610463</v>
      </c>
      <c r="D121" s="134">
        <f t="shared" si="173"/>
        <v>0.9739117096</v>
      </c>
      <c r="F121" s="134">
        <f t="shared" ref="F121:H121" si="174">RAND()</f>
        <v>0.1618902446</v>
      </c>
      <c r="G121" s="134">
        <f t="shared" si="174"/>
        <v>0.1993563052</v>
      </c>
      <c r="H121" s="134">
        <f t="shared" si="174"/>
        <v>0.1200630532</v>
      </c>
      <c r="J121" s="135">
        <f t="shared" si="8"/>
        <v>224384298.1</v>
      </c>
      <c r="K121" s="136">
        <f>IF(J121&gt;0,MIN(99,$B$12*Q121/(J121*12*(1-Inputs!$H$16))),99)</f>
        <v>2.327706758</v>
      </c>
      <c r="L121" s="134">
        <f t="shared" si="9"/>
        <v>1.11919725</v>
      </c>
      <c r="M121" s="134">
        <f t="shared" si="10"/>
        <v>1.052084006</v>
      </c>
      <c r="N121" s="134">
        <f t="shared" si="11"/>
        <v>1.071489074</v>
      </c>
      <c r="O121" s="134">
        <f t="shared" si="12"/>
        <v>0.9961921386</v>
      </c>
      <c r="P121" s="134">
        <f t="shared" si="13"/>
        <v>1.011896565</v>
      </c>
      <c r="Q121" s="134">
        <f t="shared" si="14"/>
        <v>0.9600397419</v>
      </c>
    </row>
    <row r="122" ht="15.0" customHeight="1">
      <c r="A122" s="13">
        <v>83.0</v>
      </c>
      <c r="B122" s="134">
        <f t="shared" ref="B122:D122" si="175">RAND()</f>
        <v>0.8899111534</v>
      </c>
      <c r="C122" s="134">
        <f t="shared" si="175"/>
        <v>0.1339867486</v>
      </c>
      <c r="D122" s="134">
        <f t="shared" si="175"/>
        <v>0.9193271458</v>
      </c>
      <c r="F122" s="134">
        <f t="shared" ref="F122:H122" si="176">RAND()</f>
        <v>0.2975716948</v>
      </c>
      <c r="G122" s="134">
        <f t="shared" si="176"/>
        <v>0.0002904536879</v>
      </c>
      <c r="H122" s="134">
        <f t="shared" si="176"/>
        <v>0.5494931154</v>
      </c>
      <c r="J122" s="135">
        <f t="shared" si="8"/>
        <v>258679158.7</v>
      </c>
      <c r="K122" s="136">
        <f>IF(J122&gt;0,MIN(99,$B$12*Q122/(J122*12*(1-Inputs!$H$16))),99)</f>
        <v>2.330701086</v>
      </c>
      <c r="L122" s="134">
        <f t="shared" si="9"/>
        <v>1.151966605</v>
      </c>
      <c r="M122" s="134">
        <f t="shared" si="10"/>
        <v>1.066576745</v>
      </c>
      <c r="N122" s="134">
        <f t="shared" si="11"/>
        <v>1.057155026</v>
      </c>
      <c r="O122" s="134">
        <f t="shared" si="12"/>
        <v>1.006236678</v>
      </c>
      <c r="P122" s="134">
        <f t="shared" si="13"/>
        <v>0.8221989405</v>
      </c>
      <c r="Q122" s="134">
        <f t="shared" si="14"/>
        <v>1.108195799</v>
      </c>
    </row>
    <row r="123" ht="15.0" customHeight="1">
      <c r="A123" s="13">
        <v>84.0</v>
      </c>
      <c r="B123" s="134">
        <f t="shared" ref="B123:D123" si="177">RAND()</f>
        <v>0.2800427399</v>
      </c>
      <c r="C123" s="134">
        <f t="shared" si="177"/>
        <v>0.2396246955</v>
      </c>
      <c r="D123" s="134">
        <f t="shared" si="177"/>
        <v>0.9435260979</v>
      </c>
      <c r="F123" s="134">
        <f t="shared" ref="F123:H123" si="178">RAND()</f>
        <v>0.4046809839</v>
      </c>
      <c r="G123" s="134">
        <f t="shared" si="178"/>
        <v>0.7450938383</v>
      </c>
      <c r="H123" s="134">
        <f t="shared" si="178"/>
        <v>0.7021080521</v>
      </c>
      <c r="J123" s="135">
        <f t="shared" si="8"/>
        <v>89944901.29</v>
      </c>
      <c r="K123" s="136">
        <f>IF(J123&gt;0,MIN(99,$B$12*Q123/(J123*12*(1-Inputs!$H$16))),99)</f>
        <v>7.104731074</v>
      </c>
      <c r="L123" s="134">
        <f t="shared" si="9"/>
        <v>0.9524959387</v>
      </c>
      <c r="M123" s="134">
        <f t="shared" si="10"/>
        <v>0.9781107923</v>
      </c>
      <c r="N123" s="134">
        <f t="shared" si="11"/>
        <v>1.062582439</v>
      </c>
      <c r="O123" s="134">
        <f t="shared" si="12"/>
        <v>1.014620473</v>
      </c>
      <c r="P123" s="134">
        <f t="shared" si="13"/>
        <v>1.382664141</v>
      </c>
      <c r="Q123" s="134">
        <f t="shared" si="14"/>
        <v>1.174607243</v>
      </c>
    </row>
    <row r="124" ht="15.0" customHeight="1">
      <c r="A124" s="13">
        <v>85.0</v>
      </c>
      <c r="B124" s="134">
        <f t="shared" ref="B124:D124" si="179">RAND()</f>
        <v>0.8126102394</v>
      </c>
      <c r="C124" s="134">
        <f t="shared" si="179"/>
        <v>0.8057523481</v>
      </c>
      <c r="D124" s="134">
        <f t="shared" si="179"/>
        <v>0.6701738681</v>
      </c>
      <c r="F124" s="134">
        <f t="shared" ref="F124:H124" si="180">RAND()</f>
        <v>0.9995672456</v>
      </c>
      <c r="G124" s="134">
        <f t="shared" si="180"/>
        <v>0.9040846917</v>
      </c>
      <c r="H124" s="134">
        <f t="shared" si="180"/>
        <v>0.2158939683</v>
      </c>
      <c r="J124" s="135">
        <f t="shared" si="8"/>
        <v>192503107.8</v>
      </c>
      <c r="K124" s="136">
        <f>IF(J124&gt;0,MIN(99,$B$12*Q124/(J124*12*(1-Inputs!$H$16))),99)</f>
        <v>2.810800152</v>
      </c>
      <c r="L124" s="134">
        <f t="shared" si="9"/>
        <v>1.114481801</v>
      </c>
      <c r="M124" s="134">
        <f t="shared" si="10"/>
        <v>1.049998528</v>
      </c>
      <c r="N124" s="134">
        <f t="shared" si="11"/>
        <v>1.023192199</v>
      </c>
      <c r="O124" s="134">
        <f t="shared" si="12"/>
        <v>1.109213192</v>
      </c>
      <c r="P124" s="134">
        <f t="shared" si="13"/>
        <v>1.568264779</v>
      </c>
      <c r="Q124" s="134">
        <f t="shared" si="14"/>
        <v>0.9945719231</v>
      </c>
    </row>
    <row r="125" ht="15.0" customHeight="1">
      <c r="A125" s="13">
        <v>86.0</v>
      </c>
      <c r="B125" s="134">
        <f t="shared" ref="B125:D125" si="181">RAND()</f>
        <v>0.1641272254</v>
      </c>
      <c r="C125" s="134">
        <f t="shared" si="181"/>
        <v>0.9933862542</v>
      </c>
      <c r="D125" s="134">
        <f t="shared" si="181"/>
        <v>0.4440023247</v>
      </c>
      <c r="F125" s="134">
        <f t="shared" ref="F125:H125" si="182">RAND()</f>
        <v>0.5300878371</v>
      </c>
      <c r="G125" s="134">
        <f t="shared" si="182"/>
        <v>0.2246546395</v>
      </c>
      <c r="H125" s="134">
        <f t="shared" si="182"/>
        <v>0.266129637</v>
      </c>
      <c r="J125" s="135">
        <f t="shared" si="8"/>
        <v>85826246.34</v>
      </c>
      <c r="K125" s="136">
        <f>IF(J125&gt;0,MIN(99,$B$12*Q125/(J125*12*(1-Inputs!$H$16))),99)</f>
        <v>6.402107078</v>
      </c>
      <c r="L125" s="134">
        <f t="shared" si="9"/>
        <v>0.9108834532</v>
      </c>
      <c r="M125" s="134">
        <f t="shared" si="10"/>
        <v>0.9594938321</v>
      </c>
      <c r="N125" s="134">
        <f t="shared" si="11"/>
        <v>1.003144161</v>
      </c>
      <c r="O125" s="134">
        <f t="shared" si="12"/>
        <v>1.025464574</v>
      </c>
      <c r="P125" s="134">
        <f t="shared" si="13"/>
        <v>1.025447139</v>
      </c>
      <c r="Q125" s="134">
        <f t="shared" si="14"/>
        <v>1.009977116</v>
      </c>
    </row>
    <row r="126" ht="15.0" customHeight="1">
      <c r="A126" s="13">
        <v>87.0</v>
      </c>
      <c r="B126" s="134">
        <f t="shared" ref="B126:D126" si="183">RAND()</f>
        <v>0.01050064766</v>
      </c>
      <c r="C126" s="134">
        <f t="shared" si="183"/>
        <v>0.5486307659</v>
      </c>
      <c r="D126" s="134">
        <f t="shared" si="183"/>
        <v>0.4471142193</v>
      </c>
      <c r="F126" s="134">
        <f t="shared" ref="F126:H126" si="184">RAND()</f>
        <v>0.5572734995</v>
      </c>
      <c r="G126" s="134">
        <f t="shared" si="184"/>
        <v>0.5410652473</v>
      </c>
      <c r="H126" s="134">
        <f t="shared" si="184"/>
        <v>0.2354038808</v>
      </c>
      <c r="J126" s="135">
        <f t="shared" si="8"/>
        <v>13963290.28</v>
      </c>
      <c r="K126" s="136">
        <f>IF(J126&gt;0,MIN(99,$B$12*Q126/(J126*12*(1-Inputs!$H$16))),99)</f>
        <v>38.98471686</v>
      </c>
      <c r="L126" s="134">
        <f t="shared" si="9"/>
        <v>0.8093703777</v>
      </c>
      <c r="M126" s="134">
        <f t="shared" si="10"/>
        <v>0.9140780183</v>
      </c>
      <c r="N126" s="134">
        <f t="shared" si="11"/>
        <v>1.003388651</v>
      </c>
      <c r="O126" s="134">
        <f t="shared" si="12"/>
        <v>1.028000149</v>
      </c>
      <c r="P126" s="134">
        <f t="shared" si="13"/>
        <v>1.218568956</v>
      </c>
      <c r="Q126" s="134">
        <f t="shared" si="14"/>
        <v>1.000577268</v>
      </c>
    </row>
    <row r="127" ht="15.0" customHeight="1">
      <c r="A127" s="13">
        <v>88.0</v>
      </c>
      <c r="B127" s="134">
        <f t="shared" ref="B127:D127" si="185">RAND()</f>
        <v>0.1389650755</v>
      </c>
      <c r="C127" s="134">
        <f t="shared" si="185"/>
        <v>0.3837423855</v>
      </c>
      <c r="D127" s="134">
        <f t="shared" si="185"/>
        <v>0.8851685088</v>
      </c>
      <c r="F127" s="134">
        <f t="shared" ref="F127:H127" si="186">RAND()</f>
        <v>0.5460973156</v>
      </c>
      <c r="G127" s="134">
        <f t="shared" si="186"/>
        <v>0.7031453991</v>
      </c>
      <c r="H127" s="134">
        <f t="shared" si="186"/>
        <v>0.04912867491</v>
      </c>
      <c r="J127" s="135">
        <f t="shared" si="8"/>
        <v>57169233.22</v>
      </c>
      <c r="K127" s="136">
        <f>IF(J127&gt;0,MIN(99,$B$12*Q127/(J127*12*(1-Inputs!$H$16))),99)</f>
        <v>8.788768403</v>
      </c>
      <c r="L127" s="134">
        <f t="shared" si="9"/>
        <v>0.9000342793</v>
      </c>
      <c r="M127" s="134">
        <f t="shared" si="10"/>
        <v>0.9546400331</v>
      </c>
      <c r="N127" s="134">
        <f t="shared" si="11"/>
        <v>1.050738829</v>
      </c>
      <c r="O127" s="134">
        <f t="shared" si="12"/>
        <v>1.026948591</v>
      </c>
      <c r="P127" s="134">
        <f t="shared" si="13"/>
        <v>1.344664174</v>
      </c>
      <c r="Q127" s="134">
        <f t="shared" si="14"/>
        <v>0.9235467171</v>
      </c>
    </row>
    <row r="128" ht="15.0" customHeight="1">
      <c r="A128" s="13">
        <v>89.0</v>
      </c>
      <c r="B128" s="134">
        <f t="shared" ref="B128:D128" si="187">RAND()</f>
        <v>0.2787454638</v>
      </c>
      <c r="C128" s="134">
        <f t="shared" si="187"/>
        <v>0.02638851899</v>
      </c>
      <c r="D128" s="134">
        <f t="shared" si="187"/>
        <v>0.2205539887</v>
      </c>
      <c r="F128" s="134">
        <f t="shared" ref="F128:H128" si="188">RAND()</f>
        <v>0.2007220993</v>
      </c>
      <c r="G128" s="134">
        <f t="shared" si="188"/>
        <v>0.127677174</v>
      </c>
      <c r="H128" s="134">
        <f t="shared" si="188"/>
        <v>0.2773509066</v>
      </c>
      <c r="J128" s="135">
        <f t="shared" si="8"/>
        <v>123832370.1</v>
      </c>
      <c r="K128" s="136">
        <f>IF(J128&gt;0,MIN(99,$B$12*Q128/(J128*12*(1-Inputs!$H$16))),99)</f>
        <v>4.452495494</v>
      </c>
      <c r="L128" s="134">
        <f t="shared" si="9"/>
        <v>0.9520843434</v>
      </c>
      <c r="M128" s="134">
        <f t="shared" si="10"/>
        <v>0.9779266492</v>
      </c>
      <c r="N128" s="134">
        <f t="shared" si="11"/>
        <v>0.9840979011</v>
      </c>
      <c r="O128" s="134">
        <f t="shared" si="12"/>
        <v>0.9991777212</v>
      </c>
      <c r="P128" s="134">
        <f t="shared" si="13"/>
        <v>0.9721607504</v>
      </c>
      <c r="Q128" s="134">
        <f t="shared" si="14"/>
        <v>1.013458933</v>
      </c>
    </row>
    <row r="129" ht="15.0" customHeight="1">
      <c r="A129" s="13">
        <v>90.0</v>
      </c>
      <c r="B129" s="134">
        <f t="shared" ref="B129:D129" si="189">RAND()</f>
        <v>0.1218610306</v>
      </c>
      <c r="C129" s="134">
        <f t="shared" si="189"/>
        <v>0.8040333335</v>
      </c>
      <c r="D129" s="134">
        <f t="shared" si="189"/>
        <v>0.8457190895</v>
      </c>
      <c r="F129" s="134">
        <f t="shared" ref="F129:H129" si="190">RAND()</f>
        <v>0.2698314771</v>
      </c>
      <c r="G129" s="134">
        <f t="shared" si="190"/>
        <v>0.4684541694</v>
      </c>
      <c r="H129" s="134">
        <f t="shared" si="190"/>
        <v>0.2951542986</v>
      </c>
      <c r="J129" s="135">
        <f t="shared" si="8"/>
        <v>63698541.89</v>
      </c>
      <c r="K129" s="136">
        <f>IF(J129&gt;0,MIN(99,$B$12*Q129/(J129*12*(1-Inputs!$H$16))),99)</f>
        <v>8.703478324</v>
      </c>
      <c r="L129" s="134">
        <f t="shared" si="9"/>
        <v>0.8920870016</v>
      </c>
      <c r="M129" s="134">
        <f t="shared" si="10"/>
        <v>0.95108451</v>
      </c>
      <c r="N129" s="134">
        <f t="shared" si="11"/>
        <v>1.044430292</v>
      </c>
      <c r="O129" s="134">
        <f t="shared" si="12"/>
        <v>1.004171744</v>
      </c>
      <c r="P129" s="134">
        <f t="shared" si="13"/>
        <v>1.169478101</v>
      </c>
      <c r="Q129" s="134">
        <f t="shared" si="14"/>
        <v>1.019039045</v>
      </c>
    </row>
    <row r="130" ht="15.0" customHeight="1">
      <c r="A130" s="13">
        <v>91.0</v>
      </c>
      <c r="B130" s="134">
        <f t="shared" ref="B130:D130" si="191">RAND()</f>
        <v>0.5951627135</v>
      </c>
      <c r="C130" s="134">
        <f t="shared" si="191"/>
        <v>0.636221332</v>
      </c>
      <c r="D130" s="134">
        <f t="shared" si="191"/>
        <v>0.2350261538</v>
      </c>
      <c r="F130" s="134">
        <f t="shared" ref="F130:H130" si="192">RAND()</f>
        <v>0.5562006072</v>
      </c>
      <c r="G130" s="134">
        <f t="shared" si="192"/>
        <v>0.9476642228</v>
      </c>
      <c r="H130" s="134">
        <f t="shared" si="192"/>
        <v>0.9542789636</v>
      </c>
      <c r="J130" s="135">
        <f t="shared" si="8"/>
        <v>155198154.9</v>
      </c>
      <c r="K130" s="136">
        <f>IF(J130&gt;0,MIN(99,$B$12*Q130/(J130*12*(1-Inputs!$H$16))),99)</f>
        <v>4.733817734</v>
      </c>
      <c r="L130" s="134">
        <f t="shared" si="9"/>
        <v>1.039065418</v>
      </c>
      <c r="M130" s="134">
        <f t="shared" si="10"/>
        <v>1.0166445</v>
      </c>
      <c r="N130" s="134">
        <f t="shared" si="11"/>
        <v>0.9855561612</v>
      </c>
      <c r="O130" s="134">
        <f t="shared" si="12"/>
        <v>1.02789863</v>
      </c>
      <c r="P130" s="134">
        <f t="shared" si="13"/>
        <v>1.64522436</v>
      </c>
      <c r="Q130" s="134">
        <f t="shared" si="14"/>
        <v>1.350412867</v>
      </c>
    </row>
    <row r="131" ht="15.0" customHeight="1">
      <c r="A131" s="13">
        <v>92.0</v>
      </c>
      <c r="B131" s="134">
        <f t="shared" ref="B131:D131" si="193">RAND()</f>
        <v>0.5342991138</v>
      </c>
      <c r="C131" s="134">
        <f t="shared" si="193"/>
        <v>0.4574620271</v>
      </c>
      <c r="D131" s="134">
        <f t="shared" si="193"/>
        <v>0.6665966295</v>
      </c>
      <c r="F131" s="134">
        <f t="shared" ref="F131:H131" si="194">RAND()</f>
        <v>0.24579103</v>
      </c>
      <c r="G131" s="134">
        <f t="shared" si="194"/>
        <v>0.8573056419</v>
      </c>
      <c r="H131" s="134">
        <f t="shared" si="194"/>
        <v>0.1084985006</v>
      </c>
      <c r="J131" s="135">
        <f t="shared" si="8"/>
        <v>144121024.3</v>
      </c>
      <c r="K131" s="136">
        <f>IF(J131&gt;0,MIN(99,$B$12*Q131/(J131*12*(1-Inputs!$H$16))),99)</f>
        <v>3.605164686</v>
      </c>
      <c r="L131" s="134">
        <f t="shared" si="9"/>
        <v>1.021950851</v>
      </c>
      <c r="M131" s="134">
        <f t="shared" si="10"/>
        <v>1.009075325</v>
      </c>
      <c r="N131" s="134">
        <f t="shared" si="11"/>
        <v>1.022828789</v>
      </c>
      <c r="O131" s="134">
        <f t="shared" si="12"/>
        <v>1.00241373</v>
      </c>
      <c r="P131" s="134">
        <f t="shared" si="13"/>
        <v>1.503557523</v>
      </c>
      <c r="Q131" s="134">
        <f t="shared" si="14"/>
        <v>0.9550386105</v>
      </c>
    </row>
    <row r="132" ht="15.0" customHeight="1">
      <c r="A132" s="13">
        <v>93.0</v>
      </c>
      <c r="B132" s="134">
        <f t="shared" ref="B132:D132" si="195">RAND()</f>
        <v>0.04563254114</v>
      </c>
      <c r="C132" s="134">
        <f t="shared" si="195"/>
        <v>0.2092375576</v>
      </c>
      <c r="D132" s="134">
        <f t="shared" si="195"/>
        <v>0.4557932615</v>
      </c>
      <c r="F132" s="134">
        <f t="shared" ref="F132:H132" si="196">RAND()</f>
        <v>0.7233463248</v>
      </c>
      <c r="G132" s="134">
        <f t="shared" si="196"/>
        <v>0.6229821597</v>
      </c>
      <c r="H132" s="134">
        <f t="shared" si="196"/>
        <v>0.2945883602</v>
      </c>
      <c r="J132" s="135">
        <f t="shared" si="8"/>
        <v>31480269.57</v>
      </c>
      <c r="K132" s="136">
        <f>IF(J132&gt;0,MIN(99,$B$12*Q132/(J132*12*(1-Inputs!$H$16))),99)</f>
        <v>17.60791115</v>
      </c>
      <c r="L132" s="134">
        <f t="shared" si="9"/>
        <v>0.84664957</v>
      </c>
      <c r="M132" s="134">
        <f t="shared" si="10"/>
        <v>0.9307563117</v>
      </c>
      <c r="N132" s="134">
        <f t="shared" si="11"/>
        <v>1.00407419</v>
      </c>
      <c r="O132" s="134">
        <f t="shared" si="12"/>
        <v>1.045563605</v>
      </c>
      <c r="P132" s="134">
        <f t="shared" si="13"/>
        <v>1.278885199</v>
      </c>
      <c r="Q132" s="134">
        <f t="shared" si="14"/>
        <v>1.018860585</v>
      </c>
    </row>
    <row r="133" ht="15.0" customHeight="1">
      <c r="A133" s="13">
        <v>94.0</v>
      </c>
      <c r="B133" s="134">
        <f t="shared" ref="B133:D133" si="197">RAND()</f>
        <v>0.580733651</v>
      </c>
      <c r="C133" s="134">
        <f t="shared" si="197"/>
        <v>0.08898604122</v>
      </c>
      <c r="D133" s="134">
        <f t="shared" si="197"/>
        <v>0.4646017719</v>
      </c>
      <c r="F133" s="134">
        <f t="shared" ref="F133:H133" si="198">RAND()</f>
        <v>0.8944587348</v>
      </c>
      <c r="G133" s="134">
        <f t="shared" si="198"/>
        <v>0.8074161661</v>
      </c>
      <c r="H133" s="134">
        <f t="shared" si="198"/>
        <v>0.4838700218</v>
      </c>
      <c r="J133" s="135">
        <f t="shared" si="8"/>
        <v>148230546.8</v>
      </c>
      <c r="K133" s="136">
        <f>IF(J133&gt;0,MIN(99,$B$12*Q133/(J133*12*(1-Inputs!$H$16))),99)</f>
        <v>3.975549885</v>
      </c>
      <c r="L133" s="134">
        <f t="shared" si="9"/>
        <v>1.034897682</v>
      </c>
      <c r="M133" s="134">
        <f t="shared" si="10"/>
        <v>1.014801256</v>
      </c>
      <c r="N133" s="134">
        <f t="shared" si="11"/>
        <v>1.004775569</v>
      </c>
      <c r="O133" s="134">
        <f t="shared" si="12"/>
        <v>1.070902134</v>
      </c>
      <c r="P133" s="134">
        <f t="shared" si="13"/>
        <v>1.445461455</v>
      </c>
      <c r="Q133" s="134">
        <f t="shared" si="14"/>
        <v>1.0831869</v>
      </c>
    </row>
    <row r="134" ht="15.0" customHeight="1">
      <c r="A134" s="13">
        <v>95.0</v>
      </c>
      <c r="B134" s="134">
        <f t="shared" ref="B134:D134" si="199">RAND()</f>
        <v>0.9796584418</v>
      </c>
      <c r="C134" s="134">
        <f t="shared" si="199"/>
        <v>0.5551293339</v>
      </c>
      <c r="D134" s="134">
        <f t="shared" si="199"/>
        <v>0.7671889902</v>
      </c>
      <c r="F134" s="134">
        <f t="shared" ref="F134:H134" si="200">RAND()</f>
        <v>0.1058306565</v>
      </c>
      <c r="G134" s="134">
        <f t="shared" si="200"/>
        <v>0.2852340531</v>
      </c>
      <c r="H134" s="134">
        <f t="shared" si="200"/>
        <v>0.7084917114</v>
      </c>
      <c r="J134" s="135">
        <f t="shared" si="8"/>
        <v>314684631.1</v>
      </c>
      <c r="K134" s="136">
        <f>IF(J134&gt;0,MIN(99,$B$12*Q134/(J134*12*(1-Inputs!$H$16))),99)</f>
        <v>2.036096786</v>
      </c>
      <c r="L134" s="134">
        <f t="shared" si="9"/>
        <v>1.222113667</v>
      </c>
      <c r="M134" s="134">
        <f t="shared" si="10"/>
        <v>1.097600338</v>
      </c>
      <c r="N134" s="134">
        <f t="shared" si="11"/>
        <v>1.033932994</v>
      </c>
      <c r="O134" s="134">
        <f t="shared" si="12"/>
        <v>0.9911552059</v>
      </c>
      <c r="P134" s="134">
        <f t="shared" si="13"/>
        <v>1.058823105</v>
      </c>
      <c r="Q134" s="134">
        <f t="shared" si="14"/>
        <v>1.177721037</v>
      </c>
    </row>
    <row r="135" ht="15.0" customHeight="1">
      <c r="A135" s="13">
        <v>96.0</v>
      </c>
      <c r="B135" s="134">
        <f t="shared" ref="B135:D135" si="201">RAND()</f>
        <v>0.4810443795</v>
      </c>
      <c r="C135" s="134">
        <f t="shared" si="201"/>
        <v>0.07068162198</v>
      </c>
      <c r="D135" s="134">
        <f t="shared" si="201"/>
        <v>0.1249303411</v>
      </c>
      <c r="F135" s="134">
        <f t="shared" ref="F135:H135" si="202">RAND()</f>
        <v>0.5729629136</v>
      </c>
      <c r="G135" s="134">
        <f t="shared" si="202"/>
        <v>0.8945519383</v>
      </c>
      <c r="H135" s="134">
        <f t="shared" si="202"/>
        <v>0.6160542148</v>
      </c>
      <c r="J135" s="135">
        <f t="shared" si="8"/>
        <v>138487183.8</v>
      </c>
      <c r="K135" s="136">
        <f>IF(J135&gt;0,MIN(99,$B$12*Q135/(J135*12*(1-Inputs!$H$16))),99)</f>
        <v>4.46077588</v>
      </c>
      <c r="L135" s="134">
        <f t="shared" si="9"/>
        <v>1.007873817</v>
      </c>
      <c r="M135" s="134">
        <f t="shared" si="10"/>
        <v>1.002849545</v>
      </c>
      <c r="N135" s="134">
        <f t="shared" si="11"/>
        <v>0.9729250549</v>
      </c>
      <c r="O135" s="134">
        <f t="shared" si="12"/>
        <v>1.029499011</v>
      </c>
      <c r="P135" s="134">
        <f t="shared" si="13"/>
        <v>1.553976555</v>
      </c>
      <c r="Q135" s="134">
        <f t="shared" si="14"/>
        <v>1.135503478</v>
      </c>
    </row>
    <row r="136" ht="15.0" customHeight="1">
      <c r="A136" s="13">
        <v>97.0</v>
      </c>
      <c r="B136" s="134">
        <f t="shared" ref="B136:D136" si="203">RAND()</f>
        <v>0.02476735425</v>
      </c>
      <c r="C136" s="134">
        <f t="shared" si="203"/>
        <v>0.3538159472</v>
      </c>
      <c r="D136" s="134">
        <f t="shared" si="203"/>
        <v>0.3552478799</v>
      </c>
      <c r="F136" s="134">
        <f t="shared" ref="F136:H136" si="204">RAND()</f>
        <v>0.2261102818</v>
      </c>
      <c r="G136" s="134">
        <f t="shared" si="204"/>
        <v>0.3566959935</v>
      </c>
      <c r="H136" s="134">
        <f t="shared" si="204"/>
        <v>0.1281098377</v>
      </c>
      <c r="J136" s="135">
        <f t="shared" si="8"/>
        <v>35406549.12</v>
      </c>
      <c r="K136" s="136">
        <f>IF(J136&gt;0,MIN(99,$B$12*Q136/(J136*12*(1-Inputs!$H$16))),99)</f>
        <v>14.80283624</v>
      </c>
      <c r="L136" s="134">
        <f t="shared" si="9"/>
        <v>0.8277856737</v>
      </c>
      <c r="M136" s="134">
        <f t="shared" si="10"/>
        <v>0.9223168157</v>
      </c>
      <c r="N136" s="134">
        <f t="shared" si="11"/>
        <v>0.9962534312</v>
      </c>
      <c r="O136" s="134">
        <f t="shared" si="12"/>
        <v>1.000995284</v>
      </c>
      <c r="P136" s="134">
        <f t="shared" si="13"/>
        <v>1.100070123</v>
      </c>
      <c r="Q136" s="134">
        <f t="shared" si="14"/>
        <v>0.963378648</v>
      </c>
    </row>
    <row r="137" ht="15.0" customHeight="1">
      <c r="A137" s="13">
        <v>98.0</v>
      </c>
      <c r="B137" s="134">
        <f t="shared" ref="B137:D137" si="205">RAND()</f>
        <v>0.6028096439</v>
      </c>
      <c r="C137" s="134">
        <f t="shared" si="205"/>
        <v>0.262518002</v>
      </c>
      <c r="D137" s="134">
        <f t="shared" si="205"/>
        <v>0.5150863316</v>
      </c>
      <c r="F137" s="134">
        <f t="shared" ref="F137:H137" si="206">RAND()</f>
        <v>0.267987633</v>
      </c>
      <c r="G137" s="134">
        <f t="shared" si="206"/>
        <v>0.02214005889</v>
      </c>
      <c r="H137" s="134">
        <f t="shared" si="206"/>
        <v>0.3863999945</v>
      </c>
      <c r="J137" s="135">
        <f t="shared" si="8"/>
        <v>184488908.6</v>
      </c>
      <c r="K137" s="136">
        <f>IF(J137&gt;0,MIN(99,$B$12*Q137/(J137*12*(1-Inputs!$H$16))),99)</f>
        <v>3.092858164</v>
      </c>
      <c r="L137" s="134">
        <f t="shared" si="9"/>
        <v>1.041304313</v>
      </c>
      <c r="M137" s="134">
        <f t="shared" si="10"/>
        <v>1.017634685</v>
      </c>
      <c r="N137" s="134">
        <f t="shared" si="11"/>
        <v>1.008911792</v>
      </c>
      <c r="O137" s="134">
        <f t="shared" si="12"/>
        <v>1.004035894</v>
      </c>
      <c r="P137" s="134">
        <f t="shared" si="13"/>
        <v>0.8802630554</v>
      </c>
      <c r="Q137" s="134">
        <f t="shared" si="14"/>
        <v>1.048814654</v>
      </c>
    </row>
    <row r="138" ht="15.0" customHeight="1">
      <c r="A138" s="13">
        <v>99.0</v>
      </c>
      <c r="B138" s="134">
        <f t="shared" ref="B138:D138" si="207">RAND()</f>
        <v>0.9598368269</v>
      </c>
      <c r="C138" s="134">
        <f t="shared" si="207"/>
        <v>0.3593120527</v>
      </c>
      <c r="D138" s="134">
        <f t="shared" si="207"/>
        <v>0.9013284091</v>
      </c>
      <c r="F138" s="134">
        <f t="shared" ref="F138:H138" si="208">RAND()</f>
        <v>0.3211930745</v>
      </c>
      <c r="G138" s="134">
        <f t="shared" si="208"/>
        <v>0.2294125542</v>
      </c>
      <c r="H138" s="134">
        <f t="shared" si="208"/>
        <v>0.2355072552</v>
      </c>
      <c r="J138" s="135">
        <f t="shared" si="8"/>
        <v>290335583.5</v>
      </c>
      <c r="K138" s="136">
        <f>IF(J138&gt;0,MIN(99,$B$12*Q138/(J138*12*(1-Inputs!$H$16))),99)</f>
        <v>1.874974961</v>
      </c>
      <c r="L138" s="134">
        <f t="shared" si="9"/>
        <v>1.200686904</v>
      </c>
      <c r="M138" s="134">
        <f t="shared" si="10"/>
        <v>1.08812403</v>
      </c>
      <c r="N138" s="134">
        <f t="shared" si="11"/>
        <v>1.053634353</v>
      </c>
      <c r="O138" s="134">
        <f t="shared" si="12"/>
        <v>1.008027388</v>
      </c>
      <c r="P138" s="134">
        <f t="shared" si="13"/>
        <v>1.0280202</v>
      </c>
      <c r="Q138" s="134">
        <f t="shared" si="14"/>
        <v>1.000608574</v>
      </c>
    </row>
    <row r="139" ht="15.0" customHeight="1">
      <c r="A139" s="13">
        <v>100.0</v>
      </c>
      <c r="B139" s="134">
        <f t="shared" ref="B139:D139" si="209">RAND()</f>
        <v>0.2278549632</v>
      </c>
      <c r="C139" s="134">
        <f t="shared" si="209"/>
        <v>0.5455511809</v>
      </c>
      <c r="D139" s="134">
        <f t="shared" si="209"/>
        <v>0.590083716</v>
      </c>
      <c r="F139" s="134">
        <f t="shared" ref="F139:H139" si="210">RAND()</f>
        <v>0.2865969129</v>
      </c>
      <c r="G139" s="134">
        <f t="shared" si="210"/>
        <v>0.06020722568</v>
      </c>
      <c r="H139" s="134">
        <f t="shared" si="210"/>
        <v>0.8018662376</v>
      </c>
      <c r="J139" s="135">
        <f t="shared" si="8"/>
        <v>106736326.2</v>
      </c>
      <c r="K139" s="136">
        <f>IF(J139&gt;0,MIN(99,$B$12*Q139/(J139*12*(1-Inputs!$H$16))),99)</f>
        <v>6.258783823</v>
      </c>
      <c r="L139" s="134">
        <f t="shared" si="9"/>
        <v>0.9351052259</v>
      </c>
      <c r="M139" s="134">
        <f t="shared" si="10"/>
        <v>0.9703303821</v>
      </c>
      <c r="N139" s="134">
        <f t="shared" si="11"/>
        <v>1.015476827</v>
      </c>
      <c r="O139" s="134">
        <f t="shared" si="12"/>
        <v>1.005414944</v>
      </c>
      <c r="P139" s="134">
        <f t="shared" si="13"/>
        <v>0.9228247349</v>
      </c>
      <c r="Q139" s="134">
        <f t="shared" si="14"/>
        <v>1.227921725</v>
      </c>
    </row>
    <row r="140" ht="15.0" customHeight="1">
      <c r="A140" s="13">
        <v>101.0</v>
      </c>
      <c r="B140" s="134">
        <f t="shared" ref="B140:D140" si="211">RAND()</f>
        <v>0.2759322447</v>
      </c>
      <c r="C140" s="134">
        <f t="shared" si="211"/>
        <v>0.9451632927</v>
      </c>
      <c r="D140" s="134">
        <f t="shared" si="211"/>
        <v>0.4037464001</v>
      </c>
      <c r="F140" s="134">
        <f t="shared" ref="F140:H140" si="212">RAND()</f>
        <v>0.7235236042</v>
      </c>
      <c r="G140" s="134">
        <f t="shared" si="212"/>
        <v>0.245468841</v>
      </c>
      <c r="H140" s="134">
        <f t="shared" si="212"/>
        <v>0.6051901367</v>
      </c>
      <c r="J140" s="135">
        <f t="shared" si="8"/>
        <v>109766628.7</v>
      </c>
      <c r="K140" s="136">
        <f>IF(J140&gt;0,MIN(99,$B$12*Q140/(J140*12*(1-Inputs!$H$16))),99)</f>
        <v>5.605092803</v>
      </c>
      <c r="L140" s="134">
        <f t="shared" si="9"/>
        <v>0.9511884716</v>
      </c>
      <c r="M140" s="134">
        <f t="shared" si="10"/>
        <v>0.9775258462</v>
      </c>
      <c r="N140" s="134">
        <f t="shared" si="11"/>
        <v>1.000041021</v>
      </c>
      <c r="O140" s="134">
        <f t="shared" si="12"/>
        <v>1.045584841</v>
      </c>
      <c r="P140" s="134">
        <f t="shared" si="13"/>
        <v>1.03676254</v>
      </c>
      <c r="Q140" s="134">
        <f t="shared" si="14"/>
        <v>1.130893257</v>
      </c>
    </row>
    <row r="141" ht="15.0" customHeight="1">
      <c r="A141" s="13">
        <v>102.0</v>
      </c>
      <c r="B141" s="134">
        <f t="shared" ref="B141:D141" si="213">RAND()</f>
        <v>0.6267774083</v>
      </c>
      <c r="C141" s="134">
        <f t="shared" si="213"/>
        <v>0.7263385667</v>
      </c>
      <c r="D141" s="134">
        <f t="shared" si="213"/>
        <v>0.2388153932</v>
      </c>
      <c r="F141" s="134">
        <f t="shared" ref="F141:H141" si="214">RAND()</f>
        <v>0.384405892</v>
      </c>
      <c r="G141" s="134">
        <f t="shared" si="214"/>
        <v>0.2136082973</v>
      </c>
      <c r="H141" s="134">
        <f t="shared" si="214"/>
        <v>0.5705971832</v>
      </c>
      <c r="J141" s="135">
        <f t="shared" si="8"/>
        <v>188167806.2</v>
      </c>
      <c r="K141" s="136">
        <f>IF(J141&gt;0,MIN(99,$B$12*Q141/(J141*12*(1-Inputs!$H$16))),99)</f>
        <v>3.228435521</v>
      </c>
      <c r="L141" s="134">
        <f t="shared" si="9"/>
        <v>1.048465</v>
      </c>
      <c r="M141" s="134">
        <f t="shared" si="10"/>
        <v>1.020801606</v>
      </c>
      <c r="N141" s="134">
        <f t="shared" si="11"/>
        <v>0.9859305027</v>
      </c>
      <c r="O141" s="134">
        <f t="shared" si="12"/>
        <v>1.012978903</v>
      </c>
      <c r="P141" s="134">
        <f t="shared" si="13"/>
        <v>1.019503593</v>
      </c>
      <c r="Q141" s="134">
        <f t="shared" si="14"/>
        <v>1.11662133</v>
      </c>
    </row>
    <row r="142" ht="15.0" customHeight="1">
      <c r="A142" s="13">
        <v>103.0</v>
      </c>
      <c r="B142" s="134">
        <f t="shared" ref="B142:D142" si="215">RAND()</f>
        <v>0.3366759455</v>
      </c>
      <c r="C142" s="134">
        <f t="shared" si="215"/>
        <v>0.796858238</v>
      </c>
      <c r="D142" s="134">
        <f t="shared" si="215"/>
        <v>0.05375334055</v>
      </c>
      <c r="F142" s="134">
        <f t="shared" ref="F142:H142" si="216">RAND()</f>
        <v>0.6142878037</v>
      </c>
      <c r="G142" s="134">
        <f t="shared" si="216"/>
        <v>0.07924257882</v>
      </c>
      <c r="H142" s="134">
        <f t="shared" si="216"/>
        <v>0.5404136059</v>
      </c>
      <c r="J142" s="135">
        <f t="shared" si="8"/>
        <v>136280047.9</v>
      </c>
      <c r="K142" s="136">
        <f>IF(J142&gt;0,MIN(99,$B$12*Q142/(J142*12*(1-Inputs!$H$16))),99)</f>
        <v>4.409778371</v>
      </c>
      <c r="L142" s="134">
        <f t="shared" si="9"/>
        <v>0.9696176864</v>
      </c>
      <c r="M142" s="134">
        <f t="shared" si="10"/>
        <v>0.9857708706</v>
      </c>
      <c r="N142" s="134">
        <f t="shared" si="11"/>
        <v>0.9612299712</v>
      </c>
      <c r="O142" s="134">
        <f t="shared" si="12"/>
        <v>1.033584197</v>
      </c>
      <c r="P142" s="134">
        <f t="shared" si="13"/>
        <v>0.938746972</v>
      </c>
      <c r="Q142" s="134">
        <f t="shared" si="14"/>
        <v>1.10463175</v>
      </c>
    </row>
    <row r="143" ht="15.0" customHeight="1">
      <c r="A143" s="13">
        <v>104.0</v>
      </c>
      <c r="B143" s="134">
        <f t="shared" ref="B143:D143" si="217">RAND()</f>
        <v>0.4797439094</v>
      </c>
      <c r="C143" s="134">
        <f t="shared" si="217"/>
        <v>0.7268026885</v>
      </c>
      <c r="D143" s="134">
        <f t="shared" si="217"/>
        <v>0.5533503108</v>
      </c>
      <c r="F143" s="134">
        <f t="shared" ref="F143:H143" si="218">RAND()</f>
        <v>0.9844930574</v>
      </c>
      <c r="G143" s="134">
        <f t="shared" si="218"/>
        <v>0.2611757452</v>
      </c>
      <c r="H143" s="134">
        <f t="shared" si="218"/>
        <v>0.272994446</v>
      </c>
      <c r="J143" s="135">
        <f t="shared" si="8"/>
        <v>137820162.6</v>
      </c>
      <c r="K143" s="136">
        <f>IF(J143&gt;0,MIN(99,$B$12*Q143/(J143*12*(1-Inputs!$H$16))),99)</f>
        <v>3.99524943</v>
      </c>
      <c r="L143" s="134">
        <f t="shared" si="9"/>
        <v>1.007539325</v>
      </c>
      <c r="M143" s="134">
        <f t="shared" si="10"/>
        <v>1.002701611</v>
      </c>
      <c r="N143" s="134">
        <f t="shared" si="11"/>
        <v>1.012192401</v>
      </c>
      <c r="O143" s="134">
        <f t="shared" si="12"/>
        <v>1.096144484</v>
      </c>
      <c r="P143" s="134">
        <f t="shared" si="13"/>
        <v>1.045405119</v>
      </c>
      <c r="Q143" s="134">
        <f t="shared" si="14"/>
        <v>1.012103991</v>
      </c>
    </row>
    <row r="144" ht="15.0" customHeight="1">
      <c r="A144" s="13">
        <v>105.0</v>
      </c>
      <c r="B144" s="134">
        <f t="shared" ref="B144:D144" si="219">RAND()</f>
        <v>0.7020294378</v>
      </c>
      <c r="C144" s="134">
        <f t="shared" si="219"/>
        <v>0.6706427595</v>
      </c>
      <c r="D144" s="134">
        <f t="shared" si="219"/>
        <v>0.5589948749</v>
      </c>
      <c r="F144" s="134">
        <f t="shared" ref="F144:H144" si="220">RAND()</f>
        <v>0.9466451012</v>
      </c>
      <c r="G144" s="134">
        <f t="shared" si="220"/>
        <v>0.4666822302</v>
      </c>
      <c r="H144" s="134">
        <f t="shared" si="220"/>
        <v>0.2515454441</v>
      </c>
      <c r="J144" s="135">
        <f t="shared" si="8"/>
        <v>182734294.6</v>
      </c>
      <c r="K144" s="136">
        <f>IF(J144&gt;0,MIN(99,$B$12*Q144/(J144*12*(1-Inputs!$H$16))),99)</f>
        <v>2.993572664</v>
      </c>
      <c r="L144" s="134">
        <f t="shared" si="9"/>
        <v>1.072587174</v>
      </c>
      <c r="M144" s="134">
        <f t="shared" si="10"/>
        <v>1.03147</v>
      </c>
      <c r="N144" s="134">
        <f t="shared" si="11"/>
        <v>1.012688067</v>
      </c>
      <c r="O144" s="134">
        <f t="shared" si="12"/>
        <v>1.082731081</v>
      </c>
      <c r="P144" s="134">
        <f t="shared" si="13"/>
        <v>1.168323504</v>
      </c>
      <c r="Q144" s="134">
        <f t="shared" si="14"/>
        <v>1.005491368</v>
      </c>
    </row>
    <row r="145" ht="15.0" customHeight="1">
      <c r="A145" s="13">
        <v>106.0</v>
      </c>
      <c r="B145" s="134">
        <f t="shared" ref="B145:D145" si="221">RAND()</f>
        <v>0.8868515131</v>
      </c>
      <c r="C145" s="134">
        <f t="shared" si="221"/>
        <v>0.8303750242</v>
      </c>
      <c r="D145" s="134">
        <f t="shared" si="221"/>
        <v>0.7267580301</v>
      </c>
      <c r="F145" s="134">
        <f t="shared" ref="F145:H145" si="222">RAND()</f>
        <v>0.3471487919</v>
      </c>
      <c r="G145" s="134">
        <f t="shared" si="222"/>
        <v>0.7126054024</v>
      </c>
      <c r="H145" s="134">
        <f t="shared" si="222"/>
        <v>0.206550087</v>
      </c>
      <c r="J145" s="135">
        <f t="shared" si="8"/>
        <v>243579971.2</v>
      </c>
      <c r="K145" s="136">
        <f>IF(J145&gt;0,MIN(99,$B$12*Q145/(J145*12*(1-Inputs!$H$16))),99)</f>
        <v>2.214759948</v>
      </c>
      <c r="L145" s="134">
        <f t="shared" si="9"/>
        <v>1.150268621</v>
      </c>
      <c r="M145" s="134">
        <f t="shared" si="10"/>
        <v>1.065825787</v>
      </c>
      <c r="N145" s="134">
        <f t="shared" si="11"/>
        <v>1.029227099</v>
      </c>
      <c r="O145" s="134">
        <f t="shared" si="12"/>
        <v>1.010031376</v>
      </c>
      <c r="P145" s="134">
        <f t="shared" si="13"/>
        <v>1.35298631</v>
      </c>
      <c r="Q145" s="134">
        <f t="shared" si="14"/>
        <v>0.9916004542</v>
      </c>
    </row>
    <row r="146" ht="15.0" customHeight="1">
      <c r="A146" s="13">
        <v>107.0</v>
      </c>
      <c r="B146" s="134">
        <f t="shared" ref="B146:D146" si="223">RAND()</f>
        <v>0.4787509648</v>
      </c>
      <c r="C146" s="134">
        <f t="shared" si="223"/>
        <v>0.981733732</v>
      </c>
      <c r="D146" s="134">
        <f t="shared" si="223"/>
        <v>0.3359700535</v>
      </c>
      <c r="F146" s="134">
        <f t="shared" ref="F146:H146" si="224">RAND()</f>
        <v>0.1902214258</v>
      </c>
      <c r="G146" s="134">
        <f t="shared" si="224"/>
        <v>0.5465457118</v>
      </c>
      <c r="H146" s="134">
        <f t="shared" si="224"/>
        <v>0.4513113118</v>
      </c>
      <c r="J146" s="135">
        <f t="shared" si="8"/>
        <v>151062794.5</v>
      </c>
      <c r="K146" s="136">
        <f>IF(J146&gt;0,MIN(99,$B$12*Q146/(J146*12*(1-Inputs!$H$16))),99)</f>
        <v>3.858455852</v>
      </c>
      <c r="L146" s="134">
        <f t="shared" si="9"/>
        <v>1.007284214</v>
      </c>
      <c r="M146" s="134">
        <f t="shared" si="10"/>
        <v>1.002588784</v>
      </c>
      <c r="N146" s="134">
        <f t="shared" si="11"/>
        <v>0.9946764669</v>
      </c>
      <c r="O146" s="134">
        <f t="shared" si="12"/>
        <v>0.9984012304</v>
      </c>
      <c r="P146" s="134">
        <f t="shared" si="13"/>
        <v>1.222426915</v>
      </c>
      <c r="Q146" s="134">
        <f t="shared" si="14"/>
        <v>1.071370123</v>
      </c>
    </row>
    <row r="147" ht="15.0" customHeight="1">
      <c r="A147" s="13">
        <v>108.0</v>
      </c>
      <c r="B147" s="134">
        <f t="shared" ref="B147:D147" si="225">RAND()</f>
        <v>0.0623855743</v>
      </c>
      <c r="C147" s="134">
        <f t="shared" si="225"/>
        <v>0.8711900404</v>
      </c>
      <c r="D147" s="134">
        <f t="shared" si="225"/>
        <v>0.4315171502</v>
      </c>
      <c r="F147" s="134">
        <f t="shared" ref="F147:H147" si="226">RAND()</f>
        <v>0.9931539589</v>
      </c>
      <c r="G147" s="134">
        <f t="shared" si="226"/>
        <v>0.4342631332</v>
      </c>
      <c r="H147" s="134">
        <f t="shared" si="226"/>
        <v>0.81446547</v>
      </c>
      <c r="J147" s="135">
        <f t="shared" si="8"/>
        <v>35076286.47</v>
      </c>
      <c r="K147" s="136">
        <f>IF(J147&gt;0,MIN(99,$B$12*Q147/(J147*12*(1-Inputs!$H$16))),99)</f>
        <v>19.16349157</v>
      </c>
      <c r="L147" s="134">
        <f t="shared" si="9"/>
        <v>0.8587757549</v>
      </c>
      <c r="M147" s="134">
        <f t="shared" si="10"/>
        <v>0.9361814311</v>
      </c>
      <c r="N147" s="134">
        <f t="shared" si="11"/>
        <v>1.002170059</v>
      </c>
      <c r="O147" s="134">
        <f t="shared" si="12"/>
        <v>1.101409315</v>
      </c>
      <c r="P147" s="134">
        <f t="shared" si="13"/>
        <v>1.147528123</v>
      </c>
      <c r="Q147" s="134">
        <f t="shared" si="14"/>
        <v>1.235539771</v>
      </c>
    </row>
    <row r="148" ht="15.0" customHeight="1">
      <c r="A148" s="13">
        <v>109.0</v>
      </c>
      <c r="B148" s="134">
        <f t="shared" ref="B148:D148" si="227">RAND()</f>
        <v>0.6024209258</v>
      </c>
      <c r="C148" s="134">
        <f t="shared" si="227"/>
        <v>0.9652795619</v>
      </c>
      <c r="D148" s="134">
        <f t="shared" si="227"/>
        <v>0.8027078437</v>
      </c>
      <c r="F148" s="134">
        <f t="shared" ref="F148:H148" si="228">RAND()</f>
        <v>0.07786283743</v>
      </c>
      <c r="G148" s="134">
        <f t="shared" si="228"/>
        <v>0.2187970909</v>
      </c>
      <c r="H148" s="134">
        <f t="shared" si="228"/>
        <v>0.08323094255</v>
      </c>
      <c r="J148" s="135">
        <f t="shared" si="8"/>
        <v>175084386.2</v>
      </c>
      <c r="K148" s="136">
        <f>IF(J148&gt;0,MIN(99,$B$12*Q148/(J148*12*(1-Inputs!$H$16))),99)</f>
        <v>2.930456703</v>
      </c>
      <c r="L148" s="134">
        <f t="shared" si="9"/>
        <v>1.041189986</v>
      </c>
      <c r="M148" s="134">
        <f t="shared" si="10"/>
        <v>1.017584122</v>
      </c>
      <c r="N148" s="134">
        <f t="shared" si="11"/>
        <v>1.038417583</v>
      </c>
      <c r="O148" s="134">
        <f t="shared" si="12"/>
        <v>0.9881295594</v>
      </c>
      <c r="P148" s="134">
        <f t="shared" si="13"/>
        <v>1.022290218</v>
      </c>
      <c r="Q148" s="134">
        <f t="shared" si="14"/>
        <v>0.9430858055</v>
      </c>
    </row>
    <row r="149" ht="15.0" customHeight="1">
      <c r="A149" s="13">
        <v>110.0</v>
      </c>
      <c r="B149" s="134">
        <f t="shared" ref="B149:D149" si="229">RAND()</f>
        <v>0.7507053695</v>
      </c>
      <c r="C149" s="134">
        <f t="shared" si="229"/>
        <v>0.8871673182</v>
      </c>
      <c r="D149" s="134">
        <f t="shared" si="229"/>
        <v>0.3709310158</v>
      </c>
      <c r="F149" s="134">
        <f t="shared" ref="F149:H149" si="230">RAND()</f>
        <v>0.2455737214</v>
      </c>
      <c r="G149" s="134">
        <f t="shared" si="230"/>
        <v>0.0949348107</v>
      </c>
      <c r="H149" s="134">
        <f t="shared" si="230"/>
        <v>0.1610938893</v>
      </c>
      <c r="J149" s="135">
        <f t="shared" si="8"/>
        <v>220926591.7</v>
      </c>
      <c r="K149" s="136">
        <f>IF(J149&gt;0,MIN(99,$B$12*Q149/(J149*12*(1-Inputs!$H$16))),99)</f>
        <v>2.40362751</v>
      </c>
      <c r="L149" s="134">
        <f t="shared" si="9"/>
        <v>1.089856781</v>
      </c>
      <c r="M149" s="134">
        <f t="shared" si="10"/>
        <v>1.039107743</v>
      </c>
      <c r="N149" s="134">
        <f t="shared" si="11"/>
        <v>0.997505031</v>
      </c>
      <c r="O149" s="134">
        <f t="shared" si="12"/>
        <v>1.002397968</v>
      </c>
      <c r="P149" s="134">
        <f t="shared" si="13"/>
        <v>0.9504760599</v>
      </c>
      <c r="Q149" s="134">
        <f t="shared" si="14"/>
        <v>0.9760760125</v>
      </c>
    </row>
    <row r="150" ht="15.0" customHeight="1">
      <c r="A150" s="13">
        <v>111.0</v>
      </c>
      <c r="B150" s="134">
        <f t="shared" ref="B150:D150" si="231">RAND()</f>
        <v>0.1001569112</v>
      </c>
      <c r="C150" s="134">
        <f t="shared" si="231"/>
        <v>0.9433966463</v>
      </c>
      <c r="D150" s="134">
        <f t="shared" si="231"/>
        <v>0.5792366152</v>
      </c>
      <c r="F150" s="134">
        <f t="shared" ref="F150:H150" si="232">RAND()</f>
        <v>0.03901056099</v>
      </c>
      <c r="G150" s="134">
        <f t="shared" si="232"/>
        <v>0.4963466397</v>
      </c>
      <c r="H150" s="134">
        <f t="shared" si="232"/>
        <v>0.6787933295</v>
      </c>
      <c r="J150" s="135">
        <f t="shared" si="8"/>
        <v>65270237.3</v>
      </c>
      <c r="K150" s="136">
        <f>IF(J150&gt;0,MIN(99,$B$12*Q150/(J150*12*(1-Inputs!$H$16))),99)</f>
        <v>9.698088655</v>
      </c>
      <c r="L150" s="134">
        <f t="shared" si="9"/>
        <v>0.8811491993</v>
      </c>
      <c r="M150" s="134">
        <f t="shared" si="10"/>
        <v>0.9461910597</v>
      </c>
      <c r="N150" s="134">
        <f t="shared" si="11"/>
        <v>1.01449217</v>
      </c>
      <c r="O150" s="134">
        <f t="shared" si="12"/>
        <v>0.9827991579</v>
      </c>
      <c r="P150" s="134">
        <f t="shared" si="13"/>
        <v>1.187913086</v>
      </c>
      <c r="Q150" s="134">
        <f t="shared" si="14"/>
        <v>1.163509203</v>
      </c>
    </row>
    <row r="151" ht="15.0" customHeight="1">
      <c r="A151" s="13">
        <v>112.0</v>
      </c>
      <c r="B151" s="134">
        <f t="shared" ref="B151:D151" si="233">RAND()</f>
        <v>0.7741403139</v>
      </c>
      <c r="C151" s="134">
        <f t="shared" si="233"/>
        <v>0.05942935323</v>
      </c>
      <c r="D151" s="134">
        <f t="shared" si="233"/>
        <v>0.6921627508</v>
      </c>
      <c r="F151" s="134">
        <f t="shared" ref="F151:H151" si="234">RAND()</f>
        <v>0.2114456591</v>
      </c>
      <c r="G151" s="134">
        <f t="shared" si="234"/>
        <v>0.4647673784</v>
      </c>
      <c r="H151" s="134">
        <f t="shared" si="234"/>
        <v>0.5909237973</v>
      </c>
      <c r="J151" s="135">
        <f t="shared" si="8"/>
        <v>213345575.6</v>
      </c>
      <c r="K151" s="136">
        <f>IF(J151&gt;0,MIN(99,$B$12*Q151/(J151*12*(1-Inputs!$H$16))),99)</f>
        <v>2.868633971</v>
      </c>
      <c r="L151" s="134">
        <f t="shared" si="9"/>
        <v>1.098773706</v>
      </c>
      <c r="M151" s="134">
        <f t="shared" si="10"/>
        <v>1.043051387</v>
      </c>
      <c r="N151" s="134">
        <f t="shared" si="11"/>
        <v>1.025470709</v>
      </c>
      <c r="O151" s="134">
        <f t="shared" si="12"/>
        <v>0.9999500028</v>
      </c>
      <c r="P151" s="134">
        <f t="shared" si="13"/>
        <v>1.16707794</v>
      </c>
      <c r="Q151" s="134">
        <f t="shared" si="14"/>
        <v>1.12493456</v>
      </c>
    </row>
    <row r="152" ht="15.0" customHeight="1">
      <c r="A152" s="13">
        <v>113.0</v>
      </c>
      <c r="B152" s="134">
        <f t="shared" ref="B152:D152" si="235">RAND()</f>
        <v>0.5059473779</v>
      </c>
      <c r="C152" s="134">
        <f t="shared" si="235"/>
        <v>0.0197009821</v>
      </c>
      <c r="D152" s="134">
        <f t="shared" si="235"/>
        <v>0.2474196846</v>
      </c>
      <c r="F152" s="134">
        <f t="shared" ref="F152:H152" si="236">RAND()</f>
        <v>0.2945894531</v>
      </c>
      <c r="G152" s="134">
        <f t="shared" si="236"/>
        <v>0.9540081449</v>
      </c>
      <c r="H152" s="134">
        <f t="shared" si="236"/>
        <v>0.1943920072</v>
      </c>
      <c r="J152" s="135">
        <f t="shared" si="8"/>
        <v>140103657.7</v>
      </c>
      <c r="K152" s="136">
        <f>IF(J152&gt;0,MIN(99,$B$12*Q152/(J152*12*(1-Inputs!$H$16))),99)</f>
        <v>3.835102524</v>
      </c>
      <c r="L152" s="134">
        <f t="shared" si="9"/>
        <v>1.014361869</v>
      </c>
      <c r="M152" s="134">
        <f t="shared" si="10"/>
        <v>1.005718984</v>
      </c>
      <c r="N152" s="134">
        <f t="shared" si="11"/>
        <v>0.9867696497</v>
      </c>
      <c r="O152" s="134">
        <f t="shared" si="12"/>
        <v>1.006012752</v>
      </c>
      <c r="P152" s="134">
        <f t="shared" si="13"/>
        <v>1.658834881</v>
      </c>
      <c r="Q152" s="134">
        <f t="shared" si="14"/>
        <v>0.9876315007</v>
      </c>
    </row>
    <row r="153" ht="15.0" customHeight="1">
      <c r="A153" s="13">
        <v>114.0</v>
      </c>
      <c r="B153" s="134">
        <f t="shared" ref="B153:D153" si="237">RAND()</f>
        <v>0.402734089</v>
      </c>
      <c r="C153" s="134">
        <f t="shared" si="237"/>
        <v>0.0196912048</v>
      </c>
      <c r="D153" s="134">
        <f t="shared" si="237"/>
        <v>0.2040527341</v>
      </c>
      <c r="F153" s="134">
        <f t="shared" ref="F153:H153" si="238">RAND()</f>
        <v>0.7902778386</v>
      </c>
      <c r="G153" s="134">
        <f t="shared" si="238"/>
        <v>0.8927961165</v>
      </c>
      <c r="H153" s="134">
        <f t="shared" si="238"/>
        <v>0.04220488473</v>
      </c>
      <c r="J153" s="135">
        <f t="shared" si="8"/>
        <v>118134154.4</v>
      </c>
      <c r="K153" s="136">
        <f>IF(J153&gt;0,MIN(99,$B$12*Q153/(J153*12*(1-Inputs!$H$16))),99)</f>
        <v>4.231369</v>
      </c>
      <c r="L153" s="134">
        <f t="shared" si="9"/>
        <v>0.9878557845</v>
      </c>
      <c r="M153" s="134">
        <f t="shared" si="10"/>
        <v>0.9939303916</v>
      </c>
      <c r="N153" s="134">
        <f t="shared" si="11"/>
        <v>0.9823754987</v>
      </c>
      <c r="O153" s="134">
        <f t="shared" si="12"/>
        <v>1.054134337</v>
      </c>
      <c r="P153" s="134">
        <f t="shared" si="13"/>
        <v>1.551416332</v>
      </c>
      <c r="Q153" s="134">
        <f t="shared" si="14"/>
        <v>0.918808191</v>
      </c>
    </row>
    <row r="154" ht="15.0" customHeight="1">
      <c r="A154" s="13">
        <v>115.0</v>
      </c>
      <c r="B154" s="134">
        <f t="shared" ref="B154:D154" si="239">RAND()</f>
        <v>0.3435168511</v>
      </c>
      <c r="C154" s="134">
        <f t="shared" si="239"/>
        <v>0.2630528606</v>
      </c>
      <c r="D154" s="134">
        <f t="shared" si="239"/>
        <v>0.6999693161</v>
      </c>
      <c r="F154" s="134">
        <f t="shared" ref="F154:H154" si="240">RAND()</f>
        <v>0.245104751</v>
      </c>
      <c r="G154" s="134">
        <f t="shared" si="240"/>
        <v>0.9545410865</v>
      </c>
      <c r="H154" s="134">
        <f t="shared" si="240"/>
        <v>0.3148487528</v>
      </c>
      <c r="J154" s="135">
        <f t="shared" si="8"/>
        <v>102025677.3</v>
      </c>
      <c r="K154" s="136">
        <f>IF(J154&gt;0,MIN(99,$B$12*Q154/(J154*12*(1-Inputs!$H$16))),99)</f>
        <v>5.467272343</v>
      </c>
      <c r="L154" s="134">
        <f t="shared" si="9"/>
        <v>0.9715849581</v>
      </c>
      <c r="M154" s="134">
        <f t="shared" si="10"/>
        <v>0.986651006</v>
      </c>
      <c r="N154" s="134">
        <f t="shared" si="11"/>
        <v>1.026299114</v>
      </c>
      <c r="O154" s="134">
        <f t="shared" si="12"/>
        <v>1.002363959</v>
      </c>
      <c r="P154" s="134">
        <f t="shared" si="13"/>
        <v>1.660019874</v>
      </c>
      <c r="Q154" s="134">
        <f t="shared" si="14"/>
        <v>1.025294614</v>
      </c>
    </row>
    <row r="155" ht="15.0" customHeight="1">
      <c r="A155" s="13">
        <v>116.0</v>
      </c>
      <c r="B155" s="134">
        <f t="shared" ref="B155:D155" si="241">RAND()</f>
        <v>0.290089467</v>
      </c>
      <c r="C155" s="134">
        <f t="shared" si="241"/>
        <v>0.504693024</v>
      </c>
      <c r="D155" s="134">
        <f t="shared" si="241"/>
        <v>0.3489588289</v>
      </c>
      <c r="F155" s="134">
        <f t="shared" ref="F155:H155" si="242">RAND()</f>
        <v>0.6766181341</v>
      </c>
      <c r="G155" s="134">
        <f t="shared" si="242"/>
        <v>0.3086918097</v>
      </c>
      <c r="H155" s="134">
        <f t="shared" si="242"/>
        <v>0.4120732231</v>
      </c>
      <c r="J155" s="135">
        <f t="shared" si="8"/>
        <v>113276081.5</v>
      </c>
      <c r="K155" s="136">
        <f>IF(J155&gt;0,MIN(99,$B$12*Q155/(J155*12*(1-Inputs!$H$16))),99)</f>
        <v>5.079359152</v>
      </c>
      <c r="L155" s="134">
        <f t="shared" si="9"/>
        <v>0.9556517784</v>
      </c>
      <c r="M155" s="134">
        <f t="shared" si="10"/>
        <v>0.9795226797</v>
      </c>
      <c r="N155" s="134">
        <f t="shared" si="11"/>
        <v>0.9957437854</v>
      </c>
      <c r="O155" s="134">
        <f t="shared" si="12"/>
        <v>1.04018514</v>
      </c>
      <c r="P155" s="134">
        <f t="shared" si="13"/>
        <v>1.072125377</v>
      </c>
      <c r="Q155" s="134">
        <f t="shared" si="14"/>
        <v>1.057585823</v>
      </c>
    </row>
    <row r="156" ht="15.0" customHeight="1">
      <c r="A156" s="13">
        <v>117.0</v>
      </c>
      <c r="B156" s="134">
        <f t="shared" ref="B156:D156" si="243">RAND()</f>
        <v>0.6120262709</v>
      </c>
      <c r="C156" s="134">
        <f t="shared" si="243"/>
        <v>0.1044684297</v>
      </c>
      <c r="D156" s="134">
        <f t="shared" si="243"/>
        <v>0.3031571028</v>
      </c>
      <c r="F156" s="134">
        <f t="shared" ref="F156:H156" si="244">RAND()</f>
        <v>0.4014440293</v>
      </c>
      <c r="G156" s="134">
        <f t="shared" si="244"/>
        <v>0.2631666376</v>
      </c>
      <c r="H156" s="134">
        <f t="shared" si="244"/>
        <v>0.3462216948</v>
      </c>
      <c r="J156" s="135">
        <f t="shared" si="8"/>
        <v>182306770.4</v>
      </c>
      <c r="K156" s="136">
        <f>IF(J156&gt;0,MIN(99,$B$12*Q156/(J156*12*(1-Inputs!$H$16))),99)</f>
        <v>3.089990571</v>
      </c>
      <c r="L156" s="134">
        <f t="shared" si="9"/>
        <v>1.04403163</v>
      </c>
      <c r="M156" s="134">
        <f t="shared" si="10"/>
        <v>1.018840882</v>
      </c>
      <c r="N156" s="134">
        <f t="shared" si="11"/>
        <v>0.9918844121</v>
      </c>
      <c r="O156" s="134">
        <f t="shared" si="12"/>
        <v>1.014356539</v>
      </c>
      <c r="P156" s="134">
        <f t="shared" si="13"/>
        <v>1.046507124</v>
      </c>
      <c r="Q156" s="134">
        <f t="shared" si="14"/>
        <v>1.035448332</v>
      </c>
    </row>
    <row r="157" ht="15.0" customHeight="1">
      <c r="A157" s="13">
        <v>118.0</v>
      </c>
      <c r="B157" s="134">
        <f t="shared" ref="B157:D157" si="245">RAND()</f>
        <v>0.05773667077</v>
      </c>
      <c r="C157" s="134">
        <f t="shared" si="245"/>
        <v>0.1937145756</v>
      </c>
      <c r="D157" s="134">
        <f t="shared" si="245"/>
        <v>0.7692504223</v>
      </c>
      <c r="F157" s="134">
        <f t="shared" ref="F157:H157" si="246">RAND()</f>
        <v>0.7653954156</v>
      </c>
      <c r="G157" s="134">
        <f t="shared" si="246"/>
        <v>0.6014740776</v>
      </c>
      <c r="H157" s="134">
        <f t="shared" si="246"/>
        <v>0.4584457265</v>
      </c>
      <c r="J157" s="135">
        <f t="shared" si="8"/>
        <v>31281872.66</v>
      </c>
      <c r="K157" s="136">
        <f>IF(J157&gt;0,MIN(99,$B$12*Q157/(J157*12*(1-Inputs!$H$16))),99)</f>
        <v>18.67730755</v>
      </c>
      <c r="L157" s="134">
        <f t="shared" si="9"/>
        <v>0.8555938922</v>
      </c>
      <c r="M157" s="134">
        <f t="shared" si="10"/>
        <v>0.9347579014</v>
      </c>
      <c r="N157" s="134">
        <f t="shared" si="11"/>
        <v>1.034183487</v>
      </c>
      <c r="O157" s="134">
        <f t="shared" si="12"/>
        <v>1.050807361</v>
      </c>
      <c r="P157" s="134">
        <f t="shared" si="13"/>
        <v>1.262461588</v>
      </c>
      <c r="Q157" s="134">
        <f t="shared" si="14"/>
        <v>1.073928815</v>
      </c>
    </row>
    <row r="158" ht="15.0" customHeight="1">
      <c r="A158" s="13">
        <v>119.0</v>
      </c>
      <c r="B158" s="134">
        <f t="shared" ref="B158:D158" si="247">RAND()</f>
        <v>0.4305567787</v>
      </c>
      <c r="C158" s="134">
        <f t="shared" si="247"/>
        <v>0.4906742258</v>
      </c>
      <c r="D158" s="134">
        <f t="shared" si="247"/>
        <v>0.6567635877</v>
      </c>
      <c r="F158" s="134">
        <f t="shared" ref="F158:H158" si="248">RAND()</f>
        <v>0.5470324452</v>
      </c>
      <c r="G158" s="134">
        <f t="shared" si="248"/>
        <v>0.1218510059</v>
      </c>
      <c r="H158" s="134">
        <f t="shared" si="248"/>
        <v>0.4418745727</v>
      </c>
      <c r="J158" s="135">
        <f t="shared" si="8"/>
        <v>141367063.3</v>
      </c>
      <c r="K158" s="136">
        <f>IF(J158&gt;0,MIN(99,$B$12*Q158/(J158*12*(1-Inputs!$H$16))),99)</f>
        <v>4.110163197</v>
      </c>
      <c r="L158" s="134">
        <f t="shared" si="9"/>
        <v>0.9950855234</v>
      </c>
      <c r="M158" s="134">
        <f t="shared" si="10"/>
        <v>0.9971648958</v>
      </c>
      <c r="N158" s="134">
        <f t="shared" si="11"/>
        <v>1.021839782</v>
      </c>
      <c r="O158" s="134">
        <f t="shared" si="12"/>
        <v>1.027036077</v>
      </c>
      <c r="P158" s="134">
        <f t="shared" si="13"/>
        <v>0.9685259026</v>
      </c>
      <c r="Q158" s="134">
        <f t="shared" si="14"/>
        <v>1.068011143</v>
      </c>
    </row>
    <row r="159" ht="15.0" customHeight="1">
      <c r="A159" s="13">
        <v>120.0</v>
      </c>
      <c r="B159" s="134">
        <f t="shared" ref="B159:D159" si="249">RAND()</f>
        <v>0.6317834692</v>
      </c>
      <c r="C159" s="134">
        <f t="shared" si="249"/>
        <v>0.5936258069</v>
      </c>
      <c r="D159" s="134">
        <f t="shared" si="249"/>
        <v>0.1102095378</v>
      </c>
      <c r="F159" s="134">
        <f t="shared" ref="F159:H159" si="250">RAND()</f>
        <v>0.7081847992</v>
      </c>
      <c r="G159" s="134">
        <f t="shared" si="250"/>
        <v>0.8713447559</v>
      </c>
      <c r="H159" s="134">
        <f t="shared" si="250"/>
        <v>0.4369391459</v>
      </c>
      <c r="J159" s="135">
        <f t="shared" si="8"/>
        <v>168592066.6</v>
      </c>
      <c r="K159" s="136">
        <f>IF(J159&gt;0,MIN(99,$B$12*Q159/(J159*12*(1-Inputs!$H$16))),99)</f>
        <v>3.440803118</v>
      </c>
      <c r="L159" s="134">
        <f t="shared" si="9"/>
        <v>1.049989394</v>
      </c>
      <c r="M159" s="134">
        <f t="shared" si="10"/>
        <v>1.021475792</v>
      </c>
      <c r="N159" s="134">
        <f t="shared" si="11"/>
        <v>0.9708596248</v>
      </c>
      <c r="O159" s="134">
        <f t="shared" si="12"/>
        <v>1.043771902</v>
      </c>
      <c r="P159" s="134">
        <f t="shared" si="13"/>
        <v>1.521685483</v>
      </c>
      <c r="Q159" s="134">
        <f t="shared" si="14"/>
        <v>1.066265699</v>
      </c>
    </row>
    <row r="160" ht="15.0" customHeight="1">
      <c r="A160" s="13">
        <v>121.0</v>
      </c>
      <c r="B160" s="134">
        <f t="shared" ref="B160:D160" si="251">RAND()</f>
        <v>0.8567050065</v>
      </c>
      <c r="C160" s="134">
        <f t="shared" si="251"/>
        <v>0.06556823476</v>
      </c>
      <c r="D160" s="134">
        <f t="shared" si="251"/>
        <v>0.7216302833</v>
      </c>
      <c r="F160" s="134">
        <f t="shared" ref="F160:H160" si="252">RAND()</f>
        <v>0.456468733</v>
      </c>
      <c r="G160" s="134">
        <f t="shared" si="252"/>
        <v>0.5314103333</v>
      </c>
      <c r="H160" s="134">
        <f t="shared" si="252"/>
        <v>0.01345414552</v>
      </c>
      <c r="J160" s="135">
        <f t="shared" si="8"/>
        <v>235311298.1</v>
      </c>
      <c r="K160" s="136">
        <f>IF(J160&gt;0,MIN(99,$B$12*Q160/(J160*12*(1-Inputs!$H$16))),99)</f>
        <v>2.063842942</v>
      </c>
      <c r="L160" s="134">
        <f t="shared" si="9"/>
        <v>1.134632405</v>
      </c>
      <c r="M160" s="134">
        <f t="shared" si="10"/>
        <v>1.058910436</v>
      </c>
      <c r="N160" s="134">
        <f t="shared" si="11"/>
        <v>1.028655892</v>
      </c>
      <c r="O160" s="134">
        <f t="shared" si="12"/>
        <v>1.018945053</v>
      </c>
      <c r="P160" s="134">
        <f t="shared" si="13"/>
        <v>1.211828023</v>
      </c>
      <c r="Q160" s="134">
        <f t="shared" si="14"/>
        <v>0.8926637634</v>
      </c>
    </row>
    <row r="161" ht="15.0" customHeight="1">
      <c r="A161" s="13">
        <v>122.0</v>
      </c>
      <c r="B161" s="134">
        <f t="shared" ref="B161:D161" si="253">RAND()</f>
        <v>0.680145735</v>
      </c>
      <c r="C161" s="134">
        <f t="shared" si="253"/>
        <v>0.3883307246</v>
      </c>
      <c r="D161" s="134">
        <f t="shared" si="253"/>
        <v>0.5769797515</v>
      </c>
      <c r="F161" s="134">
        <f t="shared" ref="F161:H161" si="254">RAND()</f>
        <v>0.5835494959</v>
      </c>
      <c r="G161" s="134">
        <f t="shared" si="254"/>
        <v>0.6205303875</v>
      </c>
      <c r="H161" s="134">
        <f t="shared" si="254"/>
        <v>0.6111676825</v>
      </c>
      <c r="J161" s="135">
        <f t="shared" si="8"/>
        <v>181533159.2</v>
      </c>
      <c r="K161" s="136">
        <f>IF(J161&gt;0,MIN(99,$B$12*Q161/(J161*12*(1-Inputs!$H$16))),99)</f>
        <v>3.396777889</v>
      </c>
      <c r="L161" s="134">
        <f t="shared" si="9"/>
        <v>1.065286001</v>
      </c>
      <c r="M161" s="134">
        <f t="shared" si="10"/>
        <v>1.028240946</v>
      </c>
      <c r="N161" s="134">
        <f t="shared" si="11"/>
        <v>1.014288902</v>
      </c>
      <c r="O161" s="134">
        <f t="shared" si="12"/>
        <v>1.030525993</v>
      </c>
      <c r="P161" s="134">
        <f t="shared" si="13"/>
        <v>1.276989767</v>
      </c>
      <c r="Q161" s="134">
        <f t="shared" si="14"/>
        <v>1.133421892</v>
      </c>
    </row>
    <row r="162" ht="15.0" customHeight="1">
      <c r="A162" s="13">
        <v>123.0</v>
      </c>
      <c r="B162" s="134">
        <f t="shared" ref="B162:D162" si="255">RAND()</f>
        <v>0.5968307089</v>
      </c>
      <c r="C162" s="134">
        <f t="shared" si="255"/>
        <v>0.8035033734</v>
      </c>
      <c r="D162" s="134">
        <f t="shared" si="255"/>
        <v>0.3288942931</v>
      </c>
      <c r="F162" s="134">
        <f t="shared" ref="F162:H162" si="256">RAND()</f>
        <v>0.4711749286</v>
      </c>
      <c r="G162" s="134">
        <f t="shared" si="256"/>
        <v>0.8372135088</v>
      </c>
      <c r="H162" s="134">
        <f t="shared" si="256"/>
        <v>0.5390824628</v>
      </c>
      <c r="J162" s="135">
        <f t="shared" si="8"/>
        <v>161205725.8</v>
      </c>
      <c r="K162" s="136">
        <f>IF(J162&gt;0,MIN(99,$B$12*Q162/(J162*12*(1-Inputs!$H$16))),99)</f>
        <v>3.726183706</v>
      </c>
      <c r="L162" s="134">
        <f t="shared" si="9"/>
        <v>1.039551964</v>
      </c>
      <c r="M162" s="134">
        <f t="shared" si="10"/>
        <v>1.016859682</v>
      </c>
      <c r="N162" s="134">
        <f t="shared" si="11"/>
        <v>0.9940863449</v>
      </c>
      <c r="O162" s="134">
        <f t="shared" si="12"/>
        <v>1.020210311</v>
      </c>
      <c r="P162" s="134">
        <f t="shared" si="13"/>
        <v>1.479100836</v>
      </c>
      <c r="Q162" s="134">
        <f t="shared" si="14"/>
        <v>1.104112195</v>
      </c>
    </row>
    <row r="163" ht="15.0" customHeight="1">
      <c r="A163" s="13">
        <v>124.0</v>
      </c>
      <c r="B163" s="134">
        <f t="shared" ref="B163:D163" si="257">RAND()</f>
        <v>0.8970693</v>
      </c>
      <c r="C163" s="134">
        <f t="shared" si="257"/>
        <v>0.4890150733</v>
      </c>
      <c r="D163" s="134">
        <f t="shared" si="257"/>
        <v>0.2695254495</v>
      </c>
      <c r="F163" s="134">
        <f t="shared" ref="F163:H163" si="258">RAND()</f>
        <v>0.1033241355</v>
      </c>
      <c r="G163" s="134">
        <f t="shared" si="258"/>
        <v>0.6257549129</v>
      </c>
      <c r="H163" s="134">
        <f t="shared" si="258"/>
        <v>0.9351462364</v>
      </c>
      <c r="J163" s="135">
        <f t="shared" si="8"/>
        <v>264085041.2</v>
      </c>
      <c r="K163" s="136">
        <f>IF(J163&gt;0,MIN(99,$B$12*Q163/(J163*12*(1-Inputs!$H$16))),99)</f>
        <v>2.737426506</v>
      </c>
      <c r="L163" s="134">
        <f t="shared" si="9"/>
        <v>1.156033739</v>
      </c>
      <c r="M163" s="134">
        <f t="shared" si="10"/>
        <v>1.068375497</v>
      </c>
      <c r="N163" s="134">
        <f t="shared" si="11"/>
        <v>0.9888609274</v>
      </c>
      <c r="O163" s="134">
        <f t="shared" si="12"/>
        <v>0.9909018202</v>
      </c>
      <c r="P163" s="134">
        <f t="shared" si="13"/>
        <v>1.281036218</v>
      </c>
      <c r="Q163" s="134">
        <f t="shared" si="14"/>
        <v>1.328785105</v>
      </c>
    </row>
    <row r="164" ht="15.0" customHeight="1">
      <c r="A164" s="13">
        <v>125.0</v>
      </c>
      <c r="B164" s="134">
        <f t="shared" ref="B164:D164" si="259">RAND()</f>
        <v>0.09027202614</v>
      </c>
      <c r="C164" s="134">
        <f t="shared" si="259"/>
        <v>0.6280547278</v>
      </c>
      <c r="D164" s="134">
        <f t="shared" si="259"/>
        <v>0.4303267058</v>
      </c>
      <c r="F164" s="134">
        <f t="shared" ref="F164:H164" si="260">RAND()</f>
        <v>0.7041550532</v>
      </c>
      <c r="G164" s="134">
        <f t="shared" si="260"/>
        <v>0.2026656949</v>
      </c>
      <c r="H164" s="134">
        <f t="shared" si="260"/>
        <v>0.3769495581</v>
      </c>
      <c r="J164" s="135">
        <f t="shared" si="8"/>
        <v>60656584.36</v>
      </c>
      <c r="K164" s="136">
        <f>IF(J164&gt;0,MIN(99,$B$12*Q164/(J164*12*(1-Inputs!$H$16))),99)</f>
        <v>9.378482063</v>
      </c>
      <c r="L164" s="134">
        <f t="shared" si="9"/>
        <v>0.8757750115</v>
      </c>
      <c r="M164" s="134">
        <f t="shared" si="10"/>
        <v>0.9437867082</v>
      </c>
      <c r="N164" s="134">
        <f t="shared" si="11"/>
        <v>1.002077741</v>
      </c>
      <c r="O164" s="134">
        <f t="shared" si="12"/>
        <v>1.043303569</v>
      </c>
      <c r="P164" s="134">
        <f t="shared" si="13"/>
        <v>1.013656883</v>
      </c>
      <c r="Q164" s="134">
        <f t="shared" si="14"/>
        <v>1.045632286</v>
      </c>
    </row>
    <row r="165" ht="15.0" customHeight="1">
      <c r="A165" s="13">
        <v>126.0</v>
      </c>
      <c r="B165" s="134">
        <f t="shared" ref="B165:D165" si="261">RAND()</f>
        <v>0.00522196143</v>
      </c>
      <c r="C165" s="134">
        <f t="shared" si="261"/>
        <v>0.4921011969</v>
      </c>
      <c r="D165" s="134">
        <f t="shared" si="261"/>
        <v>0.6526056749</v>
      </c>
      <c r="F165" s="134">
        <f t="shared" ref="F165:H165" si="262">RAND()</f>
        <v>0.4879222175</v>
      </c>
      <c r="G165" s="134">
        <f t="shared" si="262"/>
        <v>0.8399777211</v>
      </c>
      <c r="H165" s="134">
        <f t="shared" si="262"/>
        <v>0.220965188</v>
      </c>
      <c r="J165" s="135">
        <f t="shared" si="8"/>
        <v>-4121153.591</v>
      </c>
      <c r="K165" s="136">
        <f>IF(J165&gt;0,MIN(99,$B$12*Q165/(J165*12*(1-Inputs!$H$16))),99)</f>
        <v>99</v>
      </c>
      <c r="L165" s="134">
        <f t="shared" si="9"/>
        <v>0.7992377941</v>
      </c>
      <c r="M165" s="134">
        <f t="shared" si="10"/>
        <v>0.9095448138</v>
      </c>
      <c r="N165" s="134">
        <f t="shared" si="11"/>
        <v>1.021425846</v>
      </c>
      <c r="O165" s="134">
        <f t="shared" si="12"/>
        <v>1.021672795</v>
      </c>
      <c r="P165" s="134">
        <f t="shared" si="13"/>
        <v>1.482372216</v>
      </c>
      <c r="Q165" s="134">
        <f t="shared" si="14"/>
        <v>0.9961577323</v>
      </c>
    </row>
    <row r="166" ht="15.0" customHeight="1">
      <c r="A166" s="13">
        <v>127.0</v>
      </c>
      <c r="B166" s="134">
        <f t="shared" ref="B166:D166" si="263">RAND()</f>
        <v>0.7625307037</v>
      </c>
      <c r="C166" s="134">
        <f t="shared" si="263"/>
        <v>0.4146204113</v>
      </c>
      <c r="D166" s="134">
        <f t="shared" si="263"/>
        <v>0.006511321861</v>
      </c>
      <c r="F166" s="134">
        <f t="shared" ref="F166:H166" si="264">RAND()</f>
        <v>0.0365254417</v>
      </c>
      <c r="G166" s="134">
        <f t="shared" si="264"/>
        <v>0.9191000586</v>
      </c>
      <c r="H166" s="134">
        <f t="shared" si="264"/>
        <v>0.6714380113</v>
      </c>
      <c r="J166" s="135">
        <f t="shared" si="8"/>
        <v>215374706.2</v>
      </c>
      <c r="K166" s="136">
        <f>IF(J166&gt;0,MIN(99,$B$12*Q166/(J166*12*(1-Inputs!$H$16))),99)</f>
        <v>2.93041629</v>
      </c>
      <c r="L166" s="134">
        <f t="shared" si="9"/>
        <v>1.094301278</v>
      </c>
      <c r="M166" s="134">
        <f t="shared" si="10"/>
        <v>1.041073388</v>
      </c>
      <c r="N166" s="134">
        <f t="shared" si="11"/>
        <v>0.9466932553</v>
      </c>
      <c r="O166" s="134">
        <f t="shared" si="12"/>
        <v>0.9823810715</v>
      </c>
      <c r="P166" s="134">
        <f t="shared" si="13"/>
        <v>1.592297171</v>
      </c>
      <c r="Q166" s="134">
        <f t="shared" si="14"/>
        <v>1.16009218</v>
      </c>
    </row>
    <row r="167" ht="15.0" customHeight="1">
      <c r="A167" s="13">
        <v>128.0</v>
      </c>
      <c r="B167" s="134">
        <f t="shared" ref="B167:D167" si="265">RAND()</f>
        <v>0.6562778255</v>
      </c>
      <c r="C167" s="134">
        <f t="shared" si="265"/>
        <v>0.647661312</v>
      </c>
      <c r="D167" s="134">
        <f t="shared" si="265"/>
        <v>0.764444586</v>
      </c>
      <c r="F167" s="134">
        <f t="shared" ref="F167:H167" si="266">RAND()</f>
        <v>0.006881017672</v>
      </c>
      <c r="G167" s="134">
        <f t="shared" si="266"/>
        <v>0.9162454644</v>
      </c>
      <c r="H167" s="134">
        <f t="shared" si="266"/>
        <v>0.4978202975</v>
      </c>
      <c r="J167" s="135">
        <f t="shared" si="8"/>
        <v>168929502</v>
      </c>
      <c r="K167" s="136">
        <f>IF(J167&gt;0,MIN(99,$B$12*Q167/(J167*12*(1-Inputs!$H$16))),99)</f>
        <v>3.505097604</v>
      </c>
      <c r="L167" s="134">
        <f t="shared" si="9"/>
        <v>1.05760221</v>
      </c>
      <c r="M167" s="134">
        <f t="shared" si="10"/>
        <v>1.024842674</v>
      </c>
      <c r="N167" s="134">
        <f t="shared" si="11"/>
        <v>1.033601225</v>
      </c>
      <c r="O167" s="134">
        <f t="shared" si="12"/>
        <v>0.9753091678</v>
      </c>
      <c r="P167" s="134">
        <f t="shared" si="13"/>
        <v>1.587566723</v>
      </c>
      <c r="Q167" s="134">
        <f t="shared" si="14"/>
        <v>1.088363826</v>
      </c>
    </row>
    <row r="168" ht="15.0" customHeight="1">
      <c r="A168" s="13">
        <v>129.0</v>
      </c>
      <c r="B168" s="134">
        <f t="shared" ref="B168:D168" si="267">RAND()</f>
        <v>0.1040053583</v>
      </c>
      <c r="C168" s="134">
        <f t="shared" si="267"/>
        <v>0.7083153446</v>
      </c>
      <c r="D168" s="134">
        <f t="shared" si="267"/>
        <v>0.9448683457</v>
      </c>
      <c r="F168" s="134">
        <f t="shared" ref="F168:H168" si="268">RAND()</f>
        <v>0.3165303324</v>
      </c>
      <c r="G168" s="134">
        <f t="shared" si="268"/>
        <v>0.9921646367</v>
      </c>
      <c r="H168" s="134">
        <f t="shared" si="268"/>
        <v>0.5644032483</v>
      </c>
      <c r="J168" s="135">
        <f t="shared" si="8"/>
        <v>30899890.25</v>
      </c>
      <c r="K168" s="136">
        <f>IF(J168&gt;0,MIN(99,$B$12*Q168/(J168*12*(1-Inputs!$H$16))),99)</f>
        <v>19.61595451</v>
      </c>
      <c r="L168" s="134">
        <f t="shared" si="9"/>
        <v>0.8831693247</v>
      </c>
      <c r="M168" s="134">
        <f t="shared" si="10"/>
        <v>0.9470948412</v>
      </c>
      <c r="N168" s="134">
        <f t="shared" si="11"/>
        <v>1.062914851</v>
      </c>
      <c r="O168" s="134">
        <f t="shared" si="12"/>
        <v>1.007671472</v>
      </c>
      <c r="P168" s="134">
        <f t="shared" si="13"/>
        <v>1.778593125</v>
      </c>
      <c r="Q168" s="134">
        <f t="shared" si="14"/>
        <v>1.114127423</v>
      </c>
    </row>
    <row r="169" ht="15.0" customHeight="1">
      <c r="A169" s="13">
        <v>130.0</v>
      </c>
      <c r="B169" s="134">
        <f t="shared" ref="B169:D169" si="269">RAND()</f>
        <v>0.5111697603</v>
      </c>
      <c r="C169" s="134">
        <f t="shared" si="269"/>
        <v>0.1772805901</v>
      </c>
      <c r="D169" s="134">
        <f t="shared" si="269"/>
        <v>0.1556317288</v>
      </c>
      <c r="F169" s="134">
        <f t="shared" ref="F169:H169" si="270">RAND()</f>
        <v>0.2359467329</v>
      </c>
      <c r="G169" s="134">
        <f t="shared" si="270"/>
        <v>0.6844548533</v>
      </c>
      <c r="H169" s="134">
        <f t="shared" si="270"/>
        <v>0.704917141</v>
      </c>
      <c r="J169" s="135">
        <f t="shared" si="8"/>
        <v>156455847.3</v>
      </c>
      <c r="K169" s="136">
        <f>IF(J169&gt;0,MIN(99,$B$12*Q169/(J169*12*(1-Inputs!$H$16))),99)</f>
        <v>4.089188961</v>
      </c>
      <c r="L169" s="134">
        <f t="shared" si="9"/>
        <v>1.015743066</v>
      </c>
      <c r="M169" s="134">
        <f t="shared" si="10"/>
        <v>1.006329839</v>
      </c>
      <c r="N169" s="134">
        <f t="shared" si="11"/>
        <v>0.9768725863</v>
      </c>
      <c r="O169" s="134">
        <f t="shared" si="12"/>
        <v>1.001701941</v>
      </c>
      <c r="P169" s="134">
        <f t="shared" si="13"/>
        <v>1.328602773</v>
      </c>
      <c r="Q169" s="134">
        <f t="shared" si="14"/>
        <v>1.175973296</v>
      </c>
    </row>
    <row r="170" ht="15.0" customHeight="1">
      <c r="A170" s="13">
        <v>131.0</v>
      </c>
      <c r="B170" s="134">
        <f t="shared" ref="B170:D170" si="271">RAND()</f>
        <v>0.4079182002</v>
      </c>
      <c r="C170" s="134">
        <f t="shared" si="271"/>
        <v>0.569248639</v>
      </c>
      <c r="D170" s="134">
        <f t="shared" si="271"/>
        <v>0.8243479328</v>
      </c>
      <c r="F170" s="134">
        <f t="shared" ref="F170:H170" si="272">RAND()</f>
        <v>0.98139097</v>
      </c>
      <c r="G170" s="134">
        <f t="shared" si="272"/>
        <v>0.07986536679</v>
      </c>
      <c r="H170" s="134">
        <f t="shared" si="272"/>
        <v>0.02537245294</v>
      </c>
      <c r="J170" s="135">
        <f t="shared" si="8"/>
        <v>122912000.7</v>
      </c>
      <c r="K170" s="136">
        <f>IF(J170&gt;0,MIN(99,$B$12*Q170/(J170*12*(1-Inputs!$H$16))),99)</f>
        <v>4.007178539</v>
      </c>
      <c r="L170" s="134">
        <f t="shared" si="9"/>
        <v>0.989221375</v>
      </c>
      <c r="M170" s="134">
        <f t="shared" si="10"/>
        <v>0.9945413415</v>
      </c>
      <c r="N170" s="134">
        <f t="shared" si="11"/>
        <v>1.041350495</v>
      </c>
      <c r="O170" s="134">
        <f t="shared" si="12"/>
        <v>1.094646652</v>
      </c>
      <c r="P170" s="134">
        <f t="shared" si="13"/>
        <v>0.9392335232</v>
      </c>
      <c r="Q170" s="134">
        <f t="shared" si="14"/>
        <v>0.9053186392</v>
      </c>
    </row>
    <row r="171" ht="15.0" customHeight="1">
      <c r="A171" s="13">
        <v>132.0</v>
      </c>
      <c r="B171" s="134">
        <f t="shared" ref="B171:D171" si="273">RAND()</f>
        <v>0.6642155898</v>
      </c>
      <c r="C171" s="134">
        <f t="shared" si="273"/>
        <v>0.6626589406</v>
      </c>
      <c r="D171" s="134">
        <f t="shared" si="273"/>
        <v>0.6969760676</v>
      </c>
      <c r="F171" s="134">
        <f t="shared" ref="F171:H171" si="274">RAND()</f>
        <v>0.7597092818</v>
      </c>
      <c r="G171" s="134">
        <f t="shared" si="274"/>
        <v>0.385674037</v>
      </c>
      <c r="H171" s="134">
        <f t="shared" si="274"/>
        <v>0.3963866974</v>
      </c>
      <c r="J171" s="135">
        <f t="shared" si="8"/>
        <v>177804466.8</v>
      </c>
      <c r="K171" s="136">
        <f>IF(J171&gt;0,MIN(99,$B$12*Q171/(J171*12*(1-Inputs!$H$16))),99)</f>
        <v>3.219503834</v>
      </c>
      <c r="L171" s="134">
        <f t="shared" si="9"/>
        <v>1.060127116</v>
      </c>
      <c r="M171" s="134">
        <f t="shared" si="10"/>
        <v>1.025959352</v>
      </c>
      <c r="N171" s="134">
        <f t="shared" si="11"/>
        <v>1.025980222</v>
      </c>
      <c r="O171" s="134">
        <f t="shared" si="12"/>
        <v>1.050072231</v>
      </c>
      <c r="P171" s="134">
        <f t="shared" si="13"/>
        <v>1.117446123</v>
      </c>
      <c r="Q171" s="134">
        <f t="shared" si="14"/>
        <v>1.052204355</v>
      </c>
    </row>
    <row r="172" ht="15.0" customHeight="1">
      <c r="A172" s="13">
        <v>133.0</v>
      </c>
      <c r="B172" s="134">
        <f t="shared" ref="B172:D172" si="275">RAND()</f>
        <v>0.2758641657</v>
      </c>
      <c r="C172" s="134">
        <f t="shared" si="275"/>
        <v>0.2801545831</v>
      </c>
      <c r="D172" s="134">
        <f t="shared" si="275"/>
        <v>0.8052191018</v>
      </c>
      <c r="F172" s="134">
        <f t="shared" ref="F172:H172" si="276">RAND()</f>
        <v>0.4132832031</v>
      </c>
      <c r="G172" s="134">
        <f t="shared" si="276"/>
        <v>0.6683435595</v>
      </c>
      <c r="H172" s="134">
        <f t="shared" si="276"/>
        <v>0.03593788188</v>
      </c>
      <c r="J172" s="135">
        <f t="shared" si="8"/>
        <v>96364016.02</v>
      </c>
      <c r="K172" s="136">
        <f>IF(J172&gt;0,MIN(99,$B$12*Q172/(J172*12*(1-Inputs!$H$16))),99)</f>
        <v>5.161120568</v>
      </c>
      <c r="L172" s="134">
        <f t="shared" si="9"/>
        <v>0.9511667354</v>
      </c>
      <c r="M172" s="134">
        <f t="shared" si="10"/>
        <v>0.9775161216</v>
      </c>
      <c r="N172" s="134">
        <f t="shared" si="11"/>
        <v>1.038749393</v>
      </c>
      <c r="O172" s="134">
        <f t="shared" si="12"/>
        <v>1.015325387</v>
      </c>
      <c r="P172" s="134">
        <f t="shared" si="13"/>
        <v>1.315135718</v>
      </c>
      <c r="Q172" s="134">
        <f t="shared" si="14"/>
        <v>0.9141708672</v>
      </c>
    </row>
    <row r="173" ht="15.0" customHeight="1">
      <c r="A173" s="13">
        <v>134.0</v>
      </c>
      <c r="B173" s="134">
        <f t="shared" ref="B173:D173" si="277">RAND()</f>
        <v>0.8749190759</v>
      </c>
      <c r="C173" s="134">
        <f t="shared" si="277"/>
        <v>0.7008839464</v>
      </c>
      <c r="D173" s="134">
        <f t="shared" si="277"/>
        <v>0.5603546119</v>
      </c>
      <c r="F173" s="134">
        <f t="shared" ref="F173:H173" si="278">RAND()</f>
        <v>0.4204132873</v>
      </c>
      <c r="G173" s="134">
        <f t="shared" si="278"/>
        <v>0.5622108664</v>
      </c>
      <c r="H173" s="134">
        <f t="shared" si="278"/>
        <v>0.4674386375</v>
      </c>
      <c r="J173" s="135">
        <f t="shared" si="8"/>
        <v>246108691.4</v>
      </c>
      <c r="K173" s="136">
        <f>IF(J173&gt;0,MIN(99,$B$12*Q173/(J173*12*(1-Inputs!$H$16))),99)</f>
        <v>2.381179373</v>
      </c>
      <c r="L173" s="134">
        <f t="shared" si="9"/>
        <v>1.143856464</v>
      </c>
      <c r="M173" s="134">
        <f t="shared" si="10"/>
        <v>1.062989914</v>
      </c>
      <c r="N173" s="134">
        <f t="shared" si="11"/>
        <v>1.012807943</v>
      </c>
      <c r="O173" s="134">
        <f t="shared" si="12"/>
        <v>1.015913592</v>
      </c>
      <c r="P173" s="134">
        <f t="shared" si="13"/>
        <v>1.233584794</v>
      </c>
      <c r="Q173" s="134">
        <f t="shared" si="14"/>
        <v>1.077178172</v>
      </c>
    </row>
    <row r="174" ht="15.0" customHeight="1">
      <c r="A174" s="13">
        <v>135.0</v>
      </c>
      <c r="B174" s="134">
        <f t="shared" ref="B174:D174" si="279">RAND()</f>
        <v>0.4197646033</v>
      </c>
      <c r="C174" s="134">
        <f t="shared" si="279"/>
        <v>0.5768279017</v>
      </c>
      <c r="D174" s="134">
        <f t="shared" si="279"/>
        <v>0.3936114456</v>
      </c>
      <c r="F174" s="134">
        <f t="shared" ref="F174:H174" si="280">RAND()</f>
        <v>0.6983473263</v>
      </c>
      <c r="G174" s="134">
        <f t="shared" si="280"/>
        <v>0.6560763295</v>
      </c>
      <c r="H174" s="134">
        <f t="shared" si="280"/>
        <v>0.2158573262</v>
      </c>
      <c r="J174" s="135">
        <f t="shared" si="8"/>
        <v>128915100.4</v>
      </c>
      <c r="K174" s="136">
        <f>IF(J174&gt;0,MIN(99,$B$12*Q174/(J174*12*(1-Inputs!$H$16))),99)</f>
        <v>4.197192513</v>
      </c>
      <c r="L174" s="134">
        <f t="shared" si="9"/>
        <v>0.992309728</v>
      </c>
      <c r="M174" s="134">
        <f t="shared" si="10"/>
        <v>0.995923036</v>
      </c>
      <c r="N174" s="134">
        <f t="shared" si="11"/>
        <v>0.9992691477</v>
      </c>
      <c r="O174" s="134">
        <f t="shared" si="12"/>
        <v>1.042634176</v>
      </c>
      <c r="P174" s="134">
        <f t="shared" si="13"/>
        <v>1.305099864</v>
      </c>
      <c r="Q174" s="134">
        <f t="shared" si="14"/>
        <v>0.9945603974</v>
      </c>
    </row>
    <row r="175" ht="15.0" customHeight="1">
      <c r="A175" s="13">
        <v>136.0</v>
      </c>
      <c r="B175" s="134">
        <f t="shared" ref="B175:D175" si="281">RAND()</f>
        <v>0.311819741</v>
      </c>
      <c r="C175" s="134">
        <f t="shared" si="281"/>
        <v>0.426211968</v>
      </c>
      <c r="D175" s="134">
        <f t="shared" si="281"/>
        <v>0.009456158798</v>
      </c>
      <c r="F175" s="134">
        <f t="shared" ref="F175:H175" si="282">RAND()</f>
        <v>0.2410106456</v>
      </c>
      <c r="G175" s="134">
        <f t="shared" si="282"/>
        <v>0.9892595021</v>
      </c>
      <c r="H175" s="134">
        <f t="shared" si="282"/>
        <v>0.6244524289</v>
      </c>
      <c r="J175" s="135">
        <f t="shared" si="8"/>
        <v>107905495.9</v>
      </c>
      <c r="K175" s="136">
        <f>IF(J175&gt;0,MIN(99,$B$12*Q175/(J175*12*(1-Inputs!$H$16))),99)</f>
        <v>5.743206715</v>
      </c>
      <c r="L175" s="134">
        <f t="shared" si="9"/>
        <v>0.9622958111</v>
      </c>
      <c r="M175" s="134">
        <f t="shared" si="10"/>
        <v>0.9824951456</v>
      </c>
      <c r="N175" s="134">
        <f t="shared" si="11"/>
        <v>0.9482848871</v>
      </c>
      <c r="O175" s="134">
        <f t="shared" si="12"/>
        <v>1.002067509</v>
      </c>
      <c r="P175" s="134">
        <f t="shared" si="13"/>
        <v>1.76421639</v>
      </c>
      <c r="Q175" s="134">
        <f t="shared" si="14"/>
        <v>1.139112176</v>
      </c>
    </row>
    <row r="176" ht="15.0" customHeight="1">
      <c r="A176" s="13">
        <v>137.0</v>
      </c>
      <c r="B176" s="134">
        <f t="shared" ref="B176:D176" si="283">RAND()</f>
        <v>0.4184061692</v>
      </c>
      <c r="C176" s="134">
        <f t="shared" si="283"/>
        <v>0.4658696353</v>
      </c>
      <c r="D176" s="134">
        <f t="shared" si="283"/>
        <v>0.9198066804</v>
      </c>
      <c r="F176" s="134">
        <f t="shared" ref="F176:H176" si="284">RAND()</f>
        <v>0.5828813346</v>
      </c>
      <c r="G176" s="134">
        <f t="shared" si="284"/>
        <v>0.08897046134</v>
      </c>
      <c r="H176" s="134">
        <f t="shared" si="284"/>
        <v>0.3873145735</v>
      </c>
      <c r="J176" s="135">
        <f t="shared" si="8"/>
        <v>131879673.5</v>
      </c>
      <c r="K176" s="136">
        <f>IF(J176&gt;0,MIN(99,$B$12*Q176/(J176*12*(1-Inputs!$H$16))),99)</f>
        <v>4.327932198</v>
      </c>
      <c r="L176" s="134">
        <f t="shared" si="9"/>
        <v>0.9919578163</v>
      </c>
      <c r="M176" s="134">
        <f t="shared" si="10"/>
        <v>0.9957655947</v>
      </c>
      <c r="N176" s="134">
        <f t="shared" si="11"/>
        <v>1.057253943</v>
      </c>
      <c r="O176" s="134">
        <f t="shared" si="12"/>
        <v>1.030460793</v>
      </c>
      <c r="P176" s="134">
        <f t="shared" si="13"/>
        <v>0.946141385</v>
      </c>
      <c r="Q176" s="134">
        <f t="shared" si="14"/>
        <v>1.049123929</v>
      </c>
    </row>
    <row r="177" ht="15.0" customHeight="1">
      <c r="A177" s="13">
        <v>138.0</v>
      </c>
      <c r="B177" s="134">
        <f t="shared" ref="B177:D177" si="285">RAND()</f>
        <v>0.3593583783</v>
      </c>
      <c r="C177" s="134">
        <f t="shared" si="285"/>
        <v>0.308896756</v>
      </c>
      <c r="D177" s="134">
        <f t="shared" si="285"/>
        <v>0.4277595942</v>
      </c>
      <c r="F177" s="134">
        <f t="shared" ref="F177:H177" si="286">RAND()</f>
        <v>0.9363204281</v>
      </c>
      <c r="G177" s="134">
        <f t="shared" si="286"/>
        <v>0.8307452757</v>
      </c>
      <c r="H177" s="134">
        <f t="shared" si="286"/>
        <v>0.1451052931</v>
      </c>
      <c r="J177" s="135">
        <f t="shared" si="8"/>
        <v>104409527.4</v>
      </c>
      <c r="K177" s="136">
        <f>IF(J177&gt;0,MIN(99,$B$12*Q177/(J177*12*(1-Inputs!$H$16))),99)</f>
        <v>5.054856563</v>
      </c>
      <c r="L177" s="134">
        <f t="shared" si="9"/>
        <v>0.9760666993</v>
      </c>
      <c r="M177" s="134">
        <f t="shared" si="10"/>
        <v>0.9886560868</v>
      </c>
      <c r="N177" s="134">
        <f t="shared" si="11"/>
        <v>1.001878991</v>
      </c>
      <c r="O177" s="134">
        <f t="shared" si="12"/>
        <v>1.080039664</v>
      </c>
      <c r="P177" s="134">
        <f t="shared" si="13"/>
        <v>1.471552719</v>
      </c>
      <c r="Q177" s="134">
        <f t="shared" si="14"/>
        <v>0.9701021063</v>
      </c>
    </row>
    <row r="178" ht="15.0" customHeight="1">
      <c r="A178" s="13">
        <v>139.0</v>
      </c>
      <c r="B178" s="134">
        <f t="shared" ref="B178:D178" si="287">RAND()</f>
        <v>0.2542905397</v>
      </c>
      <c r="C178" s="134">
        <f t="shared" si="287"/>
        <v>0.218485524</v>
      </c>
      <c r="D178" s="134">
        <f t="shared" si="287"/>
        <v>0.09082656335</v>
      </c>
      <c r="F178" s="134">
        <f t="shared" ref="F178:H178" si="288">RAND()</f>
        <v>0.5803582174</v>
      </c>
      <c r="G178" s="134">
        <f t="shared" si="288"/>
        <v>0.226872638</v>
      </c>
      <c r="H178" s="134">
        <f t="shared" si="288"/>
        <v>0.9310352226</v>
      </c>
      <c r="J178" s="135">
        <f t="shared" si="8"/>
        <v>114430012.9</v>
      </c>
      <c r="K178" s="136">
        <f>IF(J178&gt;0,MIN(99,$B$12*Q178/(J178*12*(1-Inputs!$H$16))),99)</f>
        <v>6.297505351</v>
      </c>
      <c r="L178" s="134">
        <f t="shared" si="9"/>
        <v>0.944138067</v>
      </c>
      <c r="M178" s="134">
        <f t="shared" si="10"/>
        <v>0.9743715741</v>
      </c>
      <c r="N178" s="134">
        <f t="shared" si="11"/>
        <v>0.967916431</v>
      </c>
      <c r="O178" s="134">
        <f t="shared" si="12"/>
        <v>1.030215054</v>
      </c>
      <c r="P178" s="134">
        <f t="shared" si="13"/>
        <v>1.026645638</v>
      </c>
      <c r="Q178" s="134">
        <f t="shared" si="14"/>
        <v>1.324576279</v>
      </c>
    </row>
    <row r="179" ht="15.0" customHeight="1">
      <c r="A179" s="13">
        <v>140.0</v>
      </c>
      <c r="B179" s="134">
        <f t="shared" ref="B179:D179" si="289">RAND()</f>
        <v>0.5469988391</v>
      </c>
      <c r="C179" s="134">
        <f t="shared" si="289"/>
        <v>0.7272725968</v>
      </c>
      <c r="D179" s="134">
        <f t="shared" si="289"/>
        <v>0.9397710115</v>
      </c>
      <c r="F179" s="134">
        <f t="shared" ref="F179:H179" si="290">RAND()</f>
        <v>0.9634900776</v>
      </c>
      <c r="G179" s="134">
        <f t="shared" si="290"/>
        <v>0.6135811027</v>
      </c>
      <c r="H179" s="134">
        <f t="shared" si="290"/>
        <v>0.5261226955</v>
      </c>
      <c r="J179" s="135">
        <f t="shared" si="8"/>
        <v>132557998.2</v>
      </c>
      <c r="K179" s="136">
        <f>IF(J179&gt;0,MIN(99,$B$12*Q179/(J179*12*(1-Inputs!$H$16))),99)</f>
        <v>4.510865386</v>
      </c>
      <c r="L179" s="134">
        <f t="shared" si="9"/>
        <v>1.025425042</v>
      </c>
      <c r="M179" s="134">
        <f t="shared" si="10"/>
        <v>1.010611838</v>
      </c>
      <c r="N179" s="134">
        <f t="shared" si="11"/>
        <v>1.061672915</v>
      </c>
      <c r="O179" s="134">
        <f t="shared" si="12"/>
        <v>1.087759674</v>
      </c>
      <c r="P179" s="134">
        <f t="shared" si="13"/>
        <v>1.271650395</v>
      </c>
      <c r="Q179" s="134">
        <f t="shared" si="14"/>
        <v>1.099092604</v>
      </c>
    </row>
    <row r="180" ht="15.0" customHeight="1">
      <c r="A180" s="13">
        <v>141.0</v>
      </c>
      <c r="B180" s="134">
        <f t="shared" ref="B180:D180" si="291">RAND()</f>
        <v>0.00693969146</v>
      </c>
      <c r="C180" s="134">
        <f t="shared" si="291"/>
        <v>0.4307176265</v>
      </c>
      <c r="D180" s="134">
        <f t="shared" si="291"/>
        <v>0.9213486124</v>
      </c>
      <c r="F180" s="134">
        <f t="shared" ref="F180:H180" si="292">RAND()</f>
        <v>0.658863164</v>
      </c>
      <c r="G180" s="134">
        <f t="shared" si="292"/>
        <v>0.02107079145</v>
      </c>
      <c r="H180" s="134">
        <f t="shared" si="292"/>
        <v>0.0007247264338</v>
      </c>
      <c r="J180" s="135">
        <f t="shared" si="8"/>
        <v>11870398.65</v>
      </c>
      <c r="K180" s="136">
        <f>IF(J180&gt;0,MIN(99,$B$12*Q180/(J180*12*(1-Inputs!$H$16))),99)</f>
        <v>39.71910059</v>
      </c>
      <c r="L180" s="134">
        <f t="shared" si="9"/>
        <v>0.8029412829</v>
      </c>
      <c r="M180" s="134">
        <f t="shared" si="10"/>
        <v>0.9112017133</v>
      </c>
      <c r="N180" s="134">
        <f t="shared" si="11"/>
        <v>1.057574026</v>
      </c>
      <c r="O180" s="134">
        <f t="shared" si="12"/>
        <v>1.038244509</v>
      </c>
      <c r="P180" s="134">
        <f t="shared" si="13"/>
        <v>0.8786599701</v>
      </c>
      <c r="Q180" s="134">
        <f t="shared" si="14"/>
        <v>0.866628947</v>
      </c>
    </row>
    <row r="181" ht="15.0" customHeight="1">
      <c r="A181" s="13">
        <v>142.0</v>
      </c>
      <c r="B181" s="134">
        <f t="shared" ref="B181:D181" si="293">RAND()</f>
        <v>0.5260916446</v>
      </c>
      <c r="C181" s="134">
        <f t="shared" si="293"/>
        <v>0.6787170935</v>
      </c>
      <c r="D181" s="134">
        <f t="shared" si="293"/>
        <v>0.3697615916</v>
      </c>
      <c r="F181" s="134">
        <f t="shared" ref="F181:H181" si="294">RAND()</f>
        <v>0.4855918884</v>
      </c>
      <c r="G181" s="134">
        <f t="shared" si="294"/>
        <v>0.5872400239</v>
      </c>
      <c r="H181" s="134">
        <f t="shared" si="294"/>
        <v>0.6546022214</v>
      </c>
      <c r="J181" s="135">
        <f t="shared" si="8"/>
        <v>154436982.6</v>
      </c>
      <c r="K181" s="136">
        <f>IF(J181&gt;0,MIN(99,$B$12*Q181/(J181*12*(1-Inputs!$H$16))),99)</f>
        <v>4.059644428</v>
      </c>
      <c r="L181" s="134">
        <f t="shared" si="9"/>
        <v>1.019730733</v>
      </c>
      <c r="M181" s="134">
        <f t="shared" si="10"/>
        <v>1.008093444</v>
      </c>
      <c r="N181" s="134">
        <f t="shared" si="11"/>
        <v>0.9974126288</v>
      </c>
      <c r="O181" s="134">
        <f t="shared" si="12"/>
        <v>1.021467878</v>
      </c>
      <c r="P181" s="134">
        <f t="shared" si="13"/>
        <v>1.251835174</v>
      </c>
      <c r="Q181" s="134">
        <f t="shared" si="14"/>
        <v>1.152412036</v>
      </c>
    </row>
    <row r="182" ht="15.0" customHeight="1">
      <c r="A182" s="13">
        <v>143.0</v>
      </c>
      <c r="B182" s="134">
        <f t="shared" ref="B182:D182" si="295">RAND()</f>
        <v>0.6224451733</v>
      </c>
      <c r="C182" s="134">
        <f t="shared" si="295"/>
        <v>0.04238664226</v>
      </c>
      <c r="D182" s="134">
        <f t="shared" si="295"/>
        <v>0.9477540692</v>
      </c>
      <c r="F182" s="134">
        <f t="shared" ref="F182:H182" si="296">RAND()</f>
        <v>0.2788217935</v>
      </c>
      <c r="G182" s="134">
        <f t="shared" si="296"/>
        <v>0.3027632516</v>
      </c>
      <c r="H182" s="134">
        <f t="shared" si="296"/>
        <v>0.9034506338</v>
      </c>
      <c r="J182" s="135">
        <f t="shared" si="8"/>
        <v>169186015.2</v>
      </c>
      <c r="K182" s="136">
        <f>IF(J182&gt;0,MIN(99,$B$12*Q182/(J182*12*(1-Inputs!$H$16))),99)</f>
        <v>4.177423907</v>
      </c>
      <c r="L182" s="134">
        <f t="shared" si="9"/>
        <v>1.047154024</v>
      </c>
      <c r="M182" s="134">
        <f t="shared" si="10"/>
        <v>1.020221807</v>
      </c>
      <c r="N182" s="134">
        <f t="shared" si="11"/>
        <v>1.063643496</v>
      </c>
      <c r="O182" s="134">
        <f t="shared" si="12"/>
        <v>1.004836603</v>
      </c>
      <c r="P182" s="134">
        <f t="shared" si="13"/>
        <v>1.068742405</v>
      </c>
      <c r="Q182" s="134">
        <f t="shared" si="14"/>
        <v>1.299096733</v>
      </c>
    </row>
    <row r="183" ht="15.0" customHeight="1">
      <c r="A183" s="13">
        <v>144.0</v>
      </c>
      <c r="B183" s="134">
        <f t="shared" ref="B183:D183" si="297">RAND()</f>
        <v>0.8310961735</v>
      </c>
      <c r="C183" s="134">
        <f t="shared" si="297"/>
        <v>0.04770533768</v>
      </c>
      <c r="D183" s="134">
        <f t="shared" si="297"/>
        <v>0.341913726</v>
      </c>
      <c r="F183" s="134">
        <f t="shared" ref="F183:H183" si="298">RAND()</f>
        <v>0.4545609122</v>
      </c>
      <c r="G183" s="134">
        <f t="shared" si="298"/>
        <v>0.4062488494</v>
      </c>
      <c r="H183" s="134">
        <f t="shared" si="298"/>
        <v>0.8135164158</v>
      </c>
      <c r="J183" s="135">
        <f t="shared" si="8"/>
        <v>237186283.6</v>
      </c>
      <c r="K183" s="136">
        <f>IF(J183&gt;0,MIN(99,$B$12*Q183/(J183*12*(1-Inputs!$H$16))),99)</f>
        <v>2.832655875</v>
      </c>
      <c r="L183" s="134">
        <f t="shared" si="9"/>
        <v>1.122604868</v>
      </c>
      <c r="M183" s="134">
        <f t="shared" si="10"/>
        <v>1.053591077</v>
      </c>
      <c r="N183" s="134">
        <f t="shared" si="11"/>
        <v>0.9951673866</v>
      </c>
      <c r="O183" s="134">
        <f t="shared" si="12"/>
        <v>1.018782173</v>
      </c>
      <c r="P183" s="134">
        <f t="shared" si="13"/>
        <v>1.130033425</v>
      </c>
      <c r="Q183" s="134">
        <f t="shared" si="14"/>
        <v>1.234957094</v>
      </c>
    </row>
    <row r="184" ht="15.0" customHeight="1">
      <c r="A184" s="13">
        <v>145.0</v>
      </c>
      <c r="B184" s="134">
        <f t="shared" ref="B184:D184" si="299">RAND()</f>
        <v>0.341896022</v>
      </c>
      <c r="C184" s="134">
        <f t="shared" si="299"/>
        <v>0.3476503028</v>
      </c>
      <c r="D184" s="134">
        <f t="shared" si="299"/>
        <v>0.6391498203</v>
      </c>
      <c r="F184" s="134">
        <f t="shared" ref="F184:H184" si="300">RAND()</f>
        <v>0.818960695</v>
      </c>
      <c r="G184" s="134">
        <f t="shared" si="300"/>
        <v>0.9002008387</v>
      </c>
      <c r="H184" s="134">
        <f t="shared" si="300"/>
        <v>0.9116015114</v>
      </c>
      <c r="J184" s="135">
        <f t="shared" si="8"/>
        <v>97365354.73</v>
      </c>
      <c r="K184" s="136">
        <f>IF(J184&gt;0,MIN(99,$B$12*Q184/(J184*12*(1-Inputs!$H$16))),99)</f>
        <v>7.29852949</v>
      </c>
      <c r="L184" s="134">
        <f t="shared" si="9"/>
        <v>0.9711206325</v>
      </c>
      <c r="M184" s="134">
        <f t="shared" si="10"/>
        <v>0.9864432719</v>
      </c>
      <c r="N184" s="134">
        <f t="shared" si="11"/>
        <v>1.020102973</v>
      </c>
      <c r="O184" s="134">
        <f t="shared" si="12"/>
        <v>1.058225036</v>
      </c>
      <c r="P184" s="134">
        <f t="shared" si="13"/>
        <v>1.562361395</v>
      </c>
      <c r="Q184" s="134">
        <f t="shared" si="14"/>
        <v>1.306195848</v>
      </c>
    </row>
    <row r="185" ht="15.0" customHeight="1">
      <c r="A185" s="13">
        <v>146.0</v>
      </c>
      <c r="B185" s="134">
        <f t="shared" ref="B185:D185" si="301">RAND()</f>
        <v>0.6453324293</v>
      </c>
      <c r="C185" s="134">
        <f t="shared" si="301"/>
        <v>0.6249574517</v>
      </c>
      <c r="D185" s="134">
        <f t="shared" si="301"/>
        <v>0.4094356532</v>
      </c>
      <c r="F185" s="134">
        <f t="shared" ref="F185:H185" si="302">RAND()</f>
        <v>0.4268185847</v>
      </c>
      <c r="G185" s="134">
        <f t="shared" si="302"/>
        <v>0.8194583794</v>
      </c>
      <c r="H185" s="134">
        <f t="shared" si="302"/>
        <v>0.9329879003</v>
      </c>
      <c r="J185" s="135">
        <f t="shared" si="8"/>
        <v>171926525.5</v>
      </c>
      <c r="K185" s="136">
        <f>IF(J185&gt;0,MIN(99,$B$12*Q185/(J185*12*(1-Inputs!$H$16))),99)</f>
        <v>4.197737742</v>
      </c>
      <c r="L185" s="134">
        <f t="shared" si="9"/>
        <v>1.054167958</v>
      </c>
      <c r="M185" s="134">
        <f t="shared" si="10"/>
        <v>1.023323825</v>
      </c>
      <c r="N185" s="134">
        <f t="shared" si="11"/>
        <v>1.00047308</v>
      </c>
      <c r="O185" s="134">
        <f t="shared" si="12"/>
        <v>1.016445098</v>
      </c>
      <c r="P185" s="134">
        <f t="shared" si="13"/>
        <v>1.458719021</v>
      </c>
      <c r="Q185" s="134">
        <f t="shared" si="14"/>
        <v>1.326559304</v>
      </c>
    </row>
    <row r="186" ht="15.0" customHeight="1">
      <c r="A186" s="13">
        <v>147.0</v>
      </c>
      <c r="B186" s="134">
        <f t="shared" ref="B186:D186" si="303">RAND()</f>
        <v>0.04496768919</v>
      </c>
      <c r="C186" s="134">
        <f t="shared" si="303"/>
        <v>0.5135471861</v>
      </c>
      <c r="D186" s="134">
        <f t="shared" si="303"/>
        <v>0.8531083265</v>
      </c>
      <c r="F186" s="134">
        <f t="shared" ref="F186:H186" si="304">RAND()</f>
        <v>0.4534086408</v>
      </c>
      <c r="G186" s="134">
        <f t="shared" si="304"/>
        <v>0.6588632476</v>
      </c>
      <c r="H186" s="134">
        <f t="shared" si="304"/>
        <v>0.9010264396</v>
      </c>
      <c r="J186" s="135">
        <f t="shared" si="8"/>
        <v>27013515.05</v>
      </c>
      <c r="K186" s="136">
        <f>IF(J186&gt;0,MIN(99,$B$12*Q186/(J186*12*(1-Inputs!$H$16))),99)</f>
        <v>26.121916</v>
      </c>
      <c r="L186" s="134">
        <f t="shared" si="9"/>
        <v>0.8461256988</v>
      </c>
      <c r="M186" s="134">
        <f t="shared" si="10"/>
        <v>0.9305219376</v>
      </c>
      <c r="N186" s="134">
        <f t="shared" si="11"/>
        <v>1.045544339</v>
      </c>
      <c r="O186" s="134">
        <f t="shared" si="12"/>
        <v>1.018683936</v>
      </c>
      <c r="P186" s="134">
        <f t="shared" si="13"/>
        <v>1.30736393</v>
      </c>
      <c r="Q186" s="134">
        <f t="shared" si="14"/>
        <v>1.297043701</v>
      </c>
    </row>
    <row r="187" ht="15.0" customHeight="1">
      <c r="A187" s="13">
        <v>148.0</v>
      </c>
      <c r="B187" s="134">
        <f t="shared" ref="B187:D187" si="305">RAND()</f>
        <v>0.06557665879</v>
      </c>
      <c r="C187" s="134">
        <f t="shared" si="305"/>
        <v>0.5013428997</v>
      </c>
      <c r="D187" s="134">
        <f t="shared" si="305"/>
        <v>0.9510081051</v>
      </c>
      <c r="F187" s="134">
        <f t="shared" ref="F187:H187" si="306">RAND()</f>
        <v>0.2624974202</v>
      </c>
      <c r="G187" s="134">
        <f t="shared" si="306"/>
        <v>0.5399087416</v>
      </c>
      <c r="H187" s="134">
        <f t="shared" si="306"/>
        <v>0.2069102215</v>
      </c>
      <c r="J187" s="135">
        <f t="shared" si="8"/>
        <v>38534192.8</v>
      </c>
      <c r="K187" s="136">
        <f>IF(J187&gt;0,MIN(99,$B$12*Q187/(J187*12*(1-Inputs!$H$16))),99)</f>
        <v>14.00143877</v>
      </c>
      <c r="L187" s="134">
        <f t="shared" si="9"/>
        <v>0.8608916417</v>
      </c>
      <c r="M187" s="134">
        <f t="shared" si="10"/>
        <v>0.9371280552</v>
      </c>
      <c r="N187" s="134">
        <f t="shared" si="11"/>
        <v>1.064489721</v>
      </c>
      <c r="O187" s="134">
        <f t="shared" si="12"/>
        <v>1.003632396</v>
      </c>
      <c r="P187" s="134">
        <f t="shared" si="13"/>
        <v>1.217757785</v>
      </c>
      <c r="Q187" s="134">
        <f t="shared" si="14"/>
        <v>0.9917162118</v>
      </c>
    </row>
    <row r="188" ht="15.0" customHeight="1">
      <c r="A188" s="13">
        <v>149.0</v>
      </c>
      <c r="B188" s="134">
        <f t="shared" ref="B188:D188" si="307">RAND()</f>
        <v>0.3566343167</v>
      </c>
      <c r="C188" s="134">
        <f t="shared" si="307"/>
        <v>0.1689194081</v>
      </c>
      <c r="D188" s="134">
        <f t="shared" si="307"/>
        <v>0.5748647203</v>
      </c>
      <c r="F188" s="134">
        <f t="shared" ref="F188:H188" si="308">RAND()</f>
        <v>0.1694374406</v>
      </c>
      <c r="G188" s="134">
        <f t="shared" si="308"/>
        <v>0.09184306625</v>
      </c>
      <c r="H188" s="134">
        <f t="shared" si="308"/>
        <v>0.9796164865</v>
      </c>
      <c r="J188" s="135">
        <f t="shared" si="8"/>
        <v>134972951</v>
      </c>
      <c r="K188" s="136">
        <f>IF(J188&gt;0,MIN(99,$B$12*Q188/(J188*12*(1-Inputs!$H$16))),99)</f>
        <v>5.594835538</v>
      </c>
      <c r="L188" s="134">
        <f t="shared" si="9"/>
        <v>0.9753031718</v>
      </c>
      <c r="M188" s="134">
        <f t="shared" si="10"/>
        <v>0.9883144931</v>
      </c>
      <c r="N188" s="134">
        <f t="shared" si="11"/>
        <v>1.0140989</v>
      </c>
      <c r="O188" s="134">
        <f t="shared" si="12"/>
        <v>0.996798347</v>
      </c>
      <c r="P188" s="134">
        <f t="shared" si="13"/>
        <v>0.9482466539</v>
      </c>
      <c r="Q188" s="134">
        <f t="shared" si="14"/>
        <v>1.388041814</v>
      </c>
    </row>
    <row r="189" ht="15.0" customHeight="1">
      <c r="A189" s="13">
        <v>150.0</v>
      </c>
      <c r="B189" s="134">
        <f t="shared" ref="B189:D189" si="309">RAND()</f>
        <v>0.1833364505</v>
      </c>
      <c r="C189" s="134">
        <f t="shared" si="309"/>
        <v>0.1150241063</v>
      </c>
      <c r="D189" s="134">
        <f t="shared" si="309"/>
        <v>0.5746696864</v>
      </c>
      <c r="F189" s="134">
        <f t="shared" ref="F189:H189" si="310">RAND()</f>
        <v>0.7234741869</v>
      </c>
      <c r="G189" s="134">
        <f t="shared" si="310"/>
        <v>0.7115750503</v>
      </c>
      <c r="H189" s="134">
        <f t="shared" si="310"/>
        <v>0.3307530766</v>
      </c>
      <c r="J189" s="135">
        <f t="shared" si="8"/>
        <v>73093595.78</v>
      </c>
      <c r="K189" s="136">
        <f>IF(J189&gt;0,MIN(99,$B$12*Q189/(J189*12*(1-Inputs!$H$16))),99)</f>
        <v>7.669431978</v>
      </c>
      <c r="L189" s="134">
        <f t="shared" si="9"/>
        <v>0.9186152871</v>
      </c>
      <c r="M189" s="134">
        <f t="shared" si="10"/>
        <v>0.962952968</v>
      </c>
      <c r="N189" s="134">
        <f t="shared" si="11"/>
        <v>1.014081403</v>
      </c>
      <c r="O189" s="134">
        <f t="shared" si="12"/>
        <v>1.045578921</v>
      </c>
      <c r="P189" s="134">
        <f t="shared" si="13"/>
        <v>1.35207331</v>
      </c>
      <c r="Q189" s="134">
        <f t="shared" si="14"/>
        <v>1.030412239</v>
      </c>
    </row>
    <row r="190" ht="15.0" customHeight="1">
      <c r="A190" s="13">
        <v>151.0</v>
      </c>
      <c r="B190" s="134">
        <f t="shared" ref="B190:D190" si="311">RAND()</f>
        <v>0.04752555307</v>
      </c>
      <c r="C190" s="134">
        <f t="shared" si="311"/>
        <v>0.7200442832</v>
      </c>
      <c r="D190" s="134">
        <f t="shared" si="311"/>
        <v>0.8246495666</v>
      </c>
      <c r="F190" s="134">
        <f t="shared" ref="F190:H190" si="312">RAND()</f>
        <v>0.9539078381</v>
      </c>
      <c r="G190" s="134">
        <f t="shared" si="312"/>
        <v>0.5594282131</v>
      </c>
      <c r="H190" s="134">
        <f t="shared" si="312"/>
        <v>0.4162837373</v>
      </c>
      <c r="J190" s="135">
        <f t="shared" si="8"/>
        <v>20827608.3</v>
      </c>
      <c r="K190" s="136">
        <f>IF(J190&gt;0,MIN(99,$B$12*Q190/(J190*12*(1-Inputs!$H$16))),99)</f>
        <v>27.66339627</v>
      </c>
      <c r="L190" s="134">
        <f t="shared" si="9"/>
        <v>0.8481206176</v>
      </c>
      <c r="M190" s="134">
        <f t="shared" si="10"/>
        <v>0.931414442</v>
      </c>
      <c r="N190" s="134">
        <f t="shared" si="11"/>
        <v>1.041392616</v>
      </c>
      <c r="O190" s="134">
        <f t="shared" si="12"/>
        <v>1.084784286</v>
      </c>
      <c r="P190" s="134">
        <f t="shared" si="13"/>
        <v>1.231588376</v>
      </c>
      <c r="Q190" s="134">
        <f t="shared" si="14"/>
        <v>1.05904248</v>
      </c>
    </row>
    <row r="191" ht="15.0" customHeight="1">
      <c r="A191" s="13">
        <v>152.0</v>
      </c>
      <c r="B191" s="134">
        <f t="shared" ref="B191:D191" si="313">RAND()</f>
        <v>0.3229518125</v>
      </c>
      <c r="C191" s="134">
        <f t="shared" si="313"/>
        <v>0.5722145444</v>
      </c>
      <c r="D191" s="134">
        <f t="shared" si="313"/>
        <v>0.1963451783</v>
      </c>
      <c r="F191" s="134">
        <f t="shared" ref="F191:H191" si="314">RAND()</f>
        <v>0.263346878</v>
      </c>
      <c r="G191" s="134">
        <f t="shared" si="314"/>
        <v>0.2836601765</v>
      </c>
      <c r="H191" s="134">
        <f t="shared" si="314"/>
        <v>0.8928535373</v>
      </c>
      <c r="J191" s="135">
        <f t="shared" si="8"/>
        <v>129730568.8</v>
      </c>
      <c r="K191" s="136">
        <f>IF(J191&gt;0,MIN(99,$B$12*Q191/(J191*12*(1-Inputs!$H$16))),99)</f>
        <v>5.411034465</v>
      </c>
      <c r="L191" s="134">
        <f t="shared" si="9"/>
        <v>0.9656097555</v>
      </c>
      <c r="M191" s="134">
        <f t="shared" si="10"/>
        <v>0.9839777672</v>
      </c>
      <c r="N191" s="134">
        <f t="shared" si="11"/>
        <v>0.9815471371</v>
      </c>
      <c r="O191" s="134">
        <f t="shared" si="12"/>
        <v>1.003694728</v>
      </c>
      <c r="P191" s="134">
        <f t="shared" si="13"/>
        <v>1.057938472</v>
      </c>
      <c r="Q191" s="134">
        <f t="shared" si="14"/>
        <v>1.290301207</v>
      </c>
    </row>
    <row r="192" ht="15.0" customHeight="1">
      <c r="A192" s="13">
        <v>153.0</v>
      </c>
      <c r="B192" s="134">
        <f t="shared" ref="B192:D192" si="315">RAND()</f>
        <v>0.7203675949</v>
      </c>
      <c r="C192" s="134">
        <f t="shared" si="315"/>
        <v>0.1921317701</v>
      </c>
      <c r="D192" s="134">
        <f t="shared" si="315"/>
        <v>0.8321941131</v>
      </c>
      <c r="F192" s="134">
        <f t="shared" ref="F192:H192" si="316">RAND()</f>
        <v>0.8530022526</v>
      </c>
      <c r="G192" s="134">
        <f t="shared" si="316"/>
        <v>0.4061743684</v>
      </c>
      <c r="H192" s="134">
        <f t="shared" si="316"/>
        <v>0.9530027118</v>
      </c>
      <c r="J192" s="135">
        <f t="shared" si="8"/>
        <v>185217215</v>
      </c>
      <c r="K192" s="136">
        <f>IF(J192&gt;0,MIN(99,$B$12*Q192/(J192*12*(1-Inputs!$H$16))),99)</f>
        <v>3.961974396</v>
      </c>
      <c r="L192" s="134">
        <f t="shared" si="9"/>
        <v>1.078914672</v>
      </c>
      <c r="M192" s="134">
        <f t="shared" si="10"/>
        <v>1.034268431</v>
      </c>
      <c r="N192" s="134">
        <f t="shared" si="11"/>
        <v>1.042458211</v>
      </c>
      <c r="O192" s="134">
        <f t="shared" si="12"/>
        <v>1.06352744</v>
      </c>
      <c r="P192" s="134">
        <f t="shared" si="13"/>
        <v>1.129987469</v>
      </c>
      <c r="Q192" s="134">
        <f t="shared" si="14"/>
        <v>1.34884329</v>
      </c>
    </row>
    <row r="193" ht="15.0" customHeight="1">
      <c r="A193" s="13">
        <v>154.0</v>
      </c>
      <c r="B193" s="134">
        <f t="shared" ref="B193:D193" si="317">RAND()</f>
        <v>0.787813102</v>
      </c>
      <c r="C193" s="134">
        <f t="shared" si="317"/>
        <v>0.4934298864</v>
      </c>
      <c r="D193" s="134">
        <f t="shared" si="317"/>
        <v>0.2277114052</v>
      </c>
      <c r="F193" s="134">
        <f t="shared" ref="F193:H193" si="318">RAND()</f>
        <v>0.2215915973</v>
      </c>
      <c r="G193" s="134">
        <f t="shared" si="318"/>
        <v>0.1894404482</v>
      </c>
      <c r="H193" s="134">
        <f t="shared" si="318"/>
        <v>0.7206931133</v>
      </c>
      <c r="J193" s="135">
        <f t="shared" si="8"/>
        <v>233066792.6</v>
      </c>
      <c r="K193" s="136">
        <f>IF(J193&gt;0,MIN(99,$B$12*Q193/(J193*12*(1-Inputs!$H$16))),99)</f>
        <v>2.763236547</v>
      </c>
      <c r="L193" s="134">
        <f t="shared" si="9"/>
        <v>1.104191047</v>
      </c>
      <c r="M193" s="134">
        <f t="shared" si="10"/>
        <v>1.045447287</v>
      </c>
      <c r="N193" s="134">
        <f t="shared" si="11"/>
        <v>0.9848248964</v>
      </c>
      <c r="O193" s="134">
        <f t="shared" si="12"/>
        <v>1.000672165</v>
      </c>
      <c r="P193" s="134">
        <f t="shared" si="13"/>
        <v>1.00664383</v>
      </c>
      <c r="Q193" s="134">
        <f t="shared" si="14"/>
        <v>1.183768952</v>
      </c>
    </row>
    <row r="194" ht="15.0" customHeight="1">
      <c r="A194" s="13">
        <v>155.0</v>
      </c>
      <c r="B194" s="134">
        <f t="shared" ref="B194:D194" si="319">RAND()</f>
        <v>0.4703252251</v>
      </c>
      <c r="C194" s="134">
        <f t="shared" si="319"/>
        <v>0.3541604774</v>
      </c>
      <c r="D194" s="134">
        <f t="shared" si="319"/>
        <v>0.4393274298</v>
      </c>
      <c r="F194" s="134">
        <f t="shared" ref="F194:H194" si="320">RAND()</f>
        <v>0.01589827134</v>
      </c>
      <c r="G194" s="134">
        <f t="shared" si="320"/>
        <v>0.07464406239</v>
      </c>
      <c r="H194" s="134">
        <f t="shared" si="320"/>
        <v>0.9989035523</v>
      </c>
      <c r="J194" s="135">
        <f t="shared" si="8"/>
        <v>162009514</v>
      </c>
      <c r="K194" s="136">
        <f>IF(J194&gt;0,MIN(99,$B$12*Q194/(J194*12*(1-Inputs!$H$16))),99)</f>
        <v>4.856169131</v>
      </c>
      <c r="L194" s="134">
        <f t="shared" si="9"/>
        <v>1.005129139</v>
      </c>
      <c r="M194" s="134">
        <f t="shared" si="10"/>
        <v>1.00163567</v>
      </c>
      <c r="N194" s="134">
        <f t="shared" si="11"/>
        <v>1.002778154</v>
      </c>
      <c r="O194" s="134">
        <f t="shared" si="12"/>
        <v>0.9781294746</v>
      </c>
      <c r="P194" s="134">
        <f t="shared" si="13"/>
        <v>0.9350935554</v>
      </c>
      <c r="Q194" s="134">
        <f t="shared" si="14"/>
        <v>1.446114912</v>
      </c>
    </row>
    <row r="195" ht="15.0" customHeight="1">
      <c r="A195" s="13">
        <v>156.0</v>
      </c>
      <c r="B195" s="134">
        <f t="shared" ref="B195:D195" si="321">RAND()</f>
        <v>0.6466222313</v>
      </c>
      <c r="C195" s="134">
        <f t="shared" si="321"/>
        <v>0.5513915022</v>
      </c>
      <c r="D195" s="134">
        <f t="shared" si="321"/>
        <v>0.2216425253</v>
      </c>
      <c r="F195" s="134">
        <f t="shared" ref="F195:H195" si="322">RAND()</f>
        <v>0.8125766292</v>
      </c>
      <c r="G195" s="134">
        <f t="shared" si="322"/>
        <v>0.935626861</v>
      </c>
      <c r="H195" s="134">
        <f t="shared" si="322"/>
        <v>0.4887621258</v>
      </c>
      <c r="J195" s="135">
        <f t="shared" si="8"/>
        <v>162948778.2</v>
      </c>
      <c r="K195" s="136">
        <f>IF(J195&gt;0,MIN(99,$B$12*Q195/(J195*12*(1-Inputs!$H$16))),99)</f>
        <v>3.622495583</v>
      </c>
      <c r="L195" s="134">
        <f t="shared" si="9"/>
        <v>1.054569868</v>
      </c>
      <c r="M195" s="134">
        <f t="shared" si="10"/>
        <v>1.023501575</v>
      </c>
      <c r="N195" s="134">
        <f t="shared" si="11"/>
        <v>0.984209219</v>
      </c>
      <c r="O195" s="134">
        <f t="shared" si="12"/>
        <v>1.057288003</v>
      </c>
      <c r="P195" s="134">
        <f t="shared" si="13"/>
        <v>1.621500385</v>
      </c>
      <c r="Q195" s="134">
        <f t="shared" si="14"/>
        <v>1.084994294</v>
      </c>
    </row>
    <row r="196" ht="15.0" customHeight="1">
      <c r="A196" s="13">
        <v>157.0</v>
      </c>
      <c r="B196" s="134">
        <f t="shared" ref="B196:D196" si="323">RAND()</f>
        <v>0.6056252598</v>
      </c>
      <c r="C196" s="134">
        <f t="shared" si="323"/>
        <v>0.4405600541</v>
      </c>
      <c r="D196" s="134">
        <f t="shared" si="323"/>
        <v>0.2957131382</v>
      </c>
      <c r="F196" s="134">
        <f t="shared" ref="F196:H196" si="324">RAND()</f>
        <v>0.3758859126</v>
      </c>
      <c r="G196" s="134">
        <f t="shared" si="324"/>
        <v>0.5871854617</v>
      </c>
      <c r="H196" s="134">
        <f t="shared" si="324"/>
        <v>0.2975731111</v>
      </c>
      <c r="J196" s="135">
        <f t="shared" si="8"/>
        <v>173647391.8</v>
      </c>
      <c r="K196" s="136">
        <f>IF(J196&gt;0,MIN(99,$B$12*Q196/(J196*12*(1-Inputs!$H$16))),99)</f>
        <v>3.195062535</v>
      </c>
      <c r="L196" s="134">
        <f t="shared" si="9"/>
        <v>1.042134101</v>
      </c>
      <c r="M196" s="134">
        <f t="shared" si="10"/>
        <v>1.018001671</v>
      </c>
      <c r="N196" s="134">
        <f t="shared" si="11"/>
        <v>0.991230265</v>
      </c>
      <c r="O196" s="134">
        <f t="shared" si="12"/>
        <v>1.012297163</v>
      </c>
      <c r="P196" s="134">
        <f t="shared" si="13"/>
        <v>1.251794797</v>
      </c>
      <c r="Q196" s="134">
        <f t="shared" si="14"/>
        <v>1.019802585</v>
      </c>
    </row>
    <row r="197" ht="15.0" customHeight="1">
      <c r="A197" s="13">
        <v>158.0</v>
      </c>
      <c r="B197" s="134">
        <f t="shared" ref="B197:D197" si="325">RAND()</f>
        <v>0.2630462486</v>
      </c>
      <c r="C197" s="134">
        <f t="shared" si="325"/>
        <v>0.6975859104</v>
      </c>
      <c r="D197" s="134">
        <f t="shared" si="325"/>
        <v>0.3293705745</v>
      </c>
      <c r="F197" s="134">
        <f t="shared" ref="F197:H197" si="326">RAND()</f>
        <v>0.9966774228</v>
      </c>
      <c r="G197" s="134">
        <f t="shared" si="326"/>
        <v>0.1110713857</v>
      </c>
      <c r="H197" s="134">
        <f t="shared" si="326"/>
        <v>0.5194020028</v>
      </c>
      <c r="J197" s="135">
        <f t="shared" si="8"/>
        <v>101123050.4</v>
      </c>
      <c r="K197" s="136">
        <f>IF(J197&gt;0,MIN(99,$B$12*Q197/(J197*12*(1-Inputs!$H$16))),99)</f>
        <v>5.899246611</v>
      </c>
      <c r="L197" s="134">
        <f t="shared" si="9"/>
        <v>0.9470252975</v>
      </c>
      <c r="M197" s="134">
        <f t="shared" si="10"/>
        <v>0.9756632887</v>
      </c>
      <c r="N197" s="134">
        <f t="shared" si="11"/>
        <v>0.994126265</v>
      </c>
      <c r="O197" s="134">
        <f t="shared" si="12"/>
        <v>1.104571661</v>
      </c>
      <c r="P197" s="134">
        <f t="shared" si="13"/>
        <v>0.9615636843</v>
      </c>
      <c r="Q197" s="134">
        <f t="shared" si="14"/>
        <v>1.096516559</v>
      </c>
    </row>
    <row r="198" ht="15.0" customHeight="1">
      <c r="A198" s="13">
        <v>159.0</v>
      </c>
      <c r="B198" s="134">
        <f t="shared" ref="B198:D198" si="327">RAND()</f>
        <v>0.3519424188</v>
      </c>
      <c r="C198" s="134">
        <f t="shared" si="327"/>
        <v>0.9848496933</v>
      </c>
      <c r="D198" s="134">
        <f t="shared" si="327"/>
        <v>0.1195046517</v>
      </c>
      <c r="F198" s="134">
        <f t="shared" ref="F198:H198" si="328">RAND()</f>
        <v>0.9749145418</v>
      </c>
      <c r="G198" s="134">
        <f t="shared" si="328"/>
        <v>0.9259824145</v>
      </c>
      <c r="H198" s="134">
        <f t="shared" si="328"/>
        <v>0.7245810742</v>
      </c>
      <c r="J198" s="135">
        <f t="shared" si="8"/>
        <v>102198235.3</v>
      </c>
      <c r="K198" s="136">
        <f>IF(J198&gt;0,MIN(99,$B$12*Q198/(J198*12*(1-Inputs!$H$16))),99)</f>
        <v>6.312067651</v>
      </c>
      <c r="L198" s="134">
        <f t="shared" si="9"/>
        <v>0.9739812104</v>
      </c>
      <c r="M198" s="134">
        <f t="shared" si="10"/>
        <v>0.9877230624</v>
      </c>
      <c r="N198" s="134">
        <f t="shared" si="11"/>
        <v>0.9721787281</v>
      </c>
      <c r="O198" s="134">
        <f t="shared" si="12"/>
        <v>1.091878674</v>
      </c>
      <c r="P198" s="134">
        <f t="shared" si="13"/>
        <v>1.60405758</v>
      </c>
      <c r="Q198" s="134">
        <f t="shared" si="14"/>
        <v>1.185723761</v>
      </c>
    </row>
    <row r="199" ht="15.0" customHeight="1">
      <c r="A199" s="13">
        <v>160.0</v>
      </c>
      <c r="B199" s="134">
        <f t="shared" ref="B199:D199" si="329">RAND()</f>
        <v>0.1462302347</v>
      </c>
      <c r="C199" s="134">
        <f t="shared" si="329"/>
        <v>0.3463078152</v>
      </c>
      <c r="D199" s="134">
        <f t="shared" si="329"/>
        <v>0.3586510322</v>
      </c>
      <c r="F199" s="134">
        <f t="shared" ref="F199:H199" si="330">RAND()</f>
        <v>0.6848462823</v>
      </c>
      <c r="G199" s="134">
        <f t="shared" si="330"/>
        <v>0.3823368828</v>
      </c>
      <c r="H199" s="134">
        <f t="shared" si="330"/>
        <v>0.2269108585</v>
      </c>
      <c r="J199" s="135">
        <f t="shared" si="8"/>
        <v>76084902.09</v>
      </c>
      <c r="K199" s="136">
        <f>IF(J199&gt;0,MIN(99,$B$12*Q199/(J199*12*(1-Inputs!$H$16))),99)</f>
        <v>7.136100508</v>
      </c>
      <c r="L199" s="134">
        <f t="shared" si="9"/>
        <v>0.9032610674</v>
      </c>
      <c r="M199" s="134">
        <f t="shared" si="10"/>
        <v>0.956083662</v>
      </c>
      <c r="N199" s="134">
        <f t="shared" si="11"/>
        <v>0.996527332</v>
      </c>
      <c r="O199" s="134">
        <f t="shared" si="12"/>
        <v>1.041102536</v>
      </c>
      <c r="P199" s="134">
        <f t="shared" si="13"/>
        <v>1.115424494</v>
      </c>
      <c r="Q199" s="134">
        <f t="shared" si="14"/>
        <v>0.997993989</v>
      </c>
    </row>
    <row r="200" ht="15.0" customHeight="1">
      <c r="A200" s="13">
        <v>161.0</v>
      </c>
      <c r="B200" s="134">
        <f t="shared" ref="B200:D200" si="331">RAND()</f>
        <v>0.9906440241</v>
      </c>
      <c r="C200" s="134">
        <f t="shared" si="331"/>
        <v>0.6909918276</v>
      </c>
      <c r="D200" s="134">
        <f t="shared" si="331"/>
        <v>0.9800035997</v>
      </c>
      <c r="F200" s="134">
        <f t="shared" ref="F200:H200" si="332">RAND()</f>
        <v>0.2881445815</v>
      </c>
      <c r="G200" s="134">
        <f t="shared" si="332"/>
        <v>0.2481055035</v>
      </c>
      <c r="H200" s="134">
        <f t="shared" si="332"/>
        <v>0.7252790745</v>
      </c>
      <c r="J200" s="135">
        <f t="shared" si="8"/>
        <v>316592378.2</v>
      </c>
      <c r="K200" s="136">
        <f>IF(J200&gt;0,MIN(99,$B$12*Q200/(J200*12*(1-Inputs!$H$16))),99)</f>
        <v>2.038185188</v>
      </c>
      <c r="L200" s="134">
        <f t="shared" si="9"/>
        <v>1.23913293</v>
      </c>
      <c r="M200" s="134">
        <f t="shared" si="10"/>
        <v>1.105127363</v>
      </c>
      <c r="N200" s="134">
        <f t="shared" si="11"/>
        <v>1.073841995</v>
      </c>
      <c r="O200" s="134">
        <f t="shared" si="12"/>
        <v>1.005530441</v>
      </c>
      <c r="P200" s="134">
        <f t="shared" si="13"/>
        <v>1.038207013</v>
      </c>
      <c r="Q200" s="134">
        <f t="shared" si="14"/>
        <v>1.186076163</v>
      </c>
    </row>
    <row r="201" ht="15.0" customHeight="1">
      <c r="A201" s="13">
        <v>162.0</v>
      </c>
      <c r="B201" s="134">
        <f t="shared" ref="B201:D201" si="333">RAND()</f>
        <v>0.1289922449</v>
      </c>
      <c r="C201" s="134">
        <f t="shared" si="333"/>
        <v>0.1628566181</v>
      </c>
      <c r="D201" s="134">
        <f t="shared" si="333"/>
        <v>0.5641762937</v>
      </c>
      <c r="F201" s="134">
        <f t="shared" ref="F201:H201" si="334">RAND()</f>
        <v>0.04967951648</v>
      </c>
      <c r="G201" s="134">
        <f t="shared" si="334"/>
        <v>0.8606996592</v>
      </c>
      <c r="H201" s="134">
        <f t="shared" si="334"/>
        <v>0.9832347046</v>
      </c>
      <c r="J201" s="135">
        <f t="shared" si="8"/>
        <v>62403084.42</v>
      </c>
      <c r="K201" s="136">
        <f>IF(J201&gt;0,MIN(99,$B$12*Q201/(J201*12*(1-Inputs!$H$16))),99)</f>
        <v>12.16254784</v>
      </c>
      <c r="L201" s="134">
        <f t="shared" si="9"/>
        <v>0.8954642169</v>
      </c>
      <c r="M201" s="134">
        <f t="shared" si="10"/>
        <v>0.9525954384</v>
      </c>
      <c r="N201" s="134">
        <f t="shared" si="11"/>
        <v>1.013145863</v>
      </c>
      <c r="O201" s="134">
        <f t="shared" si="12"/>
        <v>0.9844584056</v>
      </c>
      <c r="P201" s="134">
        <f t="shared" si="13"/>
        <v>1.507855161</v>
      </c>
      <c r="Q201" s="134">
        <f t="shared" si="14"/>
        <v>1.395079956</v>
      </c>
    </row>
    <row r="202" ht="15.0" customHeight="1">
      <c r="A202" s="13">
        <v>163.0</v>
      </c>
      <c r="B202" s="134">
        <f t="shared" ref="B202:D202" si="335">RAND()</f>
        <v>0.1137210304</v>
      </c>
      <c r="C202" s="134">
        <f t="shared" si="335"/>
        <v>0.2170145158</v>
      </c>
      <c r="D202" s="134">
        <f t="shared" si="335"/>
        <v>0.8648909434</v>
      </c>
      <c r="F202" s="134">
        <f t="shared" ref="F202:H202" si="336">RAND()</f>
        <v>0.2078783806</v>
      </c>
      <c r="G202" s="134">
        <f t="shared" si="336"/>
        <v>0.8130325692</v>
      </c>
      <c r="H202" s="134">
        <f t="shared" si="336"/>
        <v>0.1222243375</v>
      </c>
      <c r="J202" s="135">
        <f t="shared" si="8"/>
        <v>50680154.52</v>
      </c>
      <c r="K202" s="136">
        <f>IF(J202&gt;0,MIN(99,$B$12*Q202/(J202*12*(1-Inputs!$H$16))),99)</f>
        <v>10.31556782</v>
      </c>
      <c r="L202" s="134">
        <f t="shared" si="9"/>
        <v>0.8881088676</v>
      </c>
      <c r="M202" s="134">
        <f t="shared" si="10"/>
        <v>0.9493047374</v>
      </c>
      <c r="N202" s="134">
        <f t="shared" si="11"/>
        <v>1.047380413</v>
      </c>
      <c r="O202" s="134">
        <f t="shared" si="12"/>
        <v>0.999695318</v>
      </c>
      <c r="P202" s="134">
        <f t="shared" si="13"/>
        <v>1.451591495</v>
      </c>
      <c r="Q202" s="134">
        <f t="shared" si="14"/>
        <v>0.9609472546</v>
      </c>
    </row>
    <row r="203" ht="15.0" customHeight="1">
      <c r="A203" s="13">
        <v>164.0</v>
      </c>
      <c r="B203" s="134">
        <f t="shared" ref="B203:D203" si="337">RAND()</f>
        <v>0.1082799164</v>
      </c>
      <c r="C203" s="134">
        <f t="shared" si="337"/>
        <v>0.6420796698</v>
      </c>
      <c r="D203" s="134">
        <f t="shared" si="337"/>
        <v>0.4183968459</v>
      </c>
      <c r="F203" s="134">
        <f t="shared" ref="F203:H203" si="338">RAND()</f>
        <v>0.6759588712</v>
      </c>
      <c r="G203" s="134">
        <f t="shared" si="338"/>
        <v>0.7937315466</v>
      </c>
      <c r="H203" s="134">
        <f t="shared" si="338"/>
        <v>0.6264113015</v>
      </c>
      <c r="J203" s="135">
        <f t="shared" si="8"/>
        <v>51777406.08</v>
      </c>
      <c r="K203" s="136">
        <f>IF(J203&gt;0,MIN(99,$B$12*Q203/(J203*12*(1-Inputs!$H$16))),99)</f>
        <v>11.97790109</v>
      </c>
      <c r="L203" s="134">
        <f t="shared" si="9"/>
        <v>0.8853697902</v>
      </c>
      <c r="M203" s="134">
        <f t="shared" si="10"/>
        <v>0.9480793049</v>
      </c>
      <c r="N203" s="134">
        <f t="shared" si="11"/>
        <v>1.001157863</v>
      </c>
      <c r="O203" s="134">
        <f t="shared" si="12"/>
        <v>1.040112144</v>
      </c>
      <c r="P203" s="134">
        <f t="shared" si="13"/>
        <v>1.430889461</v>
      </c>
      <c r="Q203" s="134">
        <f t="shared" si="14"/>
        <v>1.139959687</v>
      </c>
    </row>
    <row r="204" ht="15.0" customHeight="1">
      <c r="A204" s="13">
        <v>165.0</v>
      </c>
      <c r="B204" s="134">
        <f t="shared" ref="B204:D204" si="339">RAND()</f>
        <v>0.6493053482</v>
      </c>
      <c r="C204" s="134">
        <f t="shared" si="339"/>
        <v>0.5771256814</v>
      </c>
      <c r="D204" s="134">
        <f t="shared" si="339"/>
        <v>0.3774903569</v>
      </c>
      <c r="F204" s="134">
        <f t="shared" ref="F204:H204" si="340">RAND()</f>
        <v>0.570980119</v>
      </c>
      <c r="G204" s="134">
        <f t="shared" si="340"/>
        <v>0.2573127676</v>
      </c>
      <c r="H204" s="134">
        <f t="shared" si="340"/>
        <v>0.2018805859</v>
      </c>
      <c r="J204" s="135">
        <f t="shared" si="8"/>
        <v>186947747.5</v>
      </c>
      <c r="K204" s="136">
        <f>IF(J204&gt;0,MIN(99,$B$12*Q204/(J204*12*(1-Inputs!$H$16))),99)</f>
        <v>2.881284143</v>
      </c>
      <c r="L204" s="134">
        <f t="shared" si="9"/>
        <v>1.0554083</v>
      </c>
      <c r="M204" s="134">
        <f t="shared" si="10"/>
        <v>1.023872385</v>
      </c>
      <c r="N204" s="134">
        <f t="shared" si="11"/>
        <v>0.9980206398</v>
      </c>
      <c r="O204" s="134">
        <f t="shared" si="12"/>
        <v>1.029308086</v>
      </c>
      <c r="P204" s="134">
        <f t="shared" si="13"/>
        <v>1.0432711</v>
      </c>
      <c r="Q204" s="134">
        <f t="shared" si="14"/>
        <v>0.9900903034</v>
      </c>
    </row>
    <row r="205" ht="15.0" customHeight="1">
      <c r="A205" s="13">
        <v>166.0</v>
      </c>
      <c r="B205" s="134">
        <f t="shared" ref="B205:D205" si="341">RAND()</f>
        <v>0.4924140407</v>
      </c>
      <c r="C205" s="134">
        <f t="shared" si="341"/>
        <v>0.06095176498</v>
      </c>
      <c r="D205" s="134">
        <f t="shared" si="341"/>
        <v>0.01157872467</v>
      </c>
      <c r="F205" s="134">
        <f t="shared" ref="F205:H205" si="342">RAND()</f>
        <v>0.2031129507</v>
      </c>
      <c r="G205" s="134">
        <f t="shared" si="342"/>
        <v>0.4884987068</v>
      </c>
      <c r="H205" s="134">
        <f t="shared" si="342"/>
        <v>0.3368738943</v>
      </c>
      <c r="J205" s="135">
        <f t="shared" si="8"/>
        <v>164806747.1</v>
      </c>
      <c r="K205" s="136">
        <f>IF(J205&gt;0,MIN(99,$B$12*Q205/(J205*12*(1-Inputs!$H$16))),99)</f>
        <v>3.408032014</v>
      </c>
      <c r="L205" s="134">
        <f t="shared" si="9"/>
        <v>1.01081622</v>
      </c>
      <c r="M205" s="134">
        <f t="shared" si="10"/>
        <v>1.004150868</v>
      </c>
      <c r="N205" s="134">
        <f t="shared" si="11"/>
        <v>0.949281382</v>
      </c>
      <c r="O205" s="134">
        <f t="shared" si="12"/>
        <v>0.9993516572</v>
      </c>
      <c r="P205" s="134">
        <f t="shared" si="13"/>
        <v>1.182675626</v>
      </c>
      <c r="Q205" s="134">
        <f t="shared" si="14"/>
        <v>1.032397952</v>
      </c>
    </row>
    <row r="206" ht="15.0" customHeight="1">
      <c r="A206" s="13">
        <v>167.0</v>
      </c>
      <c r="B206" s="134">
        <f t="shared" ref="B206:D206" si="343">RAND()</f>
        <v>0.3189411597</v>
      </c>
      <c r="C206" s="134">
        <f t="shared" si="343"/>
        <v>0.1934356322</v>
      </c>
      <c r="D206" s="134">
        <f t="shared" si="343"/>
        <v>0.1926687091</v>
      </c>
      <c r="F206" s="134">
        <f t="shared" ref="F206:H206" si="344">RAND()</f>
        <v>0.4959174817</v>
      </c>
      <c r="G206" s="134">
        <f t="shared" si="344"/>
        <v>0.9725734651</v>
      </c>
      <c r="H206" s="134">
        <f t="shared" si="344"/>
        <v>0.9919009424</v>
      </c>
      <c r="J206" s="135">
        <f t="shared" si="8"/>
        <v>101415463.7</v>
      </c>
      <c r="K206" s="136">
        <f>IF(J206&gt;0,MIN(99,$B$12*Q206/(J206*12*(1-Inputs!$H$16))),99)</f>
        <v>7.596050929</v>
      </c>
      <c r="L206" s="134">
        <f t="shared" si="9"/>
        <v>0.964422492</v>
      </c>
      <c r="M206" s="134">
        <f t="shared" si="10"/>
        <v>0.9834465988</v>
      </c>
      <c r="N206" s="134">
        <f t="shared" si="11"/>
        <v>0.9811462867</v>
      </c>
      <c r="O206" s="134">
        <f t="shared" si="12"/>
        <v>1.022379427</v>
      </c>
      <c r="P206" s="134">
        <f t="shared" si="13"/>
        <v>1.705284908</v>
      </c>
      <c r="Q206" s="134">
        <f t="shared" si="14"/>
        <v>1.41599112</v>
      </c>
    </row>
    <row r="207" ht="15.0" customHeight="1">
      <c r="A207" s="13">
        <v>168.0</v>
      </c>
      <c r="B207" s="134">
        <f t="shared" ref="B207:D207" si="345">RAND()</f>
        <v>0.8661957878</v>
      </c>
      <c r="C207" s="134">
        <f t="shared" si="345"/>
        <v>0.2312598346</v>
      </c>
      <c r="D207" s="134">
        <f t="shared" si="345"/>
        <v>0.8137616664</v>
      </c>
      <c r="F207" s="134">
        <f t="shared" ref="F207:H207" si="346">RAND()</f>
        <v>0.2029588992</v>
      </c>
      <c r="G207" s="134">
        <f t="shared" si="346"/>
        <v>0.2370365157</v>
      </c>
      <c r="H207" s="134">
        <f t="shared" si="346"/>
        <v>0.008673240224</v>
      </c>
      <c r="J207" s="135">
        <f t="shared" si="8"/>
        <v>246305675</v>
      </c>
      <c r="K207" s="136">
        <f>IF(J207&gt;0,MIN(99,$B$12*Q207/(J207*12*(1-Inputs!$H$16))),99)</f>
        <v>1.956959012</v>
      </c>
      <c r="L207" s="134">
        <f t="shared" si="9"/>
        <v>1.139360481</v>
      </c>
      <c r="M207" s="134">
        <f t="shared" si="10"/>
        <v>1.061001498</v>
      </c>
      <c r="N207" s="134">
        <f t="shared" si="11"/>
        <v>1.039894433</v>
      </c>
      <c r="O207" s="134">
        <f t="shared" si="12"/>
        <v>0.9993404808</v>
      </c>
      <c r="P207" s="134">
        <f t="shared" si="13"/>
        <v>1.032159828</v>
      </c>
      <c r="Q207" s="134">
        <f t="shared" si="14"/>
        <v>0.8859814502</v>
      </c>
    </row>
    <row r="208" ht="15.0" customHeight="1">
      <c r="A208" s="13">
        <v>169.0</v>
      </c>
      <c r="B208" s="134">
        <f t="shared" ref="B208:D208" si="347">RAND()</f>
        <v>0.04471484414</v>
      </c>
      <c r="C208" s="134">
        <f t="shared" si="347"/>
        <v>0.5725002926</v>
      </c>
      <c r="D208" s="134">
        <f t="shared" si="347"/>
        <v>0.3218577181</v>
      </c>
      <c r="F208" s="134">
        <f t="shared" ref="F208:H208" si="348">RAND()</f>
        <v>0.08584413972</v>
      </c>
      <c r="G208" s="134">
        <f t="shared" si="348"/>
        <v>0.8923892376</v>
      </c>
      <c r="H208" s="134">
        <f t="shared" si="348"/>
        <v>0.8392762045</v>
      </c>
      <c r="J208" s="135">
        <f t="shared" si="8"/>
        <v>32116584.25</v>
      </c>
      <c r="K208" s="136">
        <f>IF(J208&gt;0,MIN(99,$B$12*Q208/(J208*12*(1-Inputs!$H$16))),99)</f>
        <v>21.1971353</v>
      </c>
      <c r="L208" s="134">
        <f t="shared" si="9"/>
        <v>0.8459254536</v>
      </c>
      <c r="M208" s="134">
        <f t="shared" si="10"/>
        <v>0.9304323501</v>
      </c>
      <c r="N208" s="134">
        <f t="shared" si="11"/>
        <v>0.9934931615</v>
      </c>
      <c r="O208" s="134">
        <f t="shared" si="12"/>
        <v>0.9890417935</v>
      </c>
      <c r="P208" s="134">
        <f t="shared" si="13"/>
        <v>1.550826047</v>
      </c>
      <c r="Q208" s="134">
        <f t="shared" si="14"/>
        <v>1.251339066</v>
      </c>
    </row>
    <row r="209" ht="15.0" customHeight="1">
      <c r="A209" s="13">
        <v>170.0</v>
      </c>
      <c r="B209" s="134">
        <f t="shared" ref="B209:D209" si="349">RAND()</f>
        <v>0.1231471963</v>
      </c>
      <c r="C209" s="134">
        <f t="shared" si="349"/>
        <v>0.493267666</v>
      </c>
      <c r="D209" s="134">
        <f t="shared" si="349"/>
        <v>0.8383234579</v>
      </c>
      <c r="F209" s="134">
        <f t="shared" ref="F209:H209" si="350">RAND()</f>
        <v>0.6509877123</v>
      </c>
      <c r="G209" s="134">
        <f t="shared" si="350"/>
        <v>0.9531477999</v>
      </c>
      <c r="H209" s="134">
        <f t="shared" si="350"/>
        <v>0.5201762511</v>
      </c>
      <c r="J209" s="135">
        <f t="shared" si="8"/>
        <v>40343372.4</v>
      </c>
      <c r="K209" s="136">
        <f>IF(J209&gt;0,MIN(99,$B$12*Q209/(J209*12*(1-Inputs!$H$16))),99)</f>
        <v>14.79080033</v>
      </c>
      <c r="L209" s="134">
        <f t="shared" si="9"/>
        <v>0.8927032692</v>
      </c>
      <c r="M209" s="134">
        <f t="shared" si="10"/>
        <v>0.9513602213</v>
      </c>
      <c r="N209" s="134">
        <f t="shared" si="11"/>
        <v>1.043341689</v>
      </c>
      <c r="O209" s="134">
        <f t="shared" si="12"/>
        <v>1.037399914</v>
      </c>
      <c r="P209" s="134">
        <f t="shared" si="13"/>
        <v>1.656936302</v>
      </c>
      <c r="Q209" s="134">
        <f t="shared" si="14"/>
        <v>1.096812407</v>
      </c>
    </row>
    <row r="210" ht="15.0" customHeight="1">
      <c r="A210" s="13">
        <v>171.0</v>
      </c>
      <c r="B210" s="134">
        <f t="shared" ref="B210:D210" si="351">RAND()</f>
        <v>0.1100579062</v>
      </c>
      <c r="C210" s="134">
        <f t="shared" si="351"/>
        <v>0.03679644732</v>
      </c>
      <c r="D210" s="134">
        <f t="shared" si="351"/>
        <v>0.5023939307</v>
      </c>
      <c r="F210" s="134">
        <f t="shared" ref="F210:H210" si="352">RAND()</f>
        <v>0.769296199</v>
      </c>
      <c r="G210" s="134">
        <f t="shared" si="352"/>
        <v>0.7997495828</v>
      </c>
      <c r="H210" s="134">
        <f t="shared" si="352"/>
        <v>0.9375378722</v>
      </c>
      <c r="J210" s="135">
        <f t="shared" si="8"/>
        <v>48974313.24</v>
      </c>
      <c r="K210" s="136">
        <f>IF(J210&gt;0,MIN(99,$B$12*Q210/(J210*12*(1-Inputs!$H$16))),99)</f>
        <v>14.78895656</v>
      </c>
      <c r="L210" s="134">
        <f t="shared" si="9"/>
        <v>0.8862722537</v>
      </c>
      <c r="M210" s="134">
        <f t="shared" si="10"/>
        <v>0.9484830569</v>
      </c>
      <c r="N210" s="134">
        <f t="shared" si="11"/>
        <v>1.007852389</v>
      </c>
      <c r="O210" s="134">
        <f t="shared" si="12"/>
        <v>1.051316836</v>
      </c>
      <c r="P210" s="134">
        <f t="shared" si="13"/>
        <v>1.43723626</v>
      </c>
      <c r="Q210" s="134">
        <f t="shared" si="14"/>
        <v>1.331295209</v>
      </c>
    </row>
    <row r="211" ht="15.0" customHeight="1">
      <c r="A211" s="13">
        <v>172.0</v>
      </c>
      <c r="B211" s="134">
        <f t="shared" ref="B211:D211" si="353">RAND()</f>
        <v>0.7296549374</v>
      </c>
      <c r="C211" s="134">
        <f t="shared" si="353"/>
        <v>0.6966278604</v>
      </c>
      <c r="D211" s="134">
        <f t="shared" si="353"/>
        <v>0.7077670075</v>
      </c>
      <c r="F211" s="134">
        <f t="shared" ref="F211:H211" si="354">RAND()</f>
        <v>0.2315098112</v>
      </c>
      <c r="G211" s="134">
        <f t="shared" si="354"/>
        <v>0.7983928982</v>
      </c>
      <c r="H211" s="134">
        <f t="shared" si="354"/>
        <v>0.8300133476</v>
      </c>
      <c r="J211" s="135">
        <f t="shared" si="8"/>
        <v>190054352.4</v>
      </c>
      <c r="K211" s="136">
        <f>IF(J211&gt;0,MIN(99,$B$12*Q211/(J211*12*(1-Inputs!$H$16))),99)</f>
        <v>3.564757969</v>
      </c>
      <c r="L211" s="134">
        <f t="shared" si="9"/>
        <v>1.082198428</v>
      </c>
      <c r="M211" s="134">
        <f t="shared" si="10"/>
        <v>1.035720721</v>
      </c>
      <c r="N211" s="134">
        <f t="shared" si="11"/>
        <v>1.027137409</v>
      </c>
      <c r="O211" s="134">
        <f t="shared" si="12"/>
        <v>1.00138263</v>
      </c>
      <c r="P211" s="134">
        <f t="shared" si="13"/>
        <v>1.435797223</v>
      </c>
      <c r="Q211" s="134">
        <f t="shared" si="14"/>
        <v>1.245306771</v>
      </c>
    </row>
    <row r="212" ht="15.0" customHeight="1">
      <c r="A212" s="13">
        <v>173.0</v>
      </c>
      <c r="B212" s="134">
        <f t="shared" ref="B212:D212" si="355">RAND()</f>
        <v>0.18724468</v>
      </c>
      <c r="C212" s="134">
        <f t="shared" si="355"/>
        <v>0.8141684657</v>
      </c>
      <c r="D212" s="134">
        <f t="shared" si="355"/>
        <v>0.3536487951</v>
      </c>
      <c r="F212" s="134">
        <f t="shared" ref="F212:H212" si="356">RAND()</f>
        <v>0.2223192878</v>
      </c>
      <c r="G212" s="134">
        <f t="shared" si="356"/>
        <v>0.1747025443</v>
      </c>
      <c r="H212" s="134">
        <f t="shared" si="356"/>
        <v>0.4852674982</v>
      </c>
      <c r="J212" s="135">
        <f t="shared" si="8"/>
        <v>98486646.03</v>
      </c>
      <c r="K212" s="136">
        <f>IF(J212&gt;0,MIN(99,$B$12*Q212/(J212*12*(1-Inputs!$H$16))),99)</f>
        <v>5.986378537</v>
      </c>
      <c r="L212" s="134">
        <f t="shared" si="9"/>
        <v>0.9201379568</v>
      </c>
      <c r="M212" s="134">
        <f t="shared" si="10"/>
        <v>0.9636341934</v>
      </c>
      <c r="N212" s="134">
        <f t="shared" si="11"/>
        <v>0.9961242767</v>
      </c>
      <c r="O212" s="134">
        <f t="shared" si="12"/>
        <v>1.000724137</v>
      </c>
      <c r="P212" s="134">
        <f t="shared" si="13"/>
        <v>0.9988916984</v>
      </c>
      <c r="Q212" s="134">
        <f t="shared" si="14"/>
        <v>1.083702323</v>
      </c>
    </row>
    <row r="213" ht="15.0" customHeight="1">
      <c r="A213" s="13">
        <v>174.0</v>
      </c>
      <c r="B213" s="134">
        <f t="shared" ref="B213:D213" si="357">RAND()</f>
        <v>0.8248849944</v>
      </c>
      <c r="C213" s="134">
        <f t="shared" si="357"/>
        <v>0.2695794296</v>
      </c>
      <c r="D213" s="134">
        <f t="shared" si="357"/>
        <v>0.3084154011</v>
      </c>
      <c r="F213" s="134">
        <f t="shared" ref="F213:H213" si="358">RAND()</f>
        <v>0.2499711087</v>
      </c>
      <c r="G213" s="134">
        <f t="shared" si="358"/>
        <v>0.4706823944</v>
      </c>
      <c r="H213" s="134">
        <f t="shared" si="358"/>
        <v>0.5977621838</v>
      </c>
      <c r="J213" s="135">
        <f t="shared" si="8"/>
        <v>236840837</v>
      </c>
      <c r="K213" s="136">
        <f>IF(J213&gt;0,MIN(99,$B$12*Q213/(J213*12*(1-Inputs!$H$16))),99)</f>
        <v>2.590588261</v>
      </c>
      <c r="L213" s="134">
        <f t="shared" si="9"/>
        <v>1.119828117</v>
      </c>
      <c r="M213" s="134">
        <f t="shared" si="10"/>
        <v>1.052363017</v>
      </c>
      <c r="N213" s="134">
        <f t="shared" si="11"/>
        <v>0.9923416627</v>
      </c>
      <c r="O213" s="134">
        <f t="shared" si="12"/>
        <v>1.002717374</v>
      </c>
      <c r="P213" s="134">
        <f t="shared" si="13"/>
        <v>1.170932749</v>
      </c>
      <c r="Q213" s="134">
        <f t="shared" si="14"/>
        <v>1.127777593</v>
      </c>
    </row>
    <row r="214" ht="15.0" customHeight="1">
      <c r="A214" s="13">
        <v>175.0</v>
      </c>
      <c r="B214" s="134">
        <f t="shared" ref="B214:D214" si="359">RAND()</f>
        <v>0.5376651206</v>
      </c>
      <c r="C214" s="134">
        <f t="shared" si="359"/>
        <v>0.2520966731</v>
      </c>
      <c r="D214" s="134">
        <f t="shared" si="359"/>
        <v>0.8176069071</v>
      </c>
      <c r="F214" s="134">
        <f t="shared" ref="F214:H214" si="360">RAND()</f>
        <v>0.2430329645</v>
      </c>
      <c r="G214" s="134">
        <f t="shared" si="360"/>
        <v>0.7215673291</v>
      </c>
      <c r="H214" s="134">
        <f t="shared" si="360"/>
        <v>0.1112312012</v>
      </c>
      <c r="J214" s="135">
        <f t="shared" si="8"/>
        <v>146324583.9</v>
      </c>
      <c r="K214" s="136">
        <f>IF(J214&gt;0,MIN(99,$B$12*Q214/(J214*12*(1-Inputs!$H$16))),99)</f>
        <v>3.555353029</v>
      </c>
      <c r="L214" s="134">
        <f t="shared" si="9"/>
        <v>1.022867007</v>
      </c>
      <c r="M214" s="134">
        <f t="shared" si="10"/>
        <v>1.009480509</v>
      </c>
      <c r="N214" s="134">
        <f t="shared" si="11"/>
        <v>1.04041841</v>
      </c>
      <c r="O214" s="134">
        <f t="shared" si="12"/>
        <v>1.002213843</v>
      </c>
      <c r="P214" s="134">
        <f t="shared" si="13"/>
        <v>1.360997581</v>
      </c>
      <c r="Q214" s="134">
        <f t="shared" si="14"/>
        <v>0.9562435298</v>
      </c>
    </row>
    <row r="215" ht="15.0" customHeight="1">
      <c r="A215" s="13">
        <v>176.0</v>
      </c>
      <c r="B215" s="134">
        <f t="shared" ref="B215:D215" si="361">RAND()</f>
        <v>0.3599423736</v>
      </c>
      <c r="C215" s="134">
        <f t="shared" si="361"/>
        <v>0.5310313083</v>
      </c>
      <c r="D215" s="134">
        <f t="shared" si="361"/>
        <v>0.09384373915</v>
      </c>
      <c r="F215" s="134">
        <f t="shared" ref="F215:H215" si="362">RAND()</f>
        <v>0.3840962584</v>
      </c>
      <c r="G215" s="134">
        <f t="shared" si="362"/>
        <v>0.1380603224</v>
      </c>
      <c r="H215" s="134">
        <f t="shared" si="362"/>
        <v>0.9544885681</v>
      </c>
      <c r="J215" s="135">
        <f t="shared" si="8"/>
        <v>141382060.6</v>
      </c>
      <c r="K215" s="136">
        <f>IF(J215&gt;0,MIN(99,$B$12*Q215/(J215*12*(1-Inputs!$H$16))),99)</f>
        <v>5.197414376</v>
      </c>
      <c r="L215" s="134">
        <f t="shared" si="9"/>
        <v>0.9762300103</v>
      </c>
      <c r="M215" s="134">
        <f t="shared" si="10"/>
        <v>0.9887291503</v>
      </c>
      <c r="N215" s="134">
        <f t="shared" si="11"/>
        <v>0.9683939005</v>
      </c>
      <c r="O215" s="134">
        <f t="shared" si="12"/>
        <v>1.012954045</v>
      </c>
      <c r="P215" s="134">
        <f t="shared" si="13"/>
        <v>0.978438717</v>
      </c>
      <c r="Q215" s="134">
        <f t="shared" si="14"/>
        <v>1.35067273</v>
      </c>
    </row>
    <row r="216" ht="15.0" customHeight="1">
      <c r="A216" s="13">
        <v>177.0</v>
      </c>
      <c r="B216" s="134">
        <f t="shared" ref="B216:D216" si="363">RAND()</f>
        <v>0.1438374944</v>
      </c>
      <c r="C216" s="134">
        <f t="shared" si="363"/>
        <v>0.666804691</v>
      </c>
      <c r="D216" s="134">
        <f t="shared" si="363"/>
        <v>0.8256273668</v>
      </c>
      <c r="F216" s="134">
        <f t="shared" ref="F216:H216" si="364">RAND()</f>
        <v>0.4452477931</v>
      </c>
      <c r="G216" s="134">
        <f t="shared" si="364"/>
        <v>0.6728765271</v>
      </c>
      <c r="H216" s="134">
        <f t="shared" si="364"/>
        <v>0.01200898155</v>
      </c>
      <c r="J216" s="135">
        <f t="shared" si="8"/>
        <v>62826934.19</v>
      </c>
      <c r="K216" s="136">
        <f>IF(J216&gt;0,MIN(99,$B$12*Q216/(J216*12*(1-Inputs!$H$16))),99)</f>
        <v>7.713679062</v>
      </c>
      <c r="L216" s="134">
        <f t="shared" si="9"/>
        <v>0.9022073823</v>
      </c>
      <c r="M216" s="134">
        <f t="shared" si="10"/>
        <v>0.9556122551</v>
      </c>
      <c r="N216" s="134">
        <f t="shared" si="11"/>
        <v>1.04152941</v>
      </c>
      <c r="O216" s="134">
        <f t="shared" si="12"/>
        <v>1.017991125</v>
      </c>
      <c r="P216" s="134">
        <f t="shared" si="13"/>
        <v>1.318891007</v>
      </c>
      <c r="Q216" s="134">
        <f t="shared" si="14"/>
        <v>0.8907911926</v>
      </c>
    </row>
    <row r="217" ht="15.0" customHeight="1">
      <c r="A217" s="13">
        <v>178.0</v>
      </c>
      <c r="B217" s="134">
        <f t="shared" ref="B217:D217" si="365">RAND()</f>
        <v>0.4174064643</v>
      </c>
      <c r="C217" s="134">
        <f t="shared" si="365"/>
        <v>0.9425249553</v>
      </c>
      <c r="D217" s="134">
        <f t="shared" si="365"/>
        <v>0.2596289913</v>
      </c>
      <c r="F217" s="134">
        <f t="shared" ref="F217:H217" si="366">RAND()</f>
        <v>0.3042572213</v>
      </c>
      <c r="G217" s="134">
        <f t="shared" si="366"/>
        <v>0.4506179227</v>
      </c>
      <c r="H217" s="134">
        <f t="shared" si="366"/>
        <v>0.1658524396</v>
      </c>
      <c r="J217" s="135">
        <f t="shared" si="8"/>
        <v>142450659.1</v>
      </c>
      <c r="K217" s="136">
        <f>IF(J217&gt;0,MIN(99,$B$12*Q217/(J217*12*(1-Inputs!$H$16))),99)</f>
        <v>3.734352885</v>
      </c>
      <c r="L217" s="134">
        <f t="shared" si="9"/>
        <v>0.9916984708</v>
      </c>
      <c r="M217" s="134">
        <f t="shared" si="10"/>
        <v>0.9956495664</v>
      </c>
      <c r="N217" s="134">
        <f t="shared" si="11"/>
        <v>0.9879357253</v>
      </c>
      <c r="O217" s="134">
        <f t="shared" si="12"/>
        <v>1.006740404</v>
      </c>
      <c r="P217" s="134">
        <f t="shared" si="13"/>
        <v>1.157942287</v>
      </c>
      <c r="Q217" s="134">
        <f t="shared" si="14"/>
        <v>0.9777960973</v>
      </c>
    </row>
    <row r="218" ht="15.0" customHeight="1">
      <c r="A218" s="13">
        <v>179.0</v>
      </c>
      <c r="B218" s="134">
        <f t="shared" ref="B218:D218" si="367">RAND()</f>
        <v>0.3864384977</v>
      </c>
      <c r="C218" s="134">
        <f t="shared" si="367"/>
        <v>0.8138508454</v>
      </c>
      <c r="D218" s="134">
        <f t="shared" si="367"/>
        <v>0.8726894057</v>
      </c>
      <c r="F218" s="134">
        <f t="shared" ref="F218:H218" si="368">RAND()</f>
        <v>0.2808818933</v>
      </c>
      <c r="G218" s="134">
        <f t="shared" si="368"/>
        <v>0.1545292782</v>
      </c>
      <c r="H218" s="134">
        <f t="shared" si="368"/>
        <v>0.6201238655</v>
      </c>
      <c r="J218" s="135">
        <f t="shared" si="8"/>
        <v>130517490.1</v>
      </c>
      <c r="K218" s="136">
        <f>IF(J218&gt;0,MIN(99,$B$12*Q218/(J218*12*(1-Inputs!$H$16))),99)</f>
        <v>4.740429455</v>
      </c>
      <c r="L218" s="134">
        <f t="shared" si="9"/>
        <v>0.9835049903</v>
      </c>
      <c r="M218" s="134">
        <f t="shared" si="10"/>
        <v>0.991983895</v>
      </c>
      <c r="N218" s="134">
        <f t="shared" si="11"/>
        <v>1.048640028</v>
      </c>
      <c r="O218" s="134">
        <f t="shared" si="12"/>
        <v>1.004989536</v>
      </c>
      <c r="P218" s="134">
        <f t="shared" si="13"/>
        <v>0.9879303786</v>
      </c>
      <c r="Q218" s="134">
        <f t="shared" si="14"/>
        <v>1.137247218</v>
      </c>
    </row>
    <row r="219" ht="15.0" customHeight="1">
      <c r="A219" s="13">
        <v>180.0</v>
      </c>
      <c r="B219" s="134">
        <f t="shared" ref="B219:D219" si="369">RAND()</f>
        <v>0.5962426115</v>
      </c>
      <c r="C219" s="134">
        <f t="shared" si="369"/>
        <v>0.2089565928</v>
      </c>
      <c r="D219" s="134">
        <f t="shared" si="369"/>
        <v>0.9575308324</v>
      </c>
      <c r="F219" s="134">
        <f t="shared" ref="F219:H219" si="370">RAND()</f>
        <v>0.1382621726</v>
      </c>
      <c r="G219" s="134">
        <f t="shared" si="370"/>
        <v>0.2731675176</v>
      </c>
      <c r="H219" s="134">
        <f t="shared" si="370"/>
        <v>0.6706956586</v>
      </c>
      <c r="J219" s="135">
        <f t="shared" si="8"/>
        <v>165406561</v>
      </c>
      <c r="K219" s="136">
        <f>IF(J219&gt;0,MIN(99,$B$12*Q219/(J219*12*(1-Inputs!$H$16))),99)</f>
        <v>3.814546901</v>
      </c>
      <c r="L219" s="134">
        <f t="shared" si="9"/>
        <v>1.039380304</v>
      </c>
      <c r="M219" s="134">
        <f t="shared" si="10"/>
        <v>1.016783763</v>
      </c>
      <c r="N219" s="134">
        <f t="shared" si="11"/>
        <v>1.066275249</v>
      </c>
      <c r="O219" s="134">
        <f t="shared" si="12"/>
        <v>0.9941967314</v>
      </c>
      <c r="P219" s="134">
        <f t="shared" si="13"/>
        <v>1.052065503</v>
      </c>
      <c r="Q219" s="134">
        <f t="shared" si="14"/>
        <v>1.159749443</v>
      </c>
    </row>
    <row r="220" ht="15.0" customHeight="1">
      <c r="A220" s="13">
        <v>181.0</v>
      </c>
      <c r="B220" s="134">
        <f t="shared" ref="B220:D220" si="371">RAND()</f>
        <v>0.2925962006</v>
      </c>
      <c r="C220" s="134">
        <f t="shared" si="371"/>
        <v>0.6466619608</v>
      </c>
      <c r="D220" s="134">
        <f t="shared" si="371"/>
        <v>0.01770773568</v>
      </c>
      <c r="F220" s="134">
        <f t="shared" ref="F220:H220" si="372">RAND()</f>
        <v>0.7863035882</v>
      </c>
      <c r="G220" s="134">
        <f t="shared" si="372"/>
        <v>0.720737003</v>
      </c>
      <c r="H220" s="134">
        <f t="shared" si="372"/>
        <v>0.2741216546</v>
      </c>
      <c r="J220" s="135">
        <f t="shared" si="8"/>
        <v>109749530.8</v>
      </c>
      <c r="K220" s="136">
        <f>IF(J220&gt;0,MIN(99,$B$12*Q220/(J220*12*(1-Inputs!$H$16))),99)</f>
        <v>5.018850115</v>
      </c>
      <c r="L220" s="134">
        <f t="shared" si="9"/>
        <v>0.9564306274</v>
      </c>
      <c r="M220" s="134">
        <f t="shared" si="10"/>
        <v>0.979871128</v>
      </c>
      <c r="N220" s="134">
        <f t="shared" si="11"/>
        <v>0.9517304659</v>
      </c>
      <c r="O220" s="134">
        <f t="shared" si="12"/>
        <v>1.053590194</v>
      </c>
      <c r="P220" s="134">
        <f t="shared" si="13"/>
        <v>1.360249965</v>
      </c>
      <c r="Q220" s="134">
        <f t="shared" si="14"/>
        <v>1.012454184</v>
      </c>
    </row>
    <row r="221" ht="15.0" customHeight="1">
      <c r="A221" s="13">
        <v>182.0</v>
      </c>
      <c r="B221" s="134">
        <f t="shared" ref="B221:D221" si="373">RAND()</f>
        <v>0.9059625283</v>
      </c>
      <c r="C221" s="134">
        <f t="shared" si="373"/>
        <v>0.8396102644</v>
      </c>
      <c r="D221" s="134">
        <f t="shared" si="373"/>
        <v>0.07930955221</v>
      </c>
      <c r="F221" s="134">
        <f t="shared" ref="F221:H221" si="374">RAND()</f>
        <v>0.2929035849</v>
      </c>
      <c r="G221" s="134">
        <f t="shared" si="374"/>
        <v>0.009123993118</v>
      </c>
      <c r="H221" s="134">
        <f t="shared" si="374"/>
        <v>0.4121435683</v>
      </c>
      <c r="J221" s="135">
        <f t="shared" si="8"/>
        <v>287530703.1</v>
      </c>
      <c r="K221" s="136">
        <f>IF(J221&gt;0,MIN(99,$B$12*Q221/(J221*12*(1-Inputs!$H$16))),99)</f>
        <v>2.001118878</v>
      </c>
      <c r="L221" s="134">
        <f t="shared" si="9"/>
        <v>1.161289172</v>
      </c>
      <c r="M221" s="134">
        <f t="shared" si="10"/>
        <v>1.070699791</v>
      </c>
      <c r="N221" s="134">
        <f t="shared" si="11"/>
        <v>0.9660165789</v>
      </c>
      <c r="O221" s="134">
        <f t="shared" si="12"/>
        <v>1.005886376</v>
      </c>
      <c r="P221" s="134">
        <f t="shared" si="13"/>
        <v>0.8567841356</v>
      </c>
      <c r="Q221" s="134">
        <f t="shared" si="14"/>
        <v>1.057610117</v>
      </c>
    </row>
    <row r="222" ht="15.0" customHeight="1">
      <c r="A222" s="13">
        <v>183.0</v>
      </c>
      <c r="B222" s="134">
        <f t="shared" ref="B222:D222" si="375">RAND()</f>
        <v>0.776165316</v>
      </c>
      <c r="C222" s="134">
        <f t="shared" si="375"/>
        <v>0.6478190563</v>
      </c>
      <c r="D222" s="134">
        <f t="shared" si="375"/>
        <v>0.811356075</v>
      </c>
      <c r="F222" s="134">
        <f t="shared" ref="F222:H222" si="376">RAND()</f>
        <v>0.935706698</v>
      </c>
      <c r="G222" s="134">
        <f t="shared" si="376"/>
        <v>0.3010755057</v>
      </c>
      <c r="H222" s="134">
        <f t="shared" si="376"/>
        <v>0.2821614101</v>
      </c>
      <c r="J222" s="135">
        <f t="shared" si="8"/>
        <v>201020024.8</v>
      </c>
      <c r="K222" s="136">
        <f>IF(J222&gt;0,MIN(99,$B$12*Q222/(J222*12*(1-Inputs!$H$16))),99)</f>
        <v>2.746888666</v>
      </c>
      <c r="L222" s="134">
        <f t="shared" si="9"/>
        <v>1.099565485</v>
      </c>
      <c r="M222" s="134">
        <f t="shared" si="10"/>
        <v>1.043401563</v>
      </c>
      <c r="N222" s="134">
        <f t="shared" si="11"/>
        <v>1.039569379</v>
      </c>
      <c r="O222" s="134">
        <f t="shared" si="12"/>
        <v>1.079886817</v>
      </c>
      <c r="P222" s="134">
        <f t="shared" si="13"/>
        <v>1.06778197</v>
      </c>
      <c r="Q222" s="134">
        <f t="shared" si="14"/>
        <v>1.014959846</v>
      </c>
    </row>
    <row r="223" ht="15.0" customHeight="1">
      <c r="A223" s="13">
        <v>184.0</v>
      </c>
      <c r="B223" s="134">
        <f t="shared" ref="B223:D223" si="377">RAND()</f>
        <v>0.8871949935</v>
      </c>
      <c r="C223" s="134">
        <f t="shared" si="377"/>
        <v>0.6864226774</v>
      </c>
      <c r="D223" s="134">
        <f t="shared" si="377"/>
        <v>0.4434623716</v>
      </c>
      <c r="F223" s="134">
        <f t="shared" ref="F223:H223" si="378">RAND()</f>
        <v>0.6110083035</v>
      </c>
      <c r="G223" s="134">
        <f t="shared" si="378"/>
        <v>0.7814005138</v>
      </c>
      <c r="H223" s="134">
        <f t="shared" si="378"/>
        <v>0.4681922306</v>
      </c>
      <c r="J223" s="135">
        <f t="shared" si="8"/>
        <v>243859172.6</v>
      </c>
      <c r="K223" s="136">
        <f>IF(J223&gt;0,MIN(99,$B$12*Q223/(J223*12*(1-Inputs!$H$16))),99)</f>
        <v>2.403755194</v>
      </c>
      <c r="L223" s="134">
        <f t="shared" si="9"/>
        <v>1.150458086</v>
      </c>
      <c r="M223" s="134">
        <f t="shared" si="10"/>
        <v>1.06590958</v>
      </c>
      <c r="N223" s="134">
        <f t="shared" si="11"/>
        <v>1.003101808</v>
      </c>
      <c r="O223" s="134">
        <f t="shared" si="12"/>
        <v>1.033252242</v>
      </c>
      <c r="P223" s="134">
        <f t="shared" si="13"/>
        <v>1.41816772</v>
      </c>
      <c r="Q223" s="134">
        <f t="shared" si="14"/>
        <v>1.077451705</v>
      </c>
    </row>
    <row r="224" ht="15.0" customHeight="1">
      <c r="A224" s="13">
        <v>185.0</v>
      </c>
      <c r="B224" s="134">
        <f t="shared" ref="B224:D224" si="379">RAND()</f>
        <v>0.6051609667</v>
      </c>
      <c r="C224" s="134">
        <f t="shared" si="379"/>
        <v>0.8257691191</v>
      </c>
      <c r="D224" s="134">
        <f t="shared" si="379"/>
        <v>0.3447354176</v>
      </c>
      <c r="F224" s="134">
        <f t="shared" ref="F224:H224" si="380">RAND()</f>
        <v>0.4511812524</v>
      </c>
      <c r="G224" s="134">
        <f t="shared" si="380"/>
        <v>0.4337967381</v>
      </c>
      <c r="H224" s="134">
        <f t="shared" si="380"/>
        <v>0.4584242109</v>
      </c>
      <c r="J224" s="135">
        <f t="shared" si="8"/>
        <v>175527327.1</v>
      </c>
      <c r="K224" s="136">
        <f>IF(J224&gt;0,MIN(99,$B$12*Q224/(J224*12*(1-Inputs!$H$16))),99)</f>
        <v>3.328581105</v>
      </c>
      <c r="L224" s="134">
        <f t="shared" si="9"/>
        <v>1.041997066</v>
      </c>
      <c r="M224" s="134">
        <f t="shared" si="10"/>
        <v>1.017941065</v>
      </c>
      <c r="N224" s="134">
        <f t="shared" si="11"/>
        <v>0.9953989512</v>
      </c>
      <c r="O224" s="134">
        <f t="shared" si="12"/>
        <v>1.018494333</v>
      </c>
      <c r="P224" s="134">
        <f t="shared" si="13"/>
        <v>1.147233362</v>
      </c>
      <c r="Q224" s="134">
        <f t="shared" si="14"/>
        <v>1.073921073</v>
      </c>
    </row>
    <row r="225" ht="15.0" customHeight="1">
      <c r="A225" s="13">
        <v>186.0</v>
      </c>
      <c r="B225" s="134">
        <f t="shared" ref="B225:D225" si="381">RAND()</f>
        <v>0.7035726236</v>
      </c>
      <c r="C225" s="134">
        <f t="shared" si="381"/>
        <v>0.937005003</v>
      </c>
      <c r="D225" s="134">
        <f t="shared" si="381"/>
        <v>0.1272507216</v>
      </c>
      <c r="F225" s="134">
        <f t="shared" ref="F225:H225" si="382">RAND()</f>
        <v>0.7159359747</v>
      </c>
      <c r="G225" s="134">
        <f t="shared" si="382"/>
        <v>0.5890642147</v>
      </c>
      <c r="H225" s="134">
        <f t="shared" si="382"/>
        <v>0.8370537455</v>
      </c>
      <c r="J225" s="135">
        <f t="shared" si="8"/>
        <v>195381425.4</v>
      </c>
      <c r="K225" s="136">
        <f>IF(J225&gt;0,MIN(99,$B$12*Q225/(J225*12*(1-Inputs!$H$16))),99)</f>
        <v>3.48028848</v>
      </c>
      <c r="L225" s="134">
        <f t="shared" si="9"/>
        <v>1.073112001</v>
      </c>
      <c r="M225" s="134">
        <f t="shared" si="10"/>
        <v>1.031702112</v>
      </c>
      <c r="N225" s="134">
        <f t="shared" si="11"/>
        <v>0.973239277</v>
      </c>
      <c r="O225" s="134">
        <f t="shared" si="12"/>
        <v>1.044681919</v>
      </c>
      <c r="P225" s="134">
        <f t="shared" si="13"/>
        <v>1.253186673</v>
      </c>
      <c r="Q225" s="134">
        <f t="shared" si="14"/>
        <v>1.249876202</v>
      </c>
    </row>
    <row r="226" ht="15.0" customHeight="1">
      <c r="A226" s="13">
        <v>187.0</v>
      </c>
      <c r="B226" s="134">
        <f t="shared" ref="B226:D226" si="383">RAND()</f>
        <v>0.7700687731</v>
      </c>
      <c r="C226" s="134">
        <f t="shared" si="383"/>
        <v>0.4836187625</v>
      </c>
      <c r="D226" s="134">
        <f t="shared" si="383"/>
        <v>0.342269435</v>
      </c>
      <c r="F226" s="134">
        <f t="shared" ref="F226:H226" si="384">RAND()</f>
        <v>0.005877649014</v>
      </c>
      <c r="G226" s="134">
        <f t="shared" si="384"/>
        <v>0.7436027969</v>
      </c>
      <c r="H226" s="134">
        <f t="shared" si="384"/>
        <v>0.9336368899</v>
      </c>
      <c r="J226" s="135">
        <f t="shared" si="8"/>
        <v>215383652.9</v>
      </c>
      <c r="K226" s="136">
        <f>IF(J226&gt;0,MIN(99,$B$12*Q226/(J226*12*(1-Inputs!$H$16))),99)</f>
        <v>3.352457307</v>
      </c>
      <c r="L226" s="134">
        <f t="shared" si="9"/>
        <v>1.097192397</v>
      </c>
      <c r="M226" s="134">
        <f t="shared" si="10"/>
        <v>1.042352029</v>
      </c>
      <c r="N226" s="134">
        <f t="shared" si="11"/>
        <v>0.9951966307</v>
      </c>
      <c r="O226" s="134">
        <f t="shared" si="12"/>
        <v>0.9748981777</v>
      </c>
      <c r="P226" s="134">
        <f t="shared" si="13"/>
        <v>1.38126204</v>
      </c>
      <c r="Q226" s="134">
        <f t="shared" si="14"/>
        <v>1.327224761</v>
      </c>
    </row>
    <row r="227" ht="15.0" customHeight="1">
      <c r="A227" s="13">
        <v>188.0</v>
      </c>
      <c r="B227" s="134">
        <f t="shared" ref="B227:D227" si="385">RAND()</f>
        <v>0.1627041158</v>
      </c>
      <c r="C227" s="134">
        <f t="shared" si="385"/>
        <v>0.2989547341</v>
      </c>
      <c r="D227" s="134">
        <f t="shared" si="385"/>
        <v>0.2571653372</v>
      </c>
      <c r="F227" s="134">
        <f t="shared" ref="F227:H227" si="386">RAND()</f>
        <v>0.543638016</v>
      </c>
      <c r="G227" s="134">
        <f t="shared" si="386"/>
        <v>0.5496823385</v>
      </c>
      <c r="H227" s="134">
        <f t="shared" si="386"/>
        <v>0.3323590236</v>
      </c>
      <c r="J227" s="135">
        <f t="shared" si="8"/>
        <v>80727207.4</v>
      </c>
      <c r="K227" s="136">
        <f>IF(J227&gt;0,MIN(99,$B$12*Q227/(J227*12*(1-Inputs!$H$16))),99)</f>
        <v>6.947711248</v>
      </c>
      <c r="L227" s="134">
        <f t="shared" si="9"/>
        <v>0.9102930635</v>
      </c>
      <c r="M227" s="134">
        <f t="shared" si="10"/>
        <v>0.9592296983</v>
      </c>
      <c r="N227" s="134">
        <f t="shared" si="11"/>
        <v>0.9877026742</v>
      </c>
      <c r="O227" s="134">
        <f t="shared" si="12"/>
        <v>1.026718941</v>
      </c>
      <c r="P227" s="134">
        <f t="shared" si="13"/>
        <v>1.22464543</v>
      </c>
      <c r="Q227" s="134">
        <f t="shared" si="14"/>
        <v>1.030932358</v>
      </c>
    </row>
    <row r="228" ht="15.0" customHeight="1">
      <c r="A228" s="13">
        <v>189.0</v>
      </c>
      <c r="B228" s="134">
        <f t="shared" ref="B228:D228" si="387">RAND()</f>
        <v>0.2091013613</v>
      </c>
      <c r="C228" s="134">
        <f t="shared" si="387"/>
        <v>0.1189876908</v>
      </c>
      <c r="D228" s="134">
        <f t="shared" si="387"/>
        <v>0.3351274007</v>
      </c>
      <c r="F228" s="134">
        <f t="shared" ref="F228:H228" si="388">RAND()</f>
        <v>0.62080151</v>
      </c>
      <c r="G228" s="134">
        <f t="shared" si="388"/>
        <v>0.128070009</v>
      </c>
      <c r="H228" s="134">
        <f t="shared" si="388"/>
        <v>0.07946296968</v>
      </c>
      <c r="J228" s="135">
        <f t="shared" si="8"/>
        <v>99712054.52</v>
      </c>
      <c r="K228" s="136">
        <f>IF(J228&gt;0,MIN(99,$B$12*Q228/(J228*12*(1-Inputs!$H$16))),99)</f>
        <v>5.13505356</v>
      </c>
      <c r="L228" s="134">
        <f t="shared" si="9"/>
        <v>0.9283750408</v>
      </c>
      <c r="M228" s="134">
        <f t="shared" si="10"/>
        <v>0.9673193726</v>
      </c>
      <c r="N228" s="134">
        <f t="shared" si="11"/>
        <v>0.9946065173</v>
      </c>
      <c r="O228" s="134">
        <f t="shared" si="12"/>
        <v>1.034247733</v>
      </c>
      <c r="P228" s="134">
        <f t="shared" si="13"/>
        <v>0.9724028189</v>
      </c>
      <c r="Q228" s="134">
        <f t="shared" si="14"/>
        <v>0.941154935</v>
      </c>
    </row>
    <row r="229" ht="15.0" customHeight="1">
      <c r="A229" s="13">
        <v>190.0</v>
      </c>
      <c r="B229" s="134">
        <f t="shared" ref="B229:D229" si="389">RAND()</f>
        <v>0.09327453445</v>
      </c>
      <c r="C229" s="134">
        <f t="shared" si="389"/>
        <v>0.5531860759</v>
      </c>
      <c r="D229" s="134">
        <f t="shared" si="389"/>
        <v>0.4997211626</v>
      </c>
      <c r="F229" s="134">
        <f t="shared" ref="F229:H229" si="390">RAND()</f>
        <v>0.9943098604</v>
      </c>
      <c r="G229" s="134">
        <f t="shared" si="390"/>
        <v>0.7880069347</v>
      </c>
      <c r="H229" s="134">
        <f t="shared" si="390"/>
        <v>0.02845917441</v>
      </c>
      <c r="J229" s="135">
        <f t="shared" si="8"/>
        <v>35286001.79</v>
      </c>
      <c r="K229" s="136">
        <f>IF(J229&gt;0,MIN(99,$B$12*Q229/(J229*12*(1-Inputs!$H$16))),99)</f>
        <v>14.00064771</v>
      </c>
      <c r="L229" s="134">
        <f t="shared" si="9"/>
        <v>0.8774372253</v>
      </c>
      <c r="M229" s="134">
        <f t="shared" si="10"/>
        <v>0.9445303641</v>
      </c>
      <c r="N229" s="134">
        <f t="shared" si="11"/>
        <v>1.007631029</v>
      </c>
      <c r="O229" s="134">
        <f t="shared" si="12"/>
        <v>1.102330059</v>
      </c>
      <c r="P229" s="134">
        <f t="shared" si="13"/>
        <v>1.424937493</v>
      </c>
      <c r="Q229" s="134">
        <f t="shared" si="14"/>
        <v>0.908069441</v>
      </c>
    </row>
    <row r="230" ht="15.0" customHeight="1">
      <c r="A230" s="13">
        <v>191.0</v>
      </c>
      <c r="B230" s="134">
        <f t="shared" ref="B230:D230" si="391">RAND()</f>
        <v>0.4579867147</v>
      </c>
      <c r="C230" s="134">
        <f t="shared" si="391"/>
        <v>0.6024181535</v>
      </c>
      <c r="D230" s="134">
        <f t="shared" si="391"/>
        <v>0.05761995487</v>
      </c>
      <c r="F230" s="134">
        <f t="shared" ref="F230:H230" si="392">RAND()</f>
        <v>0.6201725444</v>
      </c>
      <c r="G230" s="134">
        <f t="shared" si="392"/>
        <v>0.2801840028</v>
      </c>
      <c r="H230" s="134">
        <f t="shared" si="392"/>
        <v>0.2892881612</v>
      </c>
      <c r="J230" s="135">
        <f t="shared" si="8"/>
        <v>154655296.9</v>
      </c>
      <c r="K230" s="136">
        <f>IF(J230&gt;0,MIN(99,$B$12*Q230/(J230*12*(1-Inputs!$H$16))),99)</f>
        <v>3.578244088</v>
      </c>
      <c r="L230" s="134">
        <f t="shared" si="9"/>
        <v>1.00200398</v>
      </c>
      <c r="M230" s="134">
        <f t="shared" si="10"/>
        <v>1.000253522</v>
      </c>
      <c r="N230" s="134">
        <f t="shared" si="11"/>
        <v>0.9620179868</v>
      </c>
      <c r="O230" s="134">
        <f t="shared" si="12"/>
        <v>1.034183414</v>
      </c>
      <c r="P230" s="134">
        <f t="shared" si="13"/>
        <v>1.055988046</v>
      </c>
      <c r="Q230" s="134">
        <f t="shared" si="14"/>
        <v>1.017192719</v>
      </c>
    </row>
    <row r="231" ht="15.0" customHeight="1">
      <c r="A231" s="13">
        <v>192.0</v>
      </c>
      <c r="B231" s="134">
        <f t="shared" ref="B231:D231" si="393">RAND()</f>
        <v>0.1929109796</v>
      </c>
      <c r="C231" s="134">
        <f t="shared" si="393"/>
        <v>0.05180853735</v>
      </c>
      <c r="D231" s="134">
        <f t="shared" si="393"/>
        <v>0.3681050003</v>
      </c>
      <c r="F231" s="134">
        <f t="shared" ref="F231:H231" si="394">RAND()</f>
        <v>0.7507531803</v>
      </c>
      <c r="G231" s="134">
        <f t="shared" si="394"/>
        <v>0.6538121489</v>
      </c>
      <c r="H231" s="134">
        <f t="shared" si="394"/>
        <v>0.5909371487</v>
      </c>
      <c r="J231" s="135">
        <f t="shared" si="8"/>
        <v>80169305.58</v>
      </c>
      <c r="K231" s="136">
        <f>IF(J231&gt;0,MIN(99,$B$12*Q231/(J231*12*(1-Inputs!$H$16))),99)</f>
        <v>7.634011154</v>
      </c>
      <c r="L231" s="134">
        <f t="shared" si="9"/>
        <v>0.9223176337</v>
      </c>
      <c r="M231" s="134">
        <f t="shared" si="10"/>
        <v>0.9646093565</v>
      </c>
      <c r="N231" s="134">
        <f t="shared" si="11"/>
        <v>0.9972814825</v>
      </c>
      <c r="O231" s="134">
        <f t="shared" si="12"/>
        <v>1.048931766</v>
      </c>
      <c r="P231" s="134">
        <f t="shared" si="13"/>
        <v>1.30326721</v>
      </c>
      <c r="Q231" s="134">
        <f t="shared" si="14"/>
        <v>1.124940087</v>
      </c>
    </row>
    <row r="232" ht="15.0" customHeight="1">
      <c r="A232" s="13">
        <v>193.0</v>
      </c>
      <c r="B232" s="134">
        <f t="shared" ref="B232:D232" si="395">RAND()</f>
        <v>0.2335275908</v>
      </c>
      <c r="C232" s="134">
        <f t="shared" si="395"/>
        <v>0.9200227063</v>
      </c>
      <c r="D232" s="134">
        <f t="shared" si="395"/>
        <v>0.4343578903</v>
      </c>
      <c r="F232" s="134">
        <f t="shared" ref="F232:H232" si="396">RAND()</f>
        <v>0.2134092846</v>
      </c>
      <c r="G232" s="134">
        <f t="shared" si="396"/>
        <v>0.7459832221</v>
      </c>
      <c r="H232" s="134">
        <f t="shared" si="396"/>
        <v>0.1884979221</v>
      </c>
      <c r="J232" s="135">
        <f t="shared" si="8"/>
        <v>94194118.68</v>
      </c>
      <c r="K232" s="136">
        <f>IF(J232&gt;0,MIN(99,$B$12*Q232/(J232*12*(1-Inputs!$H$16))),99)</f>
        <v>5.69293295</v>
      </c>
      <c r="L232" s="134">
        <f t="shared" si="9"/>
        <v>0.9370859462</v>
      </c>
      <c r="M232" s="134">
        <f t="shared" si="10"/>
        <v>0.9712165342</v>
      </c>
      <c r="N232" s="134">
        <f t="shared" si="11"/>
        <v>1.002390748</v>
      </c>
      <c r="O232" s="134">
        <f t="shared" si="12"/>
        <v>1.000089447</v>
      </c>
      <c r="P232" s="134">
        <f t="shared" si="13"/>
        <v>1.383502426</v>
      </c>
      <c r="Q232" s="134">
        <f t="shared" si="14"/>
        <v>0.9856627342</v>
      </c>
    </row>
    <row r="233" ht="15.0" customHeight="1">
      <c r="A233" s="13">
        <v>194.0</v>
      </c>
      <c r="B233" s="134">
        <f t="shared" ref="B233:D233" si="397">RAND()</f>
        <v>0.469908545</v>
      </c>
      <c r="C233" s="134">
        <f t="shared" si="397"/>
        <v>0.005526203761</v>
      </c>
      <c r="D233" s="134">
        <f t="shared" si="397"/>
        <v>0.006252979936</v>
      </c>
      <c r="F233" s="134">
        <f t="shared" ref="F233:H233" si="398">RAND()</f>
        <v>0.1488570062</v>
      </c>
      <c r="G233" s="134">
        <f t="shared" si="398"/>
        <v>0.09785015487</v>
      </c>
      <c r="H233" s="134">
        <f t="shared" si="398"/>
        <v>0.2970806653</v>
      </c>
      <c r="J233" s="135">
        <f t="shared" si="8"/>
        <v>170603678.3</v>
      </c>
      <c r="K233" s="136">
        <f>IF(J233&gt;0,MIN(99,$B$12*Q233/(J233*12*(1-Inputs!$H$16))),99)</f>
        <v>3.251569092</v>
      </c>
      <c r="L233" s="134">
        <f t="shared" si="9"/>
        <v>1.00502301</v>
      </c>
      <c r="M233" s="134">
        <f t="shared" si="10"/>
        <v>1.001588733</v>
      </c>
      <c r="N233" s="134">
        <f t="shared" si="11"/>
        <v>0.9465377492</v>
      </c>
      <c r="O233" s="134">
        <f t="shared" si="12"/>
        <v>0.9951110004</v>
      </c>
      <c r="P233" s="134">
        <f t="shared" si="13"/>
        <v>0.9525452439</v>
      </c>
      <c r="Q233" s="134">
        <f t="shared" si="14"/>
        <v>1.01964703</v>
      </c>
    </row>
    <row r="234" ht="15.0" customHeight="1">
      <c r="A234" s="13">
        <v>195.0</v>
      </c>
      <c r="B234" s="134">
        <f t="shared" ref="B234:D234" si="399">RAND()</f>
        <v>0.4985663689</v>
      </c>
      <c r="C234" s="134">
        <f t="shared" si="399"/>
        <v>0.8330129623</v>
      </c>
      <c r="D234" s="134">
        <f t="shared" si="399"/>
        <v>0.7621133502</v>
      </c>
      <c r="F234" s="134">
        <f t="shared" ref="F234:H234" si="400">RAND()</f>
        <v>0.8177654664</v>
      </c>
      <c r="G234" s="134">
        <f t="shared" si="400"/>
        <v>0.2127115335</v>
      </c>
      <c r="H234" s="134">
        <f t="shared" si="400"/>
        <v>0.4348116659</v>
      </c>
      <c r="J234" s="135">
        <f t="shared" si="8"/>
        <v>144049360.1</v>
      </c>
      <c r="K234" s="136">
        <f>IF(J234&gt;0,MIN(99,$B$12*Q234/(J234*12*(1-Inputs!$H$16))),99)</f>
        <v>4.024204327</v>
      </c>
      <c r="L234" s="134">
        <f t="shared" si="9"/>
        <v>1.012422156</v>
      </c>
      <c r="M234" s="134">
        <f t="shared" si="10"/>
        <v>1.004861117</v>
      </c>
      <c r="N234" s="134">
        <f t="shared" si="11"/>
        <v>1.033320919</v>
      </c>
      <c r="O234" s="134">
        <f t="shared" si="12"/>
        <v>1.058048362</v>
      </c>
      <c r="P234" s="134">
        <f t="shared" si="13"/>
        <v>1.019022922</v>
      </c>
      <c r="Q234" s="134">
        <f t="shared" si="14"/>
        <v>1.065515663</v>
      </c>
    </row>
    <row r="235" ht="15.0" customHeight="1">
      <c r="A235" s="13">
        <v>196.0</v>
      </c>
      <c r="B235" s="134">
        <f t="shared" ref="B235:D235" si="401">RAND()</f>
        <v>0.2243944395</v>
      </c>
      <c r="C235" s="134">
        <f t="shared" si="401"/>
        <v>0.852281487</v>
      </c>
      <c r="D235" s="134">
        <f t="shared" si="401"/>
        <v>0.4485787997</v>
      </c>
      <c r="F235" s="134">
        <f t="shared" ref="F235:H235" si="402">RAND()</f>
        <v>0.4777673828</v>
      </c>
      <c r="G235" s="134">
        <f t="shared" si="402"/>
        <v>0.9481959889</v>
      </c>
      <c r="H235" s="134">
        <f t="shared" si="402"/>
        <v>0.1511376738</v>
      </c>
      <c r="J235" s="135">
        <f t="shared" si="8"/>
        <v>78427929.97</v>
      </c>
      <c r="K235" s="136">
        <f>IF(J235&gt;0,MIN(99,$B$12*Q235/(J235*12*(1-Inputs!$H$16))),99)</f>
        <v>6.745319929</v>
      </c>
      <c r="L235" s="134">
        <f t="shared" si="9"/>
        <v>0.9338847836</v>
      </c>
      <c r="M235" s="134">
        <f t="shared" si="10"/>
        <v>0.9697843699</v>
      </c>
      <c r="N235" s="134">
        <f t="shared" si="11"/>
        <v>1.003503956</v>
      </c>
      <c r="O235" s="134">
        <f t="shared" si="12"/>
        <v>1.020783204</v>
      </c>
      <c r="P235" s="134">
        <f t="shared" si="13"/>
        <v>1.646332366</v>
      </c>
      <c r="Q235" s="134">
        <f t="shared" si="14"/>
        <v>0.9723929167</v>
      </c>
    </row>
    <row r="236" ht="15.0" customHeight="1">
      <c r="A236" s="13">
        <v>197.0</v>
      </c>
      <c r="B236" s="134">
        <f t="shared" ref="B236:D236" si="403">RAND()</f>
        <v>0.4733521778</v>
      </c>
      <c r="C236" s="134">
        <f t="shared" si="403"/>
        <v>0.3972093828</v>
      </c>
      <c r="D236" s="134">
        <f t="shared" si="403"/>
        <v>0.8445014032</v>
      </c>
      <c r="F236" s="134">
        <f t="shared" ref="F236:H236" si="404">RAND()</f>
        <v>0.844167226</v>
      </c>
      <c r="G236" s="134">
        <f t="shared" si="404"/>
        <v>0.6763754213</v>
      </c>
      <c r="H236" s="134">
        <f t="shared" si="404"/>
        <v>0.4583290196</v>
      </c>
      <c r="J236" s="135">
        <f t="shared" si="8"/>
        <v>124959570.9</v>
      </c>
      <c r="K236" s="136">
        <f>IF(J236&gt;0,MIN(99,$B$12*Q236/(J236*12*(1-Inputs!$H$16))),99)</f>
        <v>4.675418676</v>
      </c>
      <c r="L236" s="134">
        <f t="shared" si="9"/>
        <v>1.005901365</v>
      </c>
      <c r="M236" s="134">
        <f t="shared" si="10"/>
        <v>1.001977199</v>
      </c>
      <c r="N236" s="134">
        <f t="shared" si="11"/>
        <v>1.044249288</v>
      </c>
      <c r="O236" s="134">
        <f t="shared" si="12"/>
        <v>1.062096926</v>
      </c>
      <c r="P236" s="134">
        <f t="shared" si="13"/>
        <v>1.321807456</v>
      </c>
      <c r="Q236" s="134">
        <f t="shared" si="14"/>
        <v>1.073886824</v>
      </c>
    </row>
    <row r="237" ht="15.0" customHeight="1">
      <c r="A237" s="13">
        <v>198.0</v>
      </c>
      <c r="B237" s="134">
        <f t="shared" ref="B237:D237" si="405">RAND()</f>
        <v>0.2848061496</v>
      </c>
      <c r="C237" s="134">
        <f t="shared" si="405"/>
        <v>0.569213526</v>
      </c>
      <c r="D237" s="134">
        <f t="shared" si="405"/>
        <v>0.2395939005</v>
      </c>
      <c r="F237" s="134">
        <f t="shared" ref="F237:H237" si="406">RAND()</f>
        <v>0.8046341216</v>
      </c>
      <c r="G237" s="134">
        <f t="shared" si="406"/>
        <v>0.8934938148</v>
      </c>
      <c r="H237" s="134">
        <f t="shared" si="406"/>
        <v>0.4259685447</v>
      </c>
      <c r="J237" s="135">
        <f t="shared" si="8"/>
        <v>93332092.67</v>
      </c>
      <c r="K237" s="136">
        <f>IF(J237&gt;0,MIN(99,$B$12*Q237/(J237*12*(1-Inputs!$H$16))),99)</f>
        <v>6.192897934</v>
      </c>
      <c r="L237" s="134">
        <f t="shared" si="9"/>
        <v>0.9539991392</v>
      </c>
      <c r="M237" s="134">
        <f t="shared" si="10"/>
        <v>0.9787833074</v>
      </c>
      <c r="N237" s="134">
        <f t="shared" si="11"/>
        <v>0.9860070433</v>
      </c>
      <c r="O237" s="134">
        <f t="shared" si="12"/>
        <v>1.056144232</v>
      </c>
      <c r="P237" s="134">
        <f t="shared" si="13"/>
        <v>1.55243114</v>
      </c>
      <c r="Q237" s="134">
        <f t="shared" si="14"/>
        <v>1.062413076</v>
      </c>
    </row>
    <row r="238" ht="15.0" customHeight="1">
      <c r="A238" s="13">
        <v>199.0</v>
      </c>
      <c r="B238" s="134">
        <f t="shared" ref="B238:D238" si="407">RAND()</f>
        <v>0.9024875796</v>
      </c>
      <c r="C238" s="134">
        <f t="shared" si="407"/>
        <v>0.2599403795</v>
      </c>
      <c r="D238" s="134">
        <f t="shared" si="407"/>
        <v>0.08265966746</v>
      </c>
      <c r="F238" s="134">
        <f t="shared" ref="F238:H238" si="408">RAND()</f>
        <v>0.3252380795</v>
      </c>
      <c r="G238" s="134">
        <f t="shared" si="408"/>
        <v>0.3460401581</v>
      </c>
      <c r="H238" s="134">
        <f t="shared" si="408"/>
        <v>0.3920093073</v>
      </c>
      <c r="J238" s="135">
        <f t="shared" si="8"/>
        <v>276347414.6</v>
      </c>
      <c r="K238" s="136">
        <f>IF(J238&gt;0,MIN(99,$B$12*Q238/(J238*12*(1-Inputs!$H$16))),99)</f>
        <v>2.068526586</v>
      </c>
      <c r="L238" s="134">
        <f t="shared" si="9"/>
        <v>1.159207264</v>
      </c>
      <c r="M238" s="134">
        <f t="shared" si="10"/>
        <v>1.069779036</v>
      </c>
      <c r="N238" s="134">
        <f t="shared" si="11"/>
        <v>0.9665826824</v>
      </c>
      <c r="O238" s="134">
        <f t="shared" si="12"/>
        <v>1.008337142</v>
      </c>
      <c r="P238" s="134">
        <f t="shared" si="13"/>
        <v>1.093779331</v>
      </c>
      <c r="Q238" s="134">
        <f t="shared" si="14"/>
        <v>1.05071515</v>
      </c>
    </row>
    <row r="239" ht="15.0" customHeight="1">
      <c r="A239" s="13">
        <v>200.0</v>
      </c>
      <c r="B239" s="134">
        <f t="shared" ref="B239:D239" si="409">RAND()</f>
        <v>0.9580864695</v>
      </c>
      <c r="C239" s="134">
        <f t="shared" si="409"/>
        <v>0.3208587272</v>
      </c>
      <c r="D239" s="134">
        <f t="shared" si="409"/>
        <v>0.3824733876</v>
      </c>
      <c r="F239" s="134">
        <f t="shared" ref="F239:H239" si="410">RAND()</f>
        <v>0.823216137</v>
      </c>
      <c r="G239" s="134">
        <f t="shared" si="410"/>
        <v>0.4692153767</v>
      </c>
      <c r="H239" s="134">
        <f t="shared" si="410"/>
        <v>0.3031357071</v>
      </c>
      <c r="J239" s="135">
        <f t="shared" si="8"/>
        <v>289439924.5</v>
      </c>
      <c r="K239" s="136">
        <f>IF(J239&gt;0,MIN(99,$B$12*Q239/(J239*12*(1-Inputs!$H$16))),99)</f>
        <v>1.920164599</v>
      </c>
      <c r="L239" s="134">
        <f t="shared" si="9"/>
        <v>1.199084847</v>
      </c>
      <c r="M239" s="134">
        <f t="shared" si="10"/>
        <v>1.087415496</v>
      </c>
      <c r="N239" s="134">
        <f t="shared" si="11"/>
        <v>0.9984093523</v>
      </c>
      <c r="O239" s="134">
        <f t="shared" si="12"/>
        <v>1.058858841</v>
      </c>
      <c r="P239" s="134">
        <f t="shared" si="13"/>
        <v>1.169974695</v>
      </c>
      <c r="Q239" s="134">
        <f t="shared" si="14"/>
        <v>1.02156352</v>
      </c>
    </row>
    <row r="240" ht="15.0" customHeight="1">
      <c r="A240" s="13">
        <v>201.0</v>
      </c>
      <c r="B240" s="134">
        <f t="shared" ref="B240:D240" si="411">RAND()</f>
        <v>0.7211092419</v>
      </c>
      <c r="C240" s="134">
        <f t="shared" si="411"/>
        <v>0.3858736211</v>
      </c>
      <c r="D240" s="134">
        <f t="shared" si="411"/>
        <v>0.5495221108</v>
      </c>
      <c r="F240" s="134">
        <f t="shared" ref="F240:H240" si="412">RAND()</f>
        <v>0.4698242015</v>
      </c>
      <c r="G240" s="134">
        <f t="shared" si="412"/>
        <v>0.9190584047</v>
      </c>
      <c r="H240" s="134">
        <f t="shared" si="412"/>
        <v>0.6823232007</v>
      </c>
      <c r="J240" s="135">
        <f t="shared" si="8"/>
        <v>182305968.5</v>
      </c>
      <c r="K240" s="136">
        <f>IF(J240&gt;0,MIN(99,$B$12*Q240/(J240*12*(1-Inputs!$H$16))),99)</f>
        <v>3.47710093</v>
      </c>
      <c r="L240" s="134">
        <f t="shared" si="9"/>
        <v>1.079174876</v>
      </c>
      <c r="M240" s="134">
        <f t="shared" si="10"/>
        <v>1.03438351</v>
      </c>
      <c r="N240" s="134">
        <f t="shared" si="11"/>
        <v>1.011858015</v>
      </c>
      <c r="O240" s="134">
        <f t="shared" si="12"/>
        <v>1.020093372</v>
      </c>
      <c r="P240" s="134">
        <f t="shared" si="13"/>
        <v>1.59222755</v>
      </c>
      <c r="Q240" s="134">
        <f t="shared" si="14"/>
        <v>1.165162948</v>
      </c>
    </row>
    <row r="241" ht="15.0" customHeight="1">
      <c r="A241" s="13">
        <v>202.0</v>
      </c>
      <c r="B241" s="134">
        <f t="shared" ref="B241:D241" si="413">RAND()</f>
        <v>0.03179321403</v>
      </c>
      <c r="C241" s="134">
        <f t="shared" si="413"/>
        <v>0.3054271219</v>
      </c>
      <c r="D241" s="134">
        <f t="shared" si="413"/>
        <v>0.6592633828</v>
      </c>
      <c r="F241" s="134">
        <f t="shared" ref="F241:H241" si="414">RAND()</f>
        <v>0.9196303077</v>
      </c>
      <c r="G241" s="134">
        <f t="shared" si="414"/>
        <v>0.673031301</v>
      </c>
      <c r="H241" s="134">
        <f t="shared" si="414"/>
        <v>0.2650739829</v>
      </c>
      <c r="J241" s="135">
        <f t="shared" si="8"/>
        <v>14283787.86</v>
      </c>
      <c r="K241" s="136">
        <f>IF(J241&gt;0,MIN(99,$B$12*Q241/(J241*12*(1-Inputs!$H$16))),99)</f>
        <v>38.45558113</v>
      </c>
      <c r="L241" s="134">
        <f t="shared" si="9"/>
        <v>0.834805824</v>
      </c>
      <c r="M241" s="134">
        <f t="shared" si="10"/>
        <v>0.9254575523</v>
      </c>
      <c r="N241" s="134">
        <f t="shared" si="11"/>
        <v>1.022089854</v>
      </c>
      <c r="O241" s="134">
        <f t="shared" si="12"/>
        <v>1.076115255</v>
      </c>
      <c r="P241" s="134">
        <f t="shared" si="13"/>
        <v>1.319019686</v>
      </c>
      <c r="Q241" s="134">
        <f t="shared" si="14"/>
        <v>1.009650934</v>
      </c>
    </row>
    <row r="242" ht="15.0" customHeight="1">
      <c r="A242" s="13">
        <v>203.0</v>
      </c>
      <c r="B242" s="134">
        <f t="shared" ref="B242:D242" si="415">RAND()</f>
        <v>0.9178297764</v>
      </c>
      <c r="C242" s="134">
        <f t="shared" si="415"/>
        <v>0.4988852955</v>
      </c>
      <c r="D242" s="134">
        <f t="shared" si="415"/>
        <v>0.3331596632</v>
      </c>
      <c r="F242" s="134">
        <f t="shared" ref="F242:H242" si="416">RAND()</f>
        <v>0.749149537</v>
      </c>
      <c r="G242" s="134">
        <f t="shared" si="416"/>
        <v>0.285806526</v>
      </c>
      <c r="H242" s="134">
        <f t="shared" si="416"/>
        <v>0.8383854838</v>
      </c>
      <c r="J242" s="135">
        <f t="shared" si="8"/>
        <v>271594315.7</v>
      </c>
      <c r="K242" s="136">
        <f>IF(J242&gt;0,MIN(99,$B$12*Q242/(J242*12*(1-Inputs!$H$16))),99)</f>
        <v>2.505427841</v>
      </c>
      <c r="L242" s="134">
        <f t="shared" si="9"/>
        <v>1.168706041</v>
      </c>
      <c r="M242" s="134">
        <f t="shared" si="10"/>
        <v>1.073980013</v>
      </c>
      <c r="N242" s="134">
        <f t="shared" si="11"/>
        <v>0.9944428299</v>
      </c>
      <c r="O242" s="134">
        <f t="shared" si="12"/>
        <v>1.048729735</v>
      </c>
      <c r="P242" s="134">
        <f t="shared" si="13"/>
        <v>1.059145118</v>
      </c>
      <c r="Q242" s="134">
        <f t="shared" si="14"/>
        <v>1.25075157</v>
      </c>
    </row>
    <row r="243" ht="15.0" customHeight="1">
      <c r="A243" s="13">
        <v>204.0</v>
      </c>
      <c r="B243" s="134">
        <f t="shared" ref="B243:D243" si="417">RAND()</f>
        <v>0.7390491619</v>
      </c>
      <c r="C243" s="134">
        <f t="shared" si="417"/>
        <v>0.4361083314</v>
      </c>
      <c r="D243" s="134">
        <f t="shared" si="417"/>
        <v>0.6085641378</v>
      </c>
      <c r="F243" s="134">
        <f t="shared" ref="F243:H243" si="418">RAND()</f>
        <v>0.6253093274</v>
      </c>
      <c r="G243" s="134">
        <f t="shared" si="418"/>
        <v>0.8114436225</v>
      </c>
      <c r="H243" s="134">
        <f t="shared" si="418"/>
        <v>0.1339244809</v>
      </c>
      <c r="J243" s="135">
        <f t="shared" si="8"/>
        <v>188823356.6</v>
      </c>
      <c r="K243" s="136">
        <f>IF(J243&gt;0,MIN(99,$B$12*Q243/(J243*12*(1-Inputs!$H$16))),99)</f>
        <v>2.782466593</v>
      </c>
      <c r="L243" s="134">
        <f t="shared" si="9"/>
        <v>1.085577878</v>
      </c>
      <c r="M243" s="134">
        <f t="shared" si="10"/>
        <v>1.037215334</v>
      </c>
      <c r="N243" s="134">
        <f t="shared" si="11"/>
        <v>1.017184906</v>
      </c>
      <c r="O243" s="134">
        <f t="shared" si="12"/>
        <v>1.034710276</v>
      </c>
      <c r="P243" s="134">
        <f t="shared" si="13"/>
        <v>1.449848003</v>
      </c>
      <c r="Q243" s="134">
        <f t="shared" si="14"/>
        <v>0.9657265104</v>
      </c>
    </row>
    <row r="244" ht="15.0" customHeight="1">
      <c r="A244" s="13">
        <v>205.0</v>
      </c>
      <c r="B244" s="134">
        <f t="shared" ref="B244:D244" si="419">RAND()</f>
        <v>0.7099656838</v>
      </c>
      <c r="C244" s="134">
        <f t="shared" si="419"/>
        <v>0.2212909717</v>
      </c>
      <c r="D244" s="134">
        <f t="shared" si="419"/>
        <v>0.3957246375</v>
      </c>
      <c r="F244" s="134">
        <f t="shared" ref="F244:H244" si="420">RAND()</f>
        <v>0.2382642703</v>
      </c>
      <c r="G244" s="134">
        <f t="shared" si="420"/>
        <v>0.8891329897</v>
      </c>
      <c r="H244" s="134">
        <f t="shared" si="420"/>
        <v>0.8832293966</v>
      </c>
      <c r="J244" s="135">
        <f t="shared" si="8"/>
        <v>187057338.6</v>
      </c>
      <c r="K244" s="136">
        <f>IF(J244&gt;0,MIN(99,$B$12*Q244/(J244*12*(1-Inputs!$H$16))),99)</f>
        <v>3.730578617</v>
      </c>
      <c r="L244" s="134">
        <f t="shared" si="9"/>
        <v>1.07530093</v>
      </c>
      <c r="M244" s="134">
        <f t="shared" si="10"/>
        <v>1.032670199</v>
      </c>
      <c r="N244" s="134">
        <f t="shared" si="11"/>
        <v>0.9994308951</v>
      </c>
      <c r="O244" s="134">
        <f t="shared" si="12"/>
        <v>1.001869095</v>
      </c>
      <c r="P244" s="134">
        <f t="shared" si="13"/>
        <v>1.546141644</v>
      </c>
      <c r="Q244" s="134">
        <f t="shared" si="14"/>
        <v>1.282683266</v>
      </c>
    </row>
    <row r="245" ht="15.0" customHeight="1">
      <c r="A245" s="13">
        <v>206.0</v>
      </c>
      <c r="B245" s="134">
        <f t="shared" ref="B245:D245" si="421">RAND()</f>
        <v>0.05920530719</v>
      </c>
      <c r="C245" s="134">
        <f t="shared" si="421"/>
        <v>0.5844827432</v>
      </c>
      <c r="D245" s="134">
        <f t="shared" si="421"/>
        <v>0.6804427526</v>
      </c>
      <c r="F245" s="134">
        <f t="shared" ref="F245:H245" si="422">RAND()</f>
        <v>0.5205782871</v>
      </c>
      <c r="G245" s="134">
        <f t="shared" si="422"/>
        <v>0.2482211891</v>
      </c>
      <c r="H245" s="134">
        <f t="shared" si="422"/>
        <v>0.4106826094</v>
      </c>
      <c r="J245" s="135">
        <f t="shared" si="8"/>
        <v>46591337.45</v>
      </c>
      <c r="K245" s="136">
        <f>IF(J245&gt;0,MIN(99,$B$12*Q245/(J245*12*(1-Inputs!$H$16))),99)</f>
        <v>12.34368495</v>
      </c>
      <c r="L245" s="134">
        <f t="shared" si="9"/>
        <v>0.856612481</v>
      </c>
      <c r="M245" s="134">
        <f t="shared" si="10"/>
        <v>0.9352136066</v>
      </c>
      <c r="N245" s="134">
        <f t="shared" si="11"/>
        <v>1.024246501</v>
      </c>
      <c r="O245" s="134">
        <f t="shared" si="12"/>
        <v>1.024595026</v>
      </c>
      <c r="P245" s="134">
        <f t="shared" si="13"/>
        <v>1.038270448</v>
      </c>
      <c r="Q245" s="134">
        <f t="shared" si="14"/>
        <v>1.057105877</v>
      </c>
    </row>
    <row r="246" ht="15.0" customHeight="1">
      <c r="A246" s="13">
        <v>207.0</v>
      </c>
      <c r="B246" s="134">
        <f t="shared" ref="B246:D246" si="423">RAND()</f>
        <v>0.2390477909</v>
      </c>
      <c r="C246" s="134">
        <f t="shared" si="423"/>
        <v>0.06748528575</v>
      </c>
      <c r="D246" s="134">
        <f t="shared" si="423"/>
        <v>0.5941359508</v>
      </c>
      <c r="F246" s="134">
        <f t="shared" ref="F246:H246" si="424">RAND()</f>
        <v>0.700553236</v>
      </c>
      <c r="G246" s="134">
        <f t="shared" si="424"/>
        <v>0.2329535772</v>
      </c>
      <c r="H246" s="134">
        <f t="shared" si="424"/>
        <v>0.9858638485</v>
      </c>
      <c r="J246" s="135">
        <f t="shared" si="8"/>
        <v>98975189.81</v>
      </c>
      <c r="K246" s="136">
        <f>IF(J246&gt;0,MIN(99,$B$12*Q246/(J246*12*(1-Inputs!$H$16))),99)</f>
        <v>7.6992051</v>
      </c>
      <c r="L246" s="134">
        <f t="shared" si="9"/>
        <v>0.9389904768</v>
      </c>
      <c r="M246" s="134">
        <f t="shared" si="10"/>
        <v>0.9720685999</v>
      </c>
      <c r="N246" s="134">
        <f t="shared" si="11"/>
        <v>1.01584801</v>
      </c>
      <c r="O246" s="134">
        <f t="shared" si="12"/>
        <v>1.042887661</v>
      </c>
      <c r="P246" s="134">
        <f t="shared" si="13"/>
        <v>1.029940332</v>
      </c>
      <c r="Q246" s="134">
        <f t="shared" si="14"/>
        <v>1.40068576</v>
      </c>
    </row>
    <row r="247" ht="15.0" customHeight="1">
      <c r="A247" s="13">
        <v>208.0</v>
      </c>
      <c r="B247" s="134">
        <f t="shared" ref="B247:D247" si="425">RAND()</f>
        <v>0.1651749358</v>
      </c>
      <c r="C247" s="134">
        <f t="shared" si="425"/>
        <v>0.4176526038</v>
      </c>
      <c r="D247" s="134">
        <f t="shared" si="425"/>
        <v>0.02494980435</v>
      </c>
      <c r="F247" s="134">
        <f t="shared" ref="F247:H247" si="426">RAND()</f>
        <v>0.9865841844</v>
      </c>
      <c r="G247" s="134">
        <f t="shared" si="426"/>
        <v>0.2228345939</v>
      </c>
      <c r="H247" s="134">
        <f t="shared" si="426"/>
        <v>0.9949195987</v>
      </c>
      <c r="J247" s="135">
        <f t="shared" si="8"/>
        <v>83782767.82</v>
      </c>
      <c r="K247" s="136">
        <f>IF(J247&gt;0,MIN(99,$B$12*Q247/(J247*12*(1-Inputs!$H$16))),99)</f>
        <v>9.25906281</v>
      </c>
      <c r="L247" s="134">
        <f t="shared" si="9"/>
        <v>0.911316471</v>
      </c>
      <c r="M247" s="134">
        <f t="shared" si="10"/>
        <v>0.9596875594</v>
      </c>
      <c r="N247" s="134">
        <f t="shared" si="11"/>
        <v>0.9541236475</v>
      </c>
      <c r="O247" s="134">
        <f t="shared" si="12"/>
        <v>1.097240667</v>
      </c>
      <c r="P247" s="134">
        <f t="shared" si="13"/>
        <v>1.024464953</v>
      </c>
      <c r="Q247" s="134">
        <f t="shared" si="14"/>
        <v>1.425903762</v>
      </c>
    </row>
    <row r="248" ht="15.0" customHeight="1">
      <c r="A248" s="13">
        <v>209.0</v>
      </c>
      <c r="B248" s="134">
        <f t="shared" ref="B248:D248" si="427">RAND()</f>
        <v>0.4875344514</v>
      </c>
      <c r="C248" s="134">
        <f t="shared" si="427"/>
        <v>0.04474524038</v>
      </c>
      <c r="D248" s="134">
        <f t="shared" si="427"/>
        <v>0.597758178</v>
      </c>
      <c r="F248" s="134">
        <f t="shared" ref="F248:H248" si="428">RAND()</f>
        <v>0.8762189836</v>
      </c>
      <c r="G248" s="134">
        <f t="shared" si="428"/>
        <v>0.2822346494</v>
      </c>
      <c r="H248" s="134">
        <f t="shared" si="428"/>
        <v>0.6658451733</v>
      </c>
      <c r="J248" s="135">
        <f t="shared" si="8"/>
        <v>142720162.1</v>
      </c>
      <c r="K248" s="136">
        <f>IF(J248&gt;0,MIN(99,$B$12*Q248/(J248*12*(1-Inputs!$H$16))),99)</f>
        <v>4.412396105</v>
      </c>
      <c r="L248" s="134">
        <f t="shared" si="9"/>
        <v>1.009549415</v>
      </c>
      <c r="M248" s="134">
        <f t="shared" si="10"/>
        <v>1.003590604</v>
      </c>
      <c r="N248" s="134">
        <f t="shared" si="11"/>
        <v>1.016181376</v>
      </c>
      <c r="O248" s="134">
        <f t="shared" si="12"/>
        <v>1.067506054</v>
      </c>
      <c r="P248" s="134">
        <f t="shared" si="13"/>
        <v>1.05713806</v>
      </c>
      <c r="Q248" s="134">
        <f t="shared" si="14"/>
        <v>1.157519468</v>
      </c>
    </row>
    <row r="249" ht="15.0" customHeight="1">
      <c r="A249" s="13">
        <v>210.0</v>
      </c>
      <c r="B249" s="134">
        <f t="shared" ref="B249:D249" si="429">RAND()</f>
        <v>0.4701535432</v>
      </c>
      <c r="C249" s="134">
        <f t="shared" si="429"/>
        <v>0.4197018143</v>
      </c>
      <c r="D249" s="134">
        <f t="shared" si="429"/>
        <v>0.8624680554</v>
      </c>
      <c r="F249" s="134">
        <f t="shared" ref="F249:H249" si="430">RAND()</f>
        <v>0.6436540055</v>
      </c>
      <c r="G249" s="134">
        <f t="shared" si="430"/>
        <v>0.3115390566</v>
      </c>
      <c r="H249" s="134">
        <f t="shared" si="430"/>
        <v>0.7495270067</v>
      </c>
      <c r="J249" s="135">
        <f t="shared" si="8"/>
        <v>137413955.2</v>
      </c>
      <c r="K249" s="136">
        <f>IF(J249&gt;0,MIN(99,$B$12*Q249/(J249*12*(1-Inputs!$H$16))),99)</f>
        <v>4.745458884</v>
      </c>
      <c r="L249" s="134">
        <f t="shared" si="9"/>
        <v>1.005085406</v>
      </c>
      <c r="M249" s="134">
        <f t="shared" si="10"/>
        <v>1.001616329</v>
      </c>
      <c r="N249" s="134">
        <f t="shared" si="11"/>
        <v>1.046996511</v>
      </c>
      <c r="O249" s="134">
        <f t="shared" si="12"/>
        <v>1.036621944</v>
      </c>
      <c r="P249" s="134">
        <f t="shared" si="13"/>
        <v>1.073755238</v>
      </c>
      <c r="Q249" s="134">
        <f t="shared" si="14"/>
        <v>1.198609006</v>
      </c>
    </row>
    <row r="250" ht="15.0" customHeight="1">
      <c r="A250" s="13">
        <v>211.0</v>
      </c>
      <c r="B250" s="134">
        <f t="shared" ref="B250:D250" si="431">RAND()</f>
        <v>0.4026250507</v>
      </c>
      <c r="C250" s="134">
        <f t="shared" si="431"/>
        <v>0.3337427692</v>
      </c>
      <c r="D250" s="134">
        <f t="shared" si="431"/>
        <v>0.2335576568</v>
      </c>
      <c r="F250" s="134">
        <f t="shared" ref="F250:H250" si="432">RAND()</f>
        <v>0.9469498479</v>
      </c>
      <c r="G250" s="134">
        <f t="shared" si="432"/>
        <v>0.3645901658</v>
      </c>
      <c r="H250" s="134">
        <f t="shared" si="432"/>
        <v>0.8273943709</v>
      </c>
      <c r="J250" s="135">
        <f t="shared" si="8"/>
        <v>129553646.6</v>
      </c>
      <c r="K250" s="136">
        <f>IF(J250&gt;0,MIN(99,$B$12*Q250/(J250*12*(1-Inputs!$H$16))),99)</f>
        <v>5.222440288</v>
      </c>
      <c r="L250" s="134">
        <f t="shared" si="9"/>
        <v>0.9878269677</v>
      </c>
      <c r="M250" s="134">
        <f t="shared" si="10"/>
        <v>0.9939174993</v>
      </c>
      <c r="N250" s="134">
        <f t="shared" si="11"/>
        <v>0.9854102767</v>
      </c>
      <c r="O250" s="134">
        <f t="shared" si="12"/>
        <v>1.082814314</v>
      </c>
      <c r="P250" s="134">
        <f t="shared" si="13"/>
        <v>1.104764202</v>
      </c>
      <c r="Q250" s="134">
        <f t="shared" si="14"/>
        <v>1.243631192</v>
      </c>
    </row>
    <row r="251" ht="15.0" customHeight="1">
      <c r="A251" s="13">
        <v>212.0</v>
      </c>
      <c r="B251" s="134">
        <f t="shared" ref="B251:D251" si="433">RAND()</f>
        <v>0.1900361474</v>
      </c>
      <c r="C251" s="134">
        <f t="shared" si="433"/>
        <v>0.9322070767</v>
      </c>
      <c r="D251" s="134">
        <f t="shared" si="433"/>
        <v>0.6743796695</v>
      </c>
      <c r="F251" s="134">
        <f t="shared" ref="F251:H251" si="434">RAND()</f>
        <v>0.9161815756</v>
      </c>
      <c r="G251" s="134">
        <f t="shared" si="434"/>
        <v>0.2831718347</v>
      </c>
      <c r="H251" s="134">
        <f t="shared" si="434"/>
        <v>0.3973672382</v>
      </c>
      <c r="J251" s="135">
        <f t="shared" si="8"/>
        <v>79078426.64</v>
      </c>
      <c r="K251" s="136">
        <f>IF(J251&gt;0,MIN(99,$B$12*Q251/(J251*12*(1-Inputs!$H$16))),99)</f>
        <v>7.241217011</v>
      </c>
      <c r="L251" s="134">
        <f t="shared" si="9"/>
        <v>0.9212158219</v>
      </c>
      <c r="M251" s="134">
        <f t="shared" si="10"/>
        <v>0.9641164182</v>
      </c>
      <c r="N251" s="134">
        <f t="shared" si="11"/>
        <v>1.023621994</v>
      </c>
      <c r="O251" s="134">
        <f t="shared" si="12"/>
        <v>1.075356939</v>
      </c>
      <c r="P251" s="134">
        <f t="shared" si="13"/>
        <v>1.057664186</v>
      </c>
      <c r="Q251" s="134">
        <f t="shared" si="14"/>
        <v>1.052538678</v>
      </c>
    </row>
    <row r="252" ht="15.0" customHeight="1">
      <c r="A252" s="13">
        <v>213.0</v>
      </c>
      <c r="B252" s="134">
        <f t="shared" ref="B252:D252" si="435">RAND()</f>
        <v>0.6973275556</v>
      </c>
      <c r="C252" s="134">
        <f t="shared" si="435"/>
        <v>0.084914785</v>
      </c>
      <c r="D252" s="134">
        <f t="shared" si="435"/>
        <v>0.3227923591</v>
      </c>
      <c r="F252" s="134">
        <f t="shared" ref="F252:H252" si="436">RAND()</f>
        <v>0.5431518705</v>
      </c>
      <c r="G252" s="134">
        <f t="shared" si="436"/>
        <v>0.3291081186</v>
      </c>
      <c r="H252" s="134">
        <f t="shared" si="436"/>
        <v>0.667325297</v>
      </c>
      <c r="J252" s="135">
        <f t="shared" si="8"/>
        <v>198497341.7</v>
      </c>
      <c r="K252" s="136">
        <f>IF(J252&gt;0,MIN(99,$B$12*Q252/(J252*12*(1-Inputs!$H$16))),99)</f>
        <v>3.174385862</v>
      </c>
      <c r="L252" s="134">
        <f t="shared" si="9"/>
        <v>1.070996419</v>
      </c>
      <c r="M252" s="134">
        <f t="shared" si="10"/>
        <v>1.030766464</v>
      </c>
      <c r="N252" s="134">
        <f t="shared" si="11"/>
        <v>0.9935723226</v>
      </c>
      <c r="O252" s="134">
        <f t="shared" si="12"/>
        <v>1.026673618</v>
      </c>
      <c r="P252" s="134">
        <f t="shared" si="13"/>
        <v>1.083887815</v>
      </c>
      <c r="Q252" s="134">
        <f t="shared" si="14"/>
        <v>1.158198218</v>
      </c>
    </row>
    <row r="253" ht="15.0" customHeight="1">
      <c r="A253" s="13">
        <v>214.0</v>
      </c>
      <c r="B253" s="134">
        <f t="shared" ref="B253:D253" si="437">RAND()</f>
        <v>0.8820671306</v>
      </c>
      <c r="C253" s="134">
        <f t="shared" si="437"/>
        <v>0.04904599048</v>
      </c>
      <c r="D253" s="134">
        <f t="shared" si="437"/>
        <v>0.4249833373</v>
      </c>
      <c r="F253" s="134">
        <f t="shared" ref="F253:H253" si="438">RAND()</f>
        <v>0.6241381031</v>
      </c>
      <c r="G253" s="134">
        <f t="shared" si="438"/>
        <v>0.5648987968</v>
      </c>
      <c r="H253" s="134">
        <f t="shared" si="438"/>
        <v>0.2186818398</v>
      </c>
      <c r="J253" s="135">
        <f t="shared" si="8"/>
        <v>248670565.6</v>
      </c>
      <c r="K253" s="136">
        <f>IF(J253&gt;0,MIN(99,$B$12*Q253/(J253*12*(1-Inputs!$H$16))),99)</f>
        <v>2.17783432</v>
      </c>
      <c r="L253" s="134">
        <f t="shared" si="9"/>
        <v>1.147658846</v>
      </c>
      <c r="M253" s="134">
        <f t="shared" si="10"/>
        <v>1.064671575</v>
      </c>
      <c r="N253" s="134">
        <f t="shared" si="11"/>
        <v>1.00166455</v>
      </c>
      <c r="O253" s="134">
        <f t="shared" si="12"/>
        <v>1.034589831</v>
      </c>
      <c r="P253" s="134">
        <f t="shared" si="13"/>
        <v>1.235519287</v>
      </c>
      <c r="Q253" s="134">
        <f t="shared" si="14"/>
        <v>0.9954459889</v>
      </c>
    </row>
    <row r="254" ht="15.0" customHeight="1">
      <c r="A254" s="13">
        <v>215.0</v>
      </c>
      <c r="B254" s="134">
        <f t="shared" ref="B254:D254" si="439">RAND()</f>
        <v>0.1553226902</v>
      </c>
      <c r="C254" s="134">
        <f t="shared" si="439"/>
        <v>0.759604364</v>
      </c>
      <c r="D254" s="134">
        <f t="shared" si="439"/>
        <v>0.6430592123</v>
      </c>
      <c r="F254" s="134">
        <f t="shared" ref="F254:H254" si="440">RAND()</f>
        <v>0.5475176726</v>
      </c>
      <c r="G254" s="134">
        <f t="shared" si="440"/>
        <v>0.06366762381</v>
      </c>
      <c r="H254" s="134">
        <f t="shared" si="440"/>
        <v>0.4455731871</v>
      </c>
      <c r="J254" s="135">
        <f t="shared" si="8"/>
        <v>83494988.76</v>
      </c>
      <c r="K254" s="136">
        <f>IF(J254&gt;0,MIN(99,$B$12*Q254/(J254*12*(1-Inputs!$H$16))),99)</f>
        <v>6.967556862</v>
      </c>
      <c r="L254" s="134">
        <f t="shared" si="9"/>
        <v>0.9071885118</v>
      </c>
      <c r="M254" s="134">
        <f t="shared" si="10"/>
        <v>0.9578407567</v>
      </c>
      <c r="N254" s="134">
        <f t="shared" si="11"/>
        <v>1.020484734</v>
      </c>
      <c r="O254" s="134">
        <f t="shared" si="12"/>
        <v>1.027081508</v>
      </c>
      <c r="P254" s="134">
        <f t="shared" si="13"/>
        <v>0.9258888868</v>
      </c>
      <c r="Q254" s="134">
        <f t="shared" si="14"/>
        <v>1.069324244</v>
      </c>
    </row>
    <row r="255" ht="15.0" customHeight="1">
      <c r="A255" s="13">
        <v>216.0</v>
      </c>
      <c r="B255" s="134">
        <f t="shared" ref="B255:D255" si="441">RAND()</f>
        <v>0.1945236188</v>
      </c>
      <c r="C255" s="134">
        <f t="shared" si="441"/>
        <v>0.9195926232</v>
      </c>
      <c r="D255" s="134">
        <f t="shared" si="441"/>
        <v>0.4546440452</v>
      </c>
      <c r="F255" s="134">
        <f t="shared" ref="F255:H255" si="442">RAND()</f>
        <v>0.406182477</v>
      </c>
      <c r="G255" s="134">
        <f t="shared" si="442"/>
        <v>0.6794807085</v>
      </c>
      <c r="H255" s="134">
        <f t="shared" si="442"/>
        <v>0.1715242076</v>
      </c>
      <c r="J255" s="135">
        <f t="shared" si="8"/>
        <v>84156856.16</v>
      </c>
      <c r="K255" s="136">
        <f>IF(J255&gt;0,MIN(99,$B$12*Q255/(J255*12*(1-Inputs!$H$16))),99)</f>
        <v>6.334113143</v>
      </c>
      <c r="L255" s="134">
        <f t="shared" si="9"/>
        <v>0.922932103</v>
      </c>
      <c r="M255" s="134">
        <f t="shared" si="10"/>
        <v>0.9648842632</v>
      </c>
      <c r="N255" s="134">
        <f t="shared" si="11"/>
        <v>1.003983104</v>
      </c>
      <c r="O255" s="134">
        <f t="shared" si="12"/>
        <v>1.014743145</v>
      </c>
      <c r="P255" s="134">
        <f t="shared" si="13"/>
        <v>1.324409052</v>
      </c>
      <c r="Q255" s="134">
        <f t="shared" si="14"/>
        <v>0.9798143624</v>
      </c>
    </row>
    <row r="256" ht="15.0" customHeight="1">
      <c r="A256" s="13">
        <v>217.0</v>
      </c>
      <c r="B256" s="134">
        <f t="shared" ref="B256:D256" si="443">RAND()</f>
        <v>0.6831622345</v>
      </c>
      <c r="C256" s="134">
        <f t="shared" si="443"/>
        <v>0.1677903756</v>
      </c>
      <c r="D256" s="134">
        <f t="shared" si="443"/>
        <v>0.06895981353</v>
      </c>
      <c r="F256" s="134">
        <f t="shared" ref="F256:H256" si="444">RAND()</f>
        <v>0.4553008057</v>
      </c>
      <c r="G256" s="134">
        <f t="shared" si="444"/>
        <v>0.4563870345</v>
      </c>
      <c r="H256" s="134">
        <f t="shared" si="444"/>
        <v>0.9598991112</v>
      </c>
      <c r="J256" s="135">
        <f t="shared" si="8"/>
        <v>200072238.8</v>
      </c>
      <c r="K256" s="136">
        <f>IF(J256&gt;0,MIN(99,$B$12*Q256/(J256*12*(1-Inputs!$H$16))),99)</f>
        <v>3.691617997</v>
      </c>
      <c r="L256" s="134">
        <f t="shared" si="9"/>
        <v>1.066277235</v>
      </c>
      <c r="M256" s="134">
        <f t="shared" si="10"/>
        <v>1.028679334</v>
      </c>
      <c r="N256" s="134">
        <f t="shared" si="11"/>
        <v>0.9641876462</v>
      </c>
      <c r="O256" s="134">
        <f t="shared" si="12"/>
        <v>1.018845308</v>
      </c>
      <c r="P256" s="134">
        <f t="shared" si="13"/>
        <v>1.161652764</v>
      </c>
      <c r="Q256" s="134">
        <f t="shared" si="14"/>
        <v>1.357600745</v>
      </c>
    </row>
    <row r="257" ht="15.0" customHeight="1">
      <c r="A257" s="13">
        <v>218.0</v>
      </c>
      <c r="B257" s="134">
        <f t="shared" ref="B257:D257" si="445">RAND()</f>
        <v>0.3565782036</v>
      </c>
      <c r="C257" s="134">
        <f t="shared" si="445"/>
        <v>0.5540985689</v>
      </c>
      <c r="D257" s="134">
        <f t="shared" si="445"/>
        <v>0.4848515224</v>
      </c>
      <c r="F257" s="134">
        <f t="shared" ref="F257:H257" si="446">RAND()</f>
        <v>0.8566516827</v>
      </c>
      <c r="G257" s="134">
        <f t="shared" si="446"/>
        <v>0.3851713938</v>
      </c>
      <c r="H257" s="134">
        <f t="shared" si="446"/>
        <v>0.7348862935</v>
      </c>
      <c r="J257" s="135">
        <f t="shared" si="8"/>
        <v>118957504.3</v>
      </c>
      <c r="K257" s="136">
        <f>IF(J257&gt;0,MIN(99,$B$12*Q257/(J257*12*(1-Inputs!$H$16))),99)</f>
        <v>5.446801398</v>
      </c>
      <c r="L257" s="134">
        <f t="shared" si="9"/>
        <v>0.9752874132</v>
      </c>
      <c r="M257" s="134">
        <f t="shared" si="10"/>
        <v>0.988307443</v>
      </c>
      <c r="N257" s="134">
        <f t="shared" si="11"/>
        <v>1.006410167</v>
      </c>
      <c r="O257" s="134">
        <f t="shared" si="12"/>
        <v>1.064130851</v>
      </c>
      <c r="P257" s="134">
        <f t="shared" si="13"/>
        <v>1.117141274</v>
      </c>
      <c r="Q257" s="134">
        <f t="shared" si="14"/>
        <v>1.190972862</v>
      </c>
    </row>
    <row r="258" ht="15.0" customHeight="1">
      <c r="A258" s="13">
        <v>219.0</v>
      </c>
      <c r="B258" s="134">
        <f t="shared" ref="B258:D258" si="447">RAND()</f>
        <v>0.7850457855</v>
      </c>
      <c r="C258" s="134">
        <f t="shared" si="447"/>
        <v>0.6738682075</v>
      </c>
      <c r="D258" s="134">
        <f t="shared" si="447"/>
        <v>0.7928550286</v>
      </c>
      <c r="F258" s="134">
        <f t="shared" ref="F258:H258" si="448">RAND()</f>
        <v>0.06906293213</v>
      </c>
      <c r="G258" s="134">
        <f t="shared" si="448"/>
        <v>0.7140563165</v>
      </c>
      <c r="H258" s="134">
        <f t="shared" si="448"/>
        <v>0.8439988576</v>
      </c>
      <c r="J258" s="135">
        <f t="shared" si="8"/>
        <v>208932660</v>
      </c>
      <c r="K258" s="136">
        <f>IF(J258&gt;0,MIN(99,$B$12*Q258/(J258*12*(1-Inputs!$H$16))),99)</f>
        <v>3.266551208</v>
      </c>
      <c r="L258" s="134">
        <f t="shared" si="9"/>
        <v>1.10308082</v>
      </c>
      <c r="M258" s="134">
        <f t="shared" si="10"/>
        <v>1.044956273</v>
      </c>
      <c r="N258" s="134">
        <f t="shared" si="11"/>
        <v>1.037135707</v>
      </c>
      <c r="O258" s="134">
        <f t="shared" si="12"/>
        <v>0.9870677148</v>
      </c>
      <c r="P258" s="134">
        <f t="shared" si="13"/>
        <v>1.354274752</v>
      </c>
      <c r="Q258" s="134">
        <f t="shared" si="14"/>
        <v>1.25448157</v>
      </c>
    </row>
    <row r="259" ht="15.0" customHeight="1">
      <c r="A259" s="13">
        <v>220.0</v>
      </c>
      <c r="B259" s="134">
        <f t="shared" ref="B259:D259" si="449">RAND()</f>
        <v>0.4325784166</v>
      </c>
      <c r="C259" s="134">
        <f t="shared" si="449"/>
        <v>0.07879046534</v>
      </c>
      <c r="D259" s="134">
        <f t="shared" si="449"/>
        <v>0.6538636543</v>
      </c>
      <c r="F259" s="134">
        <f t="shared" ref="F259:H259" si="450">RAND()</f>
        <v>0.6266052431</v>
      </c>
      <c r="G259" s="134">
        <f t="shared" si="450"/>
        <v>0.7727698301</v>
      </c>
      <c r="H259" s="134">
        <f t="shared" si="450"/>
        <v>0.7187424056</v>
      </c>
      <c r="J259" s="135">
        <f t="shared" si="8"/>
        <v>123833120.5</v>
      </c>
      <c r="K259" s="136">
        <f>IF(J259&gt;0,MIN(99,$B$12*Q259/(J259*12*(1-Inputs!$H$16))),99)</f>
        <v>5.196411729</v>
      </c>
      <c r="L259" s="134">
        <f t="shared" si="9"/>
        <v>0.9956016135</v>
      </c>
      <c r="M259" s="134">
        <f t="shared" si="10"/>
        <v>0.9973957888</v>
      </c>
      <c r="N259" s="134">
        <f t="shared" si="11"/>
        <v>1.02155082</v>
      </c>
      <c r="O259" s="134">
        <f t="shared" si="12"/>
        <v>1.034843763</v>
      </c>
      <c r="P259" s="134">
        <f t="shared" si="13"/>
        <v>1.409475926</v>
      </c>
      <c r="Q259" s="134">
        <f t="shared" si="14"/>
        <v>1.182793291</v>
      </c>
    </row>
    <row r="260" ht="15.0" customHeight="1">
      <c r="A260" s="13">
        <v>221.0</v>
      </c>
      <c r="B260" s="134">
        <f t="shared" ref="B260:D260" si="451">RAND()</f>
        <v>0.5515605338</v>
      </c>
      <c r="C260" s="134">
        <f t="shared" si="451"/>
        <v>0.2405560744</v>
      </c>
      <c r="D260" s="134">
        <f t="shared" si="451"/>
        <v>0.3988868989</v>
      </c>
      <c r="F260" s="134">
        <f t="shared" ref="F260:H260" si="452">RAND()</f>
        <v>0.7410901566</v>
      </c>
      <c r="G260" s="134">
        <f t="shared" si="452"/>
        <v>0.8401817547</v>
      </c>
      <c r="H260" s="134">
        <f t="shared" si="452"/>
        <v>0.04299018625</v>
      </c>
      <c r="J260" s="135">
        <f t="shared" si="8"/>
        <v>145864484.1</v>
      </c>
      <c r="K260" s="136">
        <f>IF(J260&gt;0,MIN(99,$B$12*Q260/(J260*12*(1-Inputs!$H$16))),99)</f>
        <v>3.429016534</v>
      </c>
      <c r="L260" s="134">
        <f t="shared" si="9"/>
        <v>1.026684824</v>
      </c>
      <c r="M260" s="134">
        <f t="shared" si="10"/>
        <v>1.011168996</v>
      </c>
      <c r="N260" s="134">
        <f t="shared" si="11"/>
        <v>0.9996721357</v>
      </c>
      <c r="O260" s="134">
        <f t="shared" si="12"/>
        <v>1.047724031</v>
      </c>
      <c r="P260" s="134">
        <f t="shared" si="13"/>
        <v>1.482614801</v>
      </c>
      <c r="Q260" s="134">
        <f t="shared" si="14"/>
        <v>0.9193642691</v>
      </c>
    </row>
    <row r="261" ht="15.0" customHeight="1">
      <c r="A261" s="13">
        <v>222.0</v>
      </c>
      <c r="B261" s="134">
        <f t="shared" ref="B261:D261" si="453">RAND()</f>
        <v>0.3821039591</v>
      </c>
      <c r="C261" s="134">
        <f t="shared" si="453"/>
        <v>0.689763022</v>
      </c>
      <c r="D261" s="134">
        <f t="shared" si="453"/>
        <v>0.6032087876</v>
      </c>
      <c r="F261" s="134">
        <f t="shared" ref="F261:H261" si="454">RAND()</f>
        <v>0.1563681385</v>
      </c>
      <c r="G261" s="134">
        <f t="shared" si="454"/>
        <v>0.8229185439</v>
      </c>
      <c r="H261" s="134">
        <f t="shared" si="454"/>
        <v>0.8807260362</v>
      </c>
      <c r="J261" s="135">
        <f t="shared" si="8"/>
        <v>120073882.9</v>
      </c>
      <c r="K261" s="136">
        <f>IF(J261&gt;0,MIN(99,$B$12*Q261/(J261*12*(1-Inputs!$H$16))),99)</f>
        <v>5.802946885</v>
      </c>
      <c r="L261" s="134">
        <f t="shared" si="9"/>
        <v>0.9823323308</v>
      </c>
      <c r="M261" s="134">
        <f t="shared" si="10"/>
        <v>0.9914592602</v>
      </c>
      <c r="N261" s="134">
        <f t="shared" si="11"/>
        <v>1.016685857</v>
      </c>
      <c r="O261" s="134">
        <f t="shared" si="12"/>
        <v>0.995739587</v>
      </c>
      <c r="P261" s="134">
        <f t="shared" si="13"/>
        <v>1.462609629</v>
      </c>
      <c r="Q261" s="134">
        <f t="shared" si="14"/>
        <v>1.280753736</v>
      </c>
    </row>
    <row r="262" ht="15.0" customHeight="1">
      <c r="A262" s="13">
        <v>223.0</v>
      </c>
      <c r="B262" s="134">
        <f t="shared" ref="B262:D262" si="455">RAND()</f>
        <v>0.8896986038</v>
      </c>
      <c r="C262" s="134">
        <f t="shared" si="455"/>
        <v>0.6064329294</v>
      </c>
      <c r="D262" s="134">
        <f t="shared" si="455"/>
        <v>0.3190038863</v>
      </c>
      <c r="F262" s="134">
        <f t="shared" ref="F262:H262" si="456">RAND()</f>
        <v>0.4029840957</v>
      </c>
      <c r="G262" s="134">
        <f t="shared" si="456"/>
        <v>0.5129573643</v>
      </c>
      <c r="H262" s="134">
        <f t="shared" si="456"/>
        <v>0.8099406557</v>
      </c>
      <c r="J262" s="135">
        <f t="shared" si="8"/>
        <v>258811337</v>
      </c>
      <c r="K262" s="136">
        <f>IF(J262&gt;0,MIN(99,$B$12*Q262/(J262*12*(1-Inputs!$H$16))),99)</f>
        <v>2.591385477</v>
      </c>
      <c r="L262" s="134">
        <f t="shared" si="9"/>
        <v>1.151847891</v>
      </c>
      <c r="M262" s="134">
        <f t="shared" si="10"/>
        <v>1.066524243</v>
      </c>
      <c r="N262" s="134">
        <f t="shared" si="11"/>
        <v>0.9932507371</v>
      </c>
      <c r="O262" s="134">
        <f t="shared" si="12"/>
        <v>1.014482024</v>
      </c>
      <c r="P262" s="134">
        <f t="shared" si="13"/>
        <v>1.199134873</v>
      </c>
      <c r="Q262" s="134">
        <f t="shared" si="14"/>
        <v>1.232774942</v>
      </c>
    </row>
    <row r="263" ht="15.0" customHeight="1">
      <c r="A263" s="13">
        <v>224.0</v>
      </c>
      <c r="B263" s="134">
        <f t="shared" ref="B263:D263" si="457">RAND()</f>
        <v>0.7182344434</v>
      </c>
      <c r="C263" s="134">
        <f t="shared" si="457"/>
        <v>0.3285234109</v>
      </c>
      <c r="D263" s="134">
        <f t="shared" si="457"/>
        <v>0.1974269413</v>
      </c>
      <c r="F263" s="134">
        <f t="shared" ref="F263:H263" si="458">RAND()</f>
        <v>0.8230788143</v>
      </c>
      <c r="G263" s="134">
        <f t="shared" si="458"/>
        <v>0.3623825396</v>
      </c>
      <c r="H263" s="134">
        <f t="shared" si="458"/>
        <v>0.7100032684</v>
      </c>
      <c r="J263" s="135">
        <f t="shared" si="8"/>
        <v>200551507.1</v>
      </c>
      <c r="K263" s="136">
        <f>IF(J263&gt;0,MIN(99,$B$12*Q263/(J263*12*(1-Inputs!$H$16))),99)</f>
        <v>3.196845565</v>
      </c>
      <c r="L263" s="134">
        <f t="shared" si="9"/>
        <v>1.078168183</v>
      </c>
      <c r="M263" s="134">
        <f t="shared" si="10"/>
        <v>1.033938285</v>
      </c>
      <c r="N263" s="134">
        <f t="shared" si="11"/>
        <v>0.9816643672</v>
      </c>
      <c r="O263" s="134">
        <f t="shared" si="12"/>
        <v>1.05883827</v>
      </c>
      <c r="P263" s="134">
        <f t="shared" si="13"/>
        <v>1.103448567</v>
      </c>
      <c r="Q263" s="134">
        <f t="shared" si="14"/>
        <v>1.178463316</v>
      </c>
    </row>
    <row r="264" ht="15.0" customHeight="1">
      <c r="A264" s="13">
        <v>225.0</v>
      </c>
      <c r="B264" s="134">
        <f t="shared" ref="B264:D264" si="459">RAND()</f>
        <v>0.3281593631</v>
      </c>
      <c r="C264" s="134">
        <f t="shared" si="459"/>
        <v>0.008340061517</v>
      </c>
      <c r="D264" s="134">
        <f t="shared" si="459"/>
        <v>0.215110942</v>
      </c>
      <c r="F264" s="134">
        <f t="shared" ref="F264:H264" si="460">RAND()</f>
        <v>0.927601866</v>
      </c>
      <c r="G264" s="134">
        <f t="shared" si="460"/>
        <v>0.5900543274</v>
      </c>
      <c r="H264" s="134">
        <f t="shared" si="460"/>
        <v>0.625207983</v>
      </c>
      <c r="J264" s="135">
        <f t="shared" si="8"/>
        <v>110589365.9</v>
      </c>
      <c r="K264" s="136">
        <f>IF(J264&gt;0,MIN(99,$B$12*Q264/(J264*12*(1-Inputs!$H$16))),99)</f>
        <v>5.605432882</v>
      </c>
      <c r="L264" s="134">
        <f t="shared" si="9"/>
        <v>0.9671403871</v>
      </c>
      <c r="M264" s="134">
        <f t="shared" si="10"/>
        <v>0.9846625546</v>
      </c>
      <c r="N264" s="134">
        <f t="shared" si="11"/>
        <v>0.9835371072</v>
      </c>
      <c r="O264" s="134">
        <f t="shared" si="12"/>
        <v>1.077932917</v>
      </c>
      <c r="P264" s="134">
        <f t="shared" si="13"/>
        <v>1.253921479</v>
      </c>
      <c r="Q264" s="134">
        <f t="shared" si="14"/>
        <v>1.139438806</v>
      </c>
    </row>
    <row r="265" ht="15.0" customHeight="1">
      <c r="A265" s="13">
        <v>226.0</v>
      </c>
      <c r="B265" s="134">
        <f t="shared" ref="B265:D265" si="461">RAND()</f>
        <v>0.3940198147</v>
      </c>
      <c r="C265" s="134">
        <f t="shared" si="461"/>
        <v>0.513088267</v>
      </c>
      <c r="D265" s="134">
        <f t="shared" si="461"/>
        <v>0.4595873441</v>
      </c>
      <c r="F265" s="134">
        <f t="shared" ref="F265:H265" si="462">RAND()</f>
        <v>0.8916416463</v>
      </c>
      <c r="G265" s="134">
        <f t="shared" si="462"/>
        <v>0.5832971275</v>
      </c>
      <c r="H265" s="134">
        <f t="shared" si="462"/>
        <v>0.6001469667</v>
      </c>
      <c r="J265" s="135">
        <f t="shared" si="8"/>
        <v>120546086.9</v>
      </c>
      <c r="K265" s="136">
        <f>IF(J265&gt;0,MIN(99,$B$12*Q265/(J265*12*(1-Inputs!$H$16))),99)</f>
        <v>5.094313661</v>
      </c>
      <c r="L265" s="134">
        <f t="shared" si="9"/>
        <v>0.9855403267</v>
      </c>
      <c r="M265" s="134">
        <f t="shared" si="10"/>
        <v>0.9928944817</v>
      </c>
      <c r="N265" s="134">
        <f t="shared" si="11"/>
        <v>1.004375593</v>
      </c>
      <c r="O265" s="134">
        <f t="shared" si="12"/>
        <v>1.070359455</v>
      </c>
      <c r="P265" s="134">
        <f t="shared" si="13"/>
        <v>1.248924146</v>
      </c>
      <c r="Q265" s="134">
        <f t="shared" si="14"/>
        <v>1.128774734</v>
      </c>
    </row>
    <row r="266" ht="15.0" customHeight="1">
      <c r="A266" s="13">
        <v>227.0</v>
      </c>
      <c r="B266" s="134">
        <f t="shared" ref="B266:D266" si="463">RAND()</f>
        <v>0.8260031606</v>
      </c>
      <c r="C266" s="134">
        <f t="shared" si="463"/>
        <v>0.2950021187</v>
      </c>
      <c r="D266" s="134">
        <f t="shared" si="463"/>
        <v>0.2482778955</v>
      </c>
      <c r="F266" s="134">
        <f t="shared" ref="F266:H266" si="464">RAND()</f>
        <v>0.4076462413</v>
      </c>
      <c r="G266" s="134">
        <f t="shared" si="464"/>
        <v>0.7691854083</v>
      </c>
      <c r="H266" s="134">
        <f t="shared" si="464"/>
        <v>0.6459959138</v>
      </c>
      <c r="J266" s="135">
        <f t="shared" si="8"/>
        <v>227647208.4</v>
      </c>
      <c r="K266" s="136">
        <f>IF(J266&gt;0,MIN(99,$B$12*Q266/(J266*12*(1-Inputs!$H$16))),99)</f>
        <v>2.744872898</v>
      </c>
      <c r="L266" s="134">
        <f t="shared" si="9"/>
        <v>1.120324322</v>
      </c>
      <c r="M266" s="134">
        <f t="shared" si="10"/>
        <v>1.052582471</v>
      </c>
      <c r="N266" s="134">
        <f t="shared" si="11"/>
        <v>0.9868525421</v>
      </c>
      <c r="O266" s="134">
        <f t="shared" si="12"/>
        <v>1.014862884</v>
      </c>
      <c r="P266" s="134">
        <f t="shared" si="13"/>
        <v>1.405914722</v>
      </c>
      <c r="Q266" s="134">
        <f t="shared" si="14"/>
        <v>1.148558312</v>
      </c>
    </row>
    <row r="267" ht="15.0" customHeight="1">
      <c r="A267" s="13">
        <v>228.0</v>
      </c>
      <c r="B267" s="134">
        <f t="shared" ref="B267:D267" si="465">RAND()</f>
        <v>0.2143544725</v>
      </c>
      <c r="C267" s="134">
        <f t="shared" si="465"/>
        <v>0.3625113863</v>
      </c>
      <c r="D267" s="134">
        <f t="shared" si="465"/>
        <v>0.1114886485</v>
      </c>
      <c r="F267" s="134">
        <f t="shared" ref="F267:H267" si="466">RAND()</f>
        <v>0.9318706352</v>
      </c>
      <c r="G267" s="134">
        <f t="shared" si="466"/>
        <v>0.297402779</v>
      </c>
      <c r="H267" s="134">
        <f t="shared" si="466"/>
        <v>0.6401126598</v>
      </c>
      <c r="J267" s="135">
        <f t="shared" si="8"/>
        <v>94732710.91</v>
      </c>
      <c r="K267" s="136">
        <f>IF(J267&gt;0,MIN(99,$B$12*Q267/(J267*12*(1-Inputs!$H$16))),99)</f>
        <v>6.581085462</v>
      </c>
      <c r="L267" s="134">
        <f t="shared" si="9"/>
        <v>0.9302896589</v>
      </c>
      <c r="M267" s="134">
        <f t="shared" si="10"/>
        <v>0.9681759513</v>
      </c>
      <c r="N267" s="134">
        <f t="shared" si="11"/>
        <v>0.9710443636</v>
      </c>
      <c r="O267" s="134">
        <f t="shared" si="12"/>
        <v>1.078947552</v>
      </c>
      <c r="P267" s="134">
        <f t="shared" si="13"/>
        <v>1.065695955</v>
      </c>
      <c r="Q267" s="134">
        <f t="shared" si="14"/>
        <v>1.145950814</v>
      </c>
    </row>
    <row r="268" ht="15.0" customHeight="1">
      <c r="A268" s="13">
        <v>229.0</v>
      </c>
      <c r="B268" s="134">
        <f t="shared" ref="B268:D268" si="467">RAND()</f>
        <v>0.1263743084</v>
      </c>
      <c r="C268" s="134">
        <f t="shared" si="467"/>
        <v>0.8774700405</v>
      </c>
      <c r="D268" s="134">
        <f t="shared" si="467"/>
        <v>0.1714081865</v>
      </c>
      <c r="F268" s="134">
        <f t="shared" ref="F268:H268" si="468">RAND()</f>
        <v>0.1775203382</v>
      </c>
      <c r="G268" s="134">
        <f t="shared" si="468"/>
        <v>0.3331866582</v>
      </c>
      <c r="H268" s="134">
        <f t="shared" si="468"/>
        <v>0.7414083548</v>
      </c>
      <c r="J268" s="135">
        <f t="shared" si="8"/>
        <v>81984333.26</v>
      </c>
      <c r="K268" s="136">
        <f>IF(J268&gt;0,MIN(99,$B$12*Q268/(J268*12*(1-Inputs!$H$16))),99)</f>
        <v>7.925587623</v>
      </c>
      <c r="L268" s="134">
        <f t="shared" si="9"/>
        <v>0.894235522</v>
      </c>
      <c r="M268" s="134">
        <f t="shared" si="10"/>
        <v>0.952045734</v>
      </c>
      <c r="N268" s="134">
        <f t="shared" si="11"/>
        <v>0.9787491556</v>
      </c>
      <c r="O268" s="134">
        <f t="shared" si="12"/>
        <v>0.9974327938</v>
      </c>
      <c r="P268" s="134">
        <f t="shared" si="13"/>
        <v>1.086258934</v>
      </c>
      <c r="Q268" s="134">
        <f t="shared" si="14"/>
        <v>1.194347823</v>
      </c>
    </row>
    <row r="269" ht="15.0" customHeight="1">
      <c r="A269" s="13">
        <v>230.0</v>
      </c>
      <c r="B269" s="134">
        <f t="shared" ref="B269:D269" si="469">RAND()</f>
        <v>0.9511063436</v>
      </c>
      <c r="C269" s="134">
        <f t="shared" si="469"/>
        <v>0.8459189909</v>
      </c>
      <c r="D269" s="134">
        <f t="shared" si="469"/>
        <v>0.7288209488</v>
      </c>
      <c r="F269" s="134">
        <f t="shared" ref="F269:H269" si="470">RAND()</f>
        <v>0.1297819986</v>
      </c>
      <c r="G269" s="134">
        <f t="shared" si="470"/>
        <v>0.5218804157</v>
      </c>
      <c r="H269" s="134">
        <f t="shared" si="470"/>
        <v>0.852061748</v>
      </c>
      <c r="J269" s="135">
        <f t="shared" si="8"/>
        <v>286067892.4</v>
      </c>
      <c r="K269" s="136">
        <f>IF(J269&gt;0,MIN(99,$B$12*Q269/(J269*12*(1-Inputs!$H$16))),99)</f>
        <v>2.396176022</v>
      </c>
      <c r="L269" s="134">
        <f t="shared" si="9"/>
        <v>1.193006843</v>
      </c>
      <c r="M269" s="134">
        <f t="shared" si="10"/>
        <v>1.084727408</v>
      </c>
      <c r="N269" s="134">
        <f t="shared" si="11"/>
        <v>1.029458409</v>
      </c>
      <c r="O269" s="134">
        <f t="shared" si="12"/>
        <v>0.9934393879</v>
      </c>
      <c r="P269" s="134">
        <f t="shared" si="13"/>
        <v>1.20524213</v>
      </c>
      <c r="Q269" s="134">
        <f t="shared" si="14"/>
        <v>1.259958717</v>
      </c>
    </row>
    <row r="270" ht="15.0" customHeight="1">
      <c r="A270" s="13">
        <v>231.0</v>
      </c>
      <c r="B270" s="134">
        <f t="shared" ref="B270:D270" si="471">RAND()</f>
        <v>0.1281062181</v>
      </c>
      <c r="C270" s="134">
        <f t="shared" si="471"/>
        <v>0.8357109187</v>
      </c>
      <c r="D270" s="134">
        <f t="shared" si="471"/>
        <v>0.1387430395</v>
      </c>
      <c r="F270" s="134">
        <f t="shared" ref="F270:H270" si="472">RAND()</f>
        <v>0.5859126455</v>
      </c>
      <c r="G270" s="134">
        <f t="shared" si="472"/>
        <v>0.453710709</v>
      </c>
      <c r="H270" s="134">
        <f t="shared" si="472"/>
        <v>0.2187648262</v>
      </c>
      <c r="J270" s="135">
        <f t="shared" si="8"/>
        <v>74943334.42</v>
      </c>
      <c r="K270" s="136">
        <f>IF(J270&gt;0,MIN(99,$B$12*Q270/(J270*12*(1-Inputs!$H$16))),99)</f>
        <v>7.22649192</v>
      </c>
      <c r="L270" s="134">
        <f t="shared" si="9"/>
        <v>0.8950497794</v>
      </c>
      <c r="M270" s="134">
        <f t="shared" si="10"/>
        <v>0.9524100237</v>
      </c>
      <c r="N270" s="134">
        <f t="shared" si="11"/>
        <v>0.974754939</v>
      </c>
      <c r="O270" s="134">
        <f t="shared" si="12"/>
        <v>1.030757013</v>
      </c>
      <c r="P270" s="134">
        <f t="shared" si="13"/>
        <v>1.159929015</v>
      </c>
      <c r="Q270" s="134">
        <f t="shared" si="14"/>
        <v>0.9954719215</v>
      </c>
    </row>
    <row r="271" ht="15.0" customHeight="1">
      <c r="A271" s="13">
        <v>232.0</v>
      </c>
      <c r="B271" s="134">
        <f t="shared" ref="B271:D271" si="473">RAND()</f>
        <v>0.7078552603</v>
      </c>
      <c r="C271" s="134">
        <f t="shared" si="473"/>
        <v>0.7564627002</v>
      </c>
      <c r="D271" s="134">
        <f t="shared" si="473"/>
        <v>0.8573572007</v>
      </c>
      <c r="F271" s="134">
        <f t="shared" ref="F271:H271" si="474">RAND()</f>
        <v>0.8888623671</v>
      </c>
      <c r="G271" s="134">
        <f t="shared" si="474"/>
        <v>0.3589740279</v>
      </c>
      <c r="H271" s="134">
        <f t="shared" si="474"/>
        <v>0.2336806558</v>
      </c>
      <c r="J271" s="135">
        <f t="shared" si="8"/>
        <v>181153477.4</v>
      </c>
      <c r="K271" s="136">
        <f>IF(J271&gt;0,MIN(99,$B$12*Q271/(J271*12*(1-Inputs!$H$16))),99)</f>
        <v>3.00337144</v>
      </c>
      <c r="L271" s="134">
        <f t="shared" si="9"/>
        <v>1.074575696</v>
      </c>
      <c r="M271" s="134">
        <f t="shared" si="10"/>
        <v>1.032349453</v>
      </c>
      <c r="N271" s="134">
        <f t="shared" si="11"/>
        <v>1.046197641</v>
      </c>
      <c r="O271" s="134">
        <f t="shared" si="12"/>
        <v>1.06983093</v>
      </c>
      <c r="P271" s="134">
        <f t="shared" si="13"/>
        <v>1.10142173</v>
      </c>
      <c r="Q271" s="134">
        <f t="shared" si="14"/>
        <v>1.000055731</v>
      </c>
    </row>
    <row r="272" ht="15.0" customHeight="1">
      <c r="A272" s="13">
        <v>233.0</v>
      </c>
      <c r="B272" s="134">
        <f t="shared" ref="B272:D272" si="475">RAND()</f>
        <v>0.8100370239</v>
      </c>
      <c r="C272" s="134">
        <f t="shared" si="475"/>
        <v>0.274843077</v>
      </c>
      <c r="D272" s="134">
        <f t="shared" si="475"/>
        <v>0.002534263464</v>
      </c>
      <c r="F272" s="134">
        <f t="shared" ref="F272:H272" si="476">RAND()</f>
        <v>0.8969432186</v>
      </c>
      <c r="G272" s="134">
        <f t="shared" si="476"/>
        <v>0.7820245401</v>
      </c>
      <c r="H272" s="134">
        <f t="shared" si="476"/>
        <v>0.8759958168</v>
      </c>
      <c r="J272" s="135">
        <f t="shared" si="8"/>
        <v>222645838.8</v>
      </c>
      <c r="K272" s="136">
        <f>IF(J272&gt;0,MIN(99,$B$12*Q272/(J272*12*(1-Inputs!$H$16))),99)</f>
        <v>3.120779062</v>
      </c>
      <c r="L272" s="134">
        <f t="shared" si="9"/>
        <v>1.11338345</v>
      </c>
      <c r="M272" s="134">
        <f t="shared" si="10"/>
        <v>1.049512766</v>
      </c>
      <c r="N272" s="134">
        <f t="shared" si="11"/>
        <v>0.9437743416</v>
      </c>
      <c r="O272" s="134">
        <f t="shared" si="12"/>
        <v>1.071386782</v>
      </c>
      <c r="P272" s="134">
        <f t="shared" si="13"/>
        <v>1.418802761</v>
      </c>
      <c r="Q272" s="134">
        <f t="shared" si="14"/>
        <v>1.277162292</v>
      </c>
    </row>
    <row r="273" ht="15.0" customHeight="1">
      <c r="A273" s="13">
        <v>234.0</v>
      </c>
      <c r="B273" s="134">
        <f t="shared" ref="B273:D273" si="477">RAND()</f>
        <v>0.3519919265</v>
      </c>
      <c r="C273" s="134">
        <f t="shared" si="477"/>
        <v>0.08360861548</v>
      </c>
      <c r="D273" s="134">
        <f t="shared" si="477"/>
        <v>0.526486089</v>
      </c>
      <c r="F273" s="134">
        <f t="shared" ref="F273:H273" si="478">RAND()</f>
        <v>0.1402446885</v>
      </c>
      <c r="G273" s="134">
        <f t="shared" si="478"/>
        <v>0.103179727</v>
      </c>
      <c r="H273" s="134">
        <f t="shared" si="478"/>
        <v>0.8983488566</v>
      </c>
      <c r="J273" s="135">
        <f t="shared" si="8"/>
        <v>135052364.2</v>
      </c>
      <c r="K273" s="136">
        <f>IF(J273&gt;0,MIN(99,$B$12*Q273/(J273*12*(1-Inputs!$H$16))),99)</f>
        <v>5.21595366</v>
      </c>
      <c r="L273" s="134">
        <f t="shared" si="9"/>
        <v>0.9739952053</v>
      </c>
      <c r="M273" s="134">
        <f t="shared" si="10"/>
        <v>0.9877293236</v>
      </c>
      <c r="N273" s="134">
        <f t="shared" si="11"/>
        <v>1.009875183</v>
      </c>
      <c r="O273" s="134">
        <f t="shared" si="12"/>
        <v>0.9943704069</v>
      </c>
      <c r="P273" s="134">
        <f t="shared" si="13"/>
        <v>0.9562497782</v>
      </c>
      <c r="Q273" s="134">
        <f t="shared" si="14"/>
        <v>1.294805086</v>
      </c>
    </row>
    <row r="274" ht="15.0" customHeight="1">
      <c r="A274" s="13">
        <v>235.0</v>
      </c>
      <c r="B274" s="134">
        <f t="shared" ref="B274:D274" si="479">RAND()</f>
        <v>0.5149018137</v>
      </c>
      <c r="C274" s="134">
        <f t="shared" si="479"/>
        <v>0.09074179353</v>
      </c>
      <c r="D274" s="134">
        <f t="shared" si="479"/>
        <v>0.3682592004</v>
      </c>
      <c r="F274" s="134">
        <f t="shared" ref="F274:H274" si="480">RAND()</f>
        <v>0.2741822745</v>
      </c>
      <c r="G274" s="134">
        <f t="shared" si="480"/>
        <v>0.34795029</v>
      </c>
      <c r="H274" s="134">
        <f t="shared" si="480"/>
        <v>0.6641730336</v>
      </c>
      <c r="J274" s="135">
        <f t="shared" si="8"/>
        <v>161067026.4</v>
      </c>
      <c r="K274" s="136">
        <f>IF(J274&gt;0,MIN(99,$B$12*Q274/(J274*12*(1-Inputs!$H$16))),99)</f>
        <v>3.907203798</v>
      </c>
      <c r="L274" s="134">
        <f t="shared" si="9"/>
        <v>1.016734631</v>
      </c>
      <c r="M274" s="134">
        <f t="shared" si="10"/>
        <v>1.006768374</v>
      </c>
      <c r="N274" s="134">
        <f t="shared" si="11"/>
        <v>0.9972937024</v>
      </c>
      <c r="O274" s="134">
        <f t="shared" si="12"/>
        <v>1.004492984</v>
      </c>
      <c r="P274" s="134">
        <f t="shared" si="13"/>
        <v>1.094903207</v>
      </c>
      <c r="Q274" s="134">
        <f t="shared" si="14"/>
        <v>1.15675447</v>
      </c>
    </row>
    <row r="275" ht="15.0" customHeight="1">
      <c r="A275" s="13">
        <v>236.0</v>
      </c>
      <c r="B275" s="134">
        <f t="shared" ref="B275:D275" si="481">RAND()</f>
        <v>0.8118822865</v>
      </c>
      <c r="C275" s="134">
        <f t="shared" si="481"/>
        <v>0.9520270872</v>
      </c>
      <c r="D275" s="134">
        <f t="shared" si="481"/>
        <v>0.8717621414</v>
      </c>
      <c r="F275" s="134">
        <f t="shared" ref="F275:H275" si="482">RAND()</f>
        <v>0.1022305236</v>
      </c>
      <c r="G275" s="134">
        <f t="shared" si="482"/>
        <v>0.143054194</v>
      </c>
      <c r="H275" s="134">
        <f t="shared" si="482"/>
        <v>0.8171741486</v>
      </c>
      <c r="J275" s="135">
        <f t="shared" si="8"/>
        <v>228133609.3</v>
      </c>
      <c r="K275" s="136">
        <f>IF(J275&gt;0,MIN(99,$B$12*Q275/(J275*12*(1-Inputs!$H$16))),99)</f>
        <v>2.95043485</v>
      </c>
      <c r="L275" s="134">
        <f t="shared" si="9"/>
        <v>1.114170321</v>
      </c>
      <c r="M275" s="134">
        <f t="shared" si="10"/>
        <v>1.049860771</v>
      </c>
      <c r="N275" s="134">
        <f t="shared" si="11"/>
        <v>1.048488271</v>
      </c>
      <c r="O275" s="134">
        <f t="shared" si="12"/>
        <v>0.990790304</v>
      </c>
      <c r="P275" s="134">
        <f t="shared" si="13"/>
        <v>0.9813739751</v>
      </c>
      <c r="Q275" s="134">
        <f t="shared" si="14"/>
        <v>1.237211027</v>
      </c>
    </row>
    <row r="276" ht="15.0" customHeight="1">
      <c r="A276" s="13">
        <v>237.0</v>
      </c>
      <c r="B276" s="134">
        <f t="shared" ref="B276:D276" si="483">RAND()</f>
        <v>0.9764530973</v>
      </c>
      <c r="C276" s="134">
        <f t="shared" si="483"/>
        <v>0.0702478557</v>
      </c>
      <c r="D276" s="134">
        <f t="shared" si="483"/>
        <v>0.5246044153</v>
      </c>
      <c r="F276" s="134">
        <f t="shared" ref="F276:H276" si="484">RAND()</f>
        <v>0.6166763926</v>
      </c>
      <c r="G276" s="134">
        <f t="shared" si="484"/>
        <v>0.4634061419</v>
      </c>
      <c r="H276" s="134">
        <f t="shared" si="484"/>
        <v>0.6708671859</v>
      </c>
      <c r="J276" s="135">
        <f t="shared" si="8"/>
        <v>306536148.6</v>
      </c>
      <c r="K276" s="136">
        <f>IF(J276&gt;0,MIN(99,$B$12*Q276/(J276*12*(1-Inputs!$H$16))),99)</f>
        <v>2.058465707</v>
      </c>
      <c r="L276" s="134">
        <f t="shared" si="9"/>
        <v>1.218099217</v>
      </c>
      <c r="M276" s="134">
        <f t="shared" si="10"/>
        <v>1.095824887</v>
      </c>
      <c r="N276" s="134">
        <f t="shared" si="11"/>
        <v>1.00971537</v>
      </c>
      <c r="O276" s="134">
        <f t="shared" si="12"/>
        <v>1.033826861</v>
      </c>
      <c r="P276" s="134">
        <f t="shared" si="13"/>
        <v>1.166193843</v>
      </c>
      <c r="Q276" s="134">
        <f t="shared" si="14"/>
        <v>1.159828601</v>
      </c>
    </row>
    <row r="277" ht="15.0" customHeight="1">
      <c r="A277" s="13">
        <v>238.0</v>
      </c>
      <c r="B277" s="134">
        <f t="shared" ref="B277:D277" si="485">RAND()</f>
        <v>0.171602289</v>
      </c>
      <c r="C277" s="134">
        <f t="shared" si="485"/>
        <v>0.3708215928</v>
      </c>
      <c r="D277" s="134">
        <f t="shared" si="485"/>
        <v>0.1099214761</v>
      </c>
      <c r="F277" s="134">
        <f t="shared" ref="F277:H277" si="486">RAND()</f>
        <v>0.7332940606</v>
      </c>
      <c r="G277" s="134">
        <f t="shared" si="486"/>
        <v>0.2159408672</v>
      </c>
      <c r="H277" s="134">
        <f t="shared" si="486"/>
        <v>0.6613337701</v>
      </c>
      <c r="J277" s="135">
        <f t="shared" si="8"/>
        <v>90829830.25</v>
      </c>
      <c r="K277" s="136">
        <f>IF(J277&gt;0,MIN(99,$B$12*Q277/(J277*12*(1-Inputs!$H$16))),99)</f>
        <v>6.920825221</v>
      </c>
      <c r="L277" s="134">
        <f t="shared" si="9"/>
        <v>0.9139433608</v>
      </c>
      <c r="M277" s="134">
        <f t="shared" si="10"/>
        <v>0.9608628005</v>
      </c>
      <c r="N277" s="134">
        <f t="shared" si="11"/>
        <v>0.9708178731</v>
      </c>
      <c r="O277" s="134">
        <f t="shared" si="12"/>
        <v>1.046765971</v>
      </c>
      <c r="P277" s="134">
        <f t="shared" si="13"/>
        <v>1.020755151</v>
      </c>
      <c r="Q277" s="134">
        <f t="shared" si="14"/>
        <v>1.155459867</v>
      </c>
    </row>
    <row r="278" ht="15.0" customHeight="1">
      <c r="A278" s="13">
        <v>239.0</v>
      </c>
      <c r="B278" s="134">
        <f t="shared" ref="B278:D278" si="487">RAND()</f>
        <v>0.7153480769</v>
      </c>
      <c r="C278" s="134">
        <f t="shared" si="487"/>
        <v>0.3888492622</v>
      </c>
      <c r="D278" s="134">
        <f t="shared" si="487"/>
        <v>0.538459755</v>
      </c>
      <c r="F278" s="134">
        <f t="shared" ref="F278:H278" si="488">RAND()</f>
        <v>0.3671338633</v>
      </c>
      <c r="G278" s="134">
        <f t="shared" si="488"/>
        <v>0.9956483612</v>
      </c>
      <c r="H278" s="134">
        <f t="shared" si="488"/>
        <v>0.2619234977</v>
      </c>
      <c r="J278" s="135">
        <f t="shared" si="8"/>
        <v>174584616</v>
      </c>
      <c r="K278" s="136">
        <f>IF(J278&gt;0,MIN(99,$B$12*Q278/(J278*12*(1-Inputs!$H$16))),99)</f>
        <v>3.143246714</v>
      </c>
      <c r="L278" s="134">
        <f t="shared" si="9"/>
        <v>1.077162593</v>
      </c>
      <c r="M278" s="134">
        <f t="shared" si="10"/>
        <v>1.033493548</v>
      </c>
      <c r="N278" s="134">
        <f t="shared" si="11"/>
        <v>1.010899646</v>
      </c>
      <c r="O278" s="134">
        <f t="shared" si="12"/>
        <v>1.011601681</v>
      </c>
      <c r="P278" s="134">
        <f t="shared" si="13"/>
        <v>1.800036944</v>
      </c>
      <c r="Q278" s="134">
        <f t="shared" si="14"/>
        <v>1.00867887</v>
      </c>
    </row>
    <row r="279" ht="15.0" customHeight="1">
      <c r="A279" s="13">
        <v>240.0</v>
      </c>
      <c r="B279" s="134">
        <f t="shared" ref="B279:D279" si="489">RAND()</f>
        <v>0.1223081791</v>
      </c>
      <c r="C279" s="134">
        <f t="shared" si="489"/>
        <v>0.8423503763</v>
      </c>
      <c r="D279" s="134">
        <f t="shared" si="489"/>
        <v>0.859907384</v>
      </c>
      <c r="F279" s="134">
        <f t="shared" ref="F279:H279" si="490">RAND()</f>
        <v>0.5830030653</v>
      </c>
      <c r="G279" s="134">
        <f t="shared" si="490"/>
        <v>0.5100430263</v>
      </c>
      <c r="H279" s="134">
        <f t="shared" si="490"/>
        <v>0.4207450058</v>
      </c>
      <c r="J279" s="135">
        <f t="shared" si="8"/>
        <v>57985369.81</v>
      </c>
      <c r="K279" s="136">
        <f>IF(J279&gt;0,MIN(99,$B$12*Q279/(J279*12*(1-Inputs!$H$16))),99)</f>
        <v>9.950875276</v>
      </c>
      <c r="L279" s="134">
        <f t="shared" si="9"/>
        <v>0.8923016204</v>
      </c>
      <c r="M279" s="134">
        <f t="shared" si="10"/>
        <v>0.9511805281</v>
      </c>
      <c r="N279" s="134">
        <f t="shared" si="11"/>
        <v>1.046594435</v>
      </c>
      <c r="O279" s="134">
        <f t="shared" si="12"/>
        <v>1.030472668</v>
      </c>
      <c r="P279" s="134">
        <f t="shared" si="13"/>
        <v>1.197152334</v>
      </c>
      <c r="Q279" s="134">
        <f t="shared" si="14"/>
        <v>1.06059163</v>
      </c>
    </row>
    <row r="280" ht="15.0" customHeight="1">
      <c r="A280" s="13">
        <v>241.0</v>
      </c>
      <c r="B280" s="134">
        <f t="shared" ref="B280:D280" si="491">RAND()</f>
        <v>0.2123031503</v>
      </c>
      <c r="C280" s="134">
        <f t="shared" si="491"/>
        <v>0.2669523399</v>
      </c>
      <c r="D280" s="134">
        <f t="shared" si="491"/>
        <v>0.8093181281</v>
      </c>
      <c r="F280" s="134">
        <f t="shared" ref="F280:H280" si="492">RAND()</f>
        <v>0.1131081895</v>
      </c>
      <c r="G280" s="134">
        <f t="shared" si="492"/>
        <v>0.1631610893</v>
      </c>
      <c r="H280" s="134">
        <f t="shared" si="492"/>
        <v>0.4848729853</v>
      </c>
      <c r="J280" s="135">
        <f t="shared" si="8"/>
        <v>97865523.02</v>
      </c>
      <c r="K280" s="136">
        <f>IF(J280&gt;0,MIN(99,$B$12*Q280/(J280*12*(1-Inputs!$H$16))),99)</f>
        <v>6.02356301</v>
      </c>
      <c r="L280" s="134">
        <f t="shared" si="9"/>
        <v>0.9295448298</v>
      </c>
      <c r="M280" s="134">
        <f t="shared" si="10"/>
        <v>0.9678427231</v>
      </c>
      <c r="N280" s="134">
        <f t="shared" si="11"/>
        <v>1.039295621</v>
      </c>
      <c r="O280" s="134">
        <f t="shared" si="12"/>
        <v>0.9918743564</v>
      </c>
      <c r="P280" s="134">
        <f t="shared" si="13"/>
        <v>0.9927031806</v>
      </c>
      <c r="Q280" s="134">
        <f t="shared" si="14"/>
        <v>1.083556746</v>
      </c>
    </row>
    <row r="281" ht="15.0" customHeight="1">
      <c r="A281" s="13">
        <v>242.0</v>
      </c>
      <c r="B281" s="134">
        <f t="shared" ref="B281:D281" si="493">RAND()</f>
        <v>0.9251667092</v>
      </c>
      <c r="C281" s="134">
        <f t="shared" si="493"/>
        <v>0.7054905528</v>
      </c>
      <c r="D281" s="134">
        <f t="shared" si="493"/>
        <v>0.8744064758</v>
      </c>
      <c r="F281" s="134">
        <f t="shared" ref="F281:H281" si="494">RAND()</f>
        <v>0.07723638887</v>
      </c>
      <c r="G281" s="134">
        <f t="shared" si="494"/>
        <v>0.7168270264</v>
      </c>
      <c r="H281" s="134">
        <f t="shared" si="494"/>
        <v>0.3758798879</v>
      </c>
      <c r="J281" s="135">
        <f t="shared" si="8"/>
        <v>260642139.2</v>
      </c>
      <c r="K281" s="136">
        <f>IF(J281&gt;0,MIN(99,$B$12*Q281/(J281*12*(1-Inputs!$H$16))),99)</f>
        <v>2.181809719</v>
      </c>
      <c r="L281" s="134">
        <f t="shared" si="9"/>
        <v>1.173562445</v>
      </c>
      <c r="M281" s="134">
        <f t="shared" si="10"/>
        <v>1.076127831</v>
      </c>
      <c r="N281" s="134">
        <f t="shared" si="11"/>
        <v>1.04892251</v>
      </c>
      <c r="O281" s="134">
        <f t="shared" si="12"/>
        <v>0.9880560203</v>
      </c>
      <c r="P281" s="134">
        <f t="shared" si="13"/>
        <v>1.356744315</v>
      </c>
      <c r="Q281" s="134">
        <f t="shared" si="14"/>
        <v>1.045273607</v>
      </c>
    </row>
    <row r="282" ht="15.0" customHeight="1">
      <c r="A282" s="13">
        <v>243.0</v>
      </c>
      <c r="B282" s="134">
        <f t="shared" ref="B282:D282" si="495">RAND()</f>
        <v>0.2326580525</v>
      </c>
      <c r="C282" s="134">
        <f t="shared" si="495"/>
        <v>0.7588138713</v>
      </c>
      <c r="D282" s="134">
        <f t="shared" si="495"/>
        <v>0.478372001</v>
      </c>
      <c r="F282" s="134">
        <f t="shared" ref="F282:H282" si="496">RAND()</f>
        <v>0.4314786798</v>
      </c>
      <c r="G282" s="134">
        <f t="shared" si="496"/>
        <v>0.8057897123</v>
      </c>
      <c r="H282" s="134">
        <f t="shared" si="496"/>
        <v>0.4456610494</v>
      </c>
      <c r="J282" s="135">
        <f t="shared" si="8"/>
        <v>88217135.28</v>
      </c>
      <c r="K282" s="136">
        <f>IF(J282&gt;0,MIN(99,$B$12*Q282/(J282*12*(1-Inputs!$H$16))),99)</f>
        <v>6.594785462</v>
      </c>
      <c r="L282" s="134">
        <f t="shared" si="9"/>
        <v>0.9367839019</v>
      </c>
      <c r="M282" s="134">
        <f t="shared" si="10"/>
        <v>0.9710814029</v>
      </c>
      <c r="N282" s="134">
        <f t="shared" si="11"/>
        <v>1.005883688</v>
      </c>
      <c r="O282" s="134">
        <f t="shared" si="12"/>
        <v>1.016833657</v>
      </c>
      <c r="P282" s="134">
        <f t="shared" si="13"/>
        <v>1.443703001</v>
      </c>
      <c r="Q282" s="134">
        <f t="shared" si="14"/>
        <v>1.069355491</v>
      </c>
    </row>
    <row r="283" ht="15.0" customHeight="1">
      <c r="A283" s="13">
        <v>244.0</v>
      </c>
      <c r="B283" s="134">
        <f t="shared" ref="B283:D283" si="497">RAND()</f>
        <v>0.4740932611</v>
      </c>
      <c r="C283" s="134">
        <f t="shared" si="497"/>
        <v>0.6145345711</v>
      </c>
      <c r="D283" s="134">
        <f t="shared" si="497"/>
        <v>0.1313796168</v>
      </c>
      <c r="F283" s="134">
        <f t="shared" ref="F283:H283" si="498">RAND()</f>
        <v>0.7833272129</v>
      </c>
      <c r="G283" s="134">
        <f t="shared" si="498"/>
        <v>0.5358829872</v>
      </c>
      <c r="H283" s="134">
        <f t="shared" si="498"/>
        <v>0.5542001238</v>
      </c>
      <c r="J283" s="135">
        <f t="shared" si="8"/>
        <v>145871035.6</v>
      </c>
      <c r="K283" s="136">
        <f>IF(J283&gt;0,MIN(99,$B$12*Q283/(J283*12*(1-Inputs!$H$16))),99)</f>
        <v>4.140072758</v>
      </c>
      <c r="L283" s="134">
        <f t="shared" si="9"/>
        <v>1.006090765</v>
      </c>
      <c r="M283" s="134">
        <f t="shared" si="10"/>
        <v>1.002060964</v>
      </c>
      <c r="N283" s="134">
        <f t="shared" si="11"/>
        <v>0.9737914015</v>
      </c>
      <c r="O283" s="134">
        <f t="shared" si="12"/>
        <v>1.053185984</v>
      </c>
      <c r="P283" s="134">
        <f t="shared" si="13"/>
        <v>1.21494205</v>
      </c>
      <c r="Q283" s="134">
        <f t="shared" si="14"/>
        <v>1.110057617</v>
      </c>
    </row>
    <row r="284" ht="15.0" customHeight="1">
      <c r="A284" s="13">
        <v>245.0</v>
      </c>
      <c r="B284" s="134">
        <f t="shared" ref="B284:D284" si="499">RAND()</f>
        <v>0.4820369485</v>
      </c>
      <c r="C284" s="134">
        <f t="shared" si="499"/>
        <v>0.3455976572</v>
      </c>
      <c r="D284" s="134">
        <f t="shared" si="499"/>
        <v>0.5674590781</v>
      </c>
      <c r="F284" s="134">
        <f t="shared" ref="F284:H284" si="500">RAND()</f>
        <v>0.579484274</v>
      </c>
      <c r="G284" s="134">
        <f t="shared" si="500"/>
        <v>0.7973917682</v>
      </c>
      <c r="H284" s="134">
        <f t="shared" si="500"/>
        <v>0.5413993903</v>
      </c>
      <c r="J284" s="135">
        <f t="shared" si="8"/>
        <v>134281105.6</v>
      </c>
      <c r="K284" s="136">
        <f>IF(J284&gt;0,MIN(99,$B$12*Q284/(J284*12*(1-Inputs!$H$16))),99)</f>
        <v>4.476984258</v>
      </c>
      <c r="L284" s="134">
        <f t="shared" si="9"/>
        <v>1.008129395</v>
      </c>
      <c r="M284" s="134">
        <f t="shared" si="10"/>
        <v>1.002962579</v>
      </c>
      <c r="N284" s="134">
        <f t="shared" si="11"/>
        <v>1.013437318</v>
      </c>
      <c r="O284" s="134">
        <f t="shared" si="12"/>
        <v>1.030130108</v>
      </c>
      <c r="P284" s="134">
        <f t="shared" si="13"/>
        <v>1.434738426</v>
      </c>
      <c r="Q284" s="134">
        <f t="shared" si="14"/>
        <v>1.105016993</v>
      </c>
    </row>
    <row r="285" ht="15.0" customHeight="1">
      <c r="A285" s="13">
        <v>246.0</v>
      </c>
      <c r="B285" s="134">
        <f t="shared" ref="B285:D285" si="501">RAND()</f>
        <v>0.8261202058</v>
      </c>
      <c r="C285" s="134">
        <f t="shared" si="501"/>
        <v>0.1032832529</v>
      </c>
      <c r="D285" s="134">
        <f t="shared" si="501"/>
        <v>0.06786970332</v>
      </c>
      <c r="F285" s="134">
        <f t="shared" ref="F285:H285" si="502">RAND()</f>
        <v>0.8336090247</v>
      </c>
      <c r="G285" s="134">
        <f t="shared" si="502"/>
        <v>0.08289041928</v>
      </c>
      <c r="H285" s="134">
        <f t="shared" si="502"/>
        <v>0.5825069291</v>
      </c>
      <c r="J285" s="135">
        <f t="shared" si="8"/>
        <v>243133675</v>
      </c>
      <c r="K285" s="136">
        <f>IF(J285&gt;0,MIN(99,$B$12*Q285/(J285*12*(1-Inputs!$H$16))),99)</f>
        <v>2.509418969</v>
      </c>
      <c r="L285" s="134">
        <f t="shared" si="9"/>
        <v>1.120376355</v>
      </c>
      <c r="M285" s="134">
        <f t="shared" si="10"/>
        <v>1.052605483</v>
      </c>
      <c r="N285" s="134">
        <f t="shared" si="11"/>
        <v>0.9639872392</v>
      </c>
      <c r="O285" s="134">
        <f t="shared" si="12"/>
        <v>1.060439602</v>
      </c>
      <c r="P285" s="134">
        <f t="shared" si="13"/>
        <v>0.9415702981</v>
      </c>
      <c r="Q285" s="134">
        <f t="shared" si="14"/>
        <v>1.121467707</v>
      </c>
    </row>
    <row r="286" ht="15.0" customHeight="1">
      <c r="A286" s="13">
        <v>247.0</v>
      </c>
      <c r="B286" s="134">
        <f t="shared" ref="B286:D286" si="503">RAND()</f>
        <v>0.3410966498</v>
      </c>
      <c r="C286" s="134">
        <f t="shared" si="503"/>
        <v>0.4211978822</v>
      </c>
      <c r="D286" s="134">
        <f t="shared" si="503"/>
        <v>0.1296913641</v>
      </c>
      <c r="F286" s="134">
        <f t="shared" ref="F286:H286" si="504">RAND()</f>
        <v>0.1723751516</v>
      </c>
      <c r="G286" s="134">
        <f t="shared" si="504"/>
        <v>0.07683944281</v>
      </c>
      <c r="H286" s="134">
        <f t="shared" si="504"/>
        <v>0.6507843103</v>
      </c>
      <c r="J286" s="135">
        <f t="shared" si="8"/>
        <v>140771373.6</v>
      </c>
      <c r="K286" s="136">
        <f>IF(J286&gt;0,MIN(99,$B$12*Q286/(J286*12*(1-Inputs!$H$16))),99)</f>
        <v>4.447111311</v>
      </c>
      <c r="L286" s="134">
        <f t="shared" si="9"/>
        <v>0.9708912277</v>
      </c>
      <c r="M286" s="134">
        <f t="shared" si="10"/>
        <v>0.9863406388</v>
      </c>
      <c r="N286" s="134">
        <f t="shared" si="11"/>
        <v>0.9735667085</v>
      </c>
      <c r="O286" s="134">
        <f t="shared" si="12"/>
        <v>0.9970306506</v>
      </c>
      <c r="P286" s="134">
        <f t="shared" si="13"/>
        <v>0.9368513654</v>
      </c>
      <c r="Q286" s="134">
        <f t="shared" si="14"/>
        <v>1.150696599</v>
      </c>
    </row>
    <row r="287" ht="15.0" customHeight="1">
      <c r="A287" s="13">
        <v>248.0</v>
      </c>
      <c r="B287" s="134">
        <f t="shared" ref="B287:D287" si="505">RAND()</f>
        <v>0.09246070637</v>
      </c>
      <c r="C287" s="134">
        <f t="shared" si="505"/>
        <v>0.966221727</v>
      </c>
      <c r="D287" s="134">
        <f t="shared" si="505"/>
        <v>0.5433956148</v>
      </c>
      <c r="F287" s="134">
        <f t="shared" ref="F287:H287" si="506">RAND()</f>
        <v>0.279197787</v>
      </c>
      <c r="G287" s="134">
        <f t="shared" si="506"/>
        <v>0.798648397</v>
      </c>
      <c r="H287" s="134">
        <f t="shared" si="506"/>
        <v>0.3133937487</v>
      </c>
      <c r="J287" s="135">
        <f t="shared" si="8"/>
        <v>50149224.84</v>
      </c>
      <c r="K287" s="136">
        <f>IF(J287&gt;0,MIN(99,$B$12*Q287/(J287*12*(1-Inputs!$H$16))),99)</f>
        <v>11.11780043</v>
      </c>
      <c r="L287" s="134">
        <f t="shared" si="9"/>
        <v>0.8769893596</v>
      </c>
      <c r="M287" s="134">
        <f t="shared" si="10"/>
        <v>0.944329994</v>
      </c>
      <c r="N287" s="134">
        <f t="shared" si="11"/>
        <v>1.011325821</v>
      </c>
      <c r="O287" s="134">
        <f t="shared" si="12"/>
        <v>1.004864499</v>
      </c>
      <c r="P287" s="134">
        <f t="shared" si="13"/>
        <v>1.43606786</v>
      </c>
      <c r="Q287" s="134">
        <f t="shared" si="14"/>
        <v>1.024829409</v>
      </c>
    </row>
    <row r="288" ht="15.0" customHeight="1">
      <c r="A288" s="13">
        <v>249.0</v>
      </c>
      <c r="B288" s="134">
        <f t="shared" ref="B288:D288" si="507">RAND()</f>
        <v>0.1968868227</v>
      </c>
      <c r="C288" s="134">
        <f t="shared" si="507"/>
        <v>0.6474146789</v>
      </c>
      <c r="D288" s="134">
        <f t="shared" si="507"/>
        <v>0.09057771253</v>
      </c>
      <c r="F288" s="134">
        <f t="shared" ref="F288:H288" si="508">RAND()</f>
        <v>0.2843814422</v>
      </c>
      <c r="G288" s="134">
        <f t="shared" si="508"/>
        <v>0.3601259983</v>
      </c>
      <c r="H288" s="134">
        <f t="shared" si="508"/>
        <v>0.651649738</v>
      </c>
      <c r="J288" s="135">
        <f t="shared" si="8"/>
        <v>101914681.7</v>
      </c>
      <c r="K288" s="136">
        <f>IF(J288&gt;0,MIN(99,$B$12*Q288/(J288*12*(1-Inputs!$H$16))),99)</f>
        <v>6.144718877</v>
      </c>
      <c r="L288" s="134">
        <f t="shared" si="9"/>
        <v>0.9238279797</v>
      </c>
      <c r="M288" s="134">
        <f t="shared" si="10"/>
        <v>0.9652850684</v>
      </c>
      <c r="N288" s="134">
        <f t="shared" si="11"/>
        <v>0.9678766986</v>
      </c>
      <c r="O288" s="134">
        <f t="shared" si="12"/>
        <v>1.00524983</v>
      </c>
      <c r="P288" s="134">
        <f t="shared" si="13"/>
        <v>1.102106134</v>
      </c>
      <c r="Q288" s="134">
        <f t="shared" si="14"/>
        <v>1.151084622</v>
      </c>
    </row>
    <row r="289" ht="15.0" customHeight="1">
      <c r="A289" s="13">
        <v>250.0</v>
      </c>
      <c r="B289" s="134">
        <f t="shared" ref="B289:D289" si="509">RAND()</f>
        <v>0.3942798352</v>
      </c>
      <c r="C289" s="134">
        <f t="shared" si="509"/>
        <v>0.5574729172</v>
      </c>
      <c r="D289" s="134">
        <f t="shared" si="509"/>
        <v>0.06253628141</v>
      </c>
      <c r="F289" s="134">
        <f t="shared" ref="F289:H289" si="510">RAND()</f>
        <v>0.6772504222</v>
      </c>
      <c r="G289" s="134">
        <f t="shared" si="510"/>
        <v>0.5932730373</v>
      </c>
      <c r="H289" s="134">
        <f t="shared" si="510"/>
        <v>0.3604927427</v>
      </c>
      <c r="J289" s="135">
        <f t="shared" si="8"/>
        <v>134119519.5</v>
      </c>
      <c r="K289" s="136">
        <f>IF(J289&gt;0,MIN(99,$B$12*Q289/(J289*12*(1-Inputs!$H$16))),99)</f>
        <v>4.219242814</v>
      </c>
      <c r="L289" s="134">
        <f t="shared" si="9"/>
        <v>0.9856097848</v>
      </c>
      <c r="M289" s="134">
        <f t="shared" si="10"/>
        <v>0.9929255565</v>
      </c>
      <c r="N289" s="134">
        <f t="shared" si="11"/>
        <v>0.9629826763</v>
      </c>
      <c r="O289" s="134">
        <f t="shared" si="12"/>
        <v>1.04025522</v>
      </c>
      <c r="P289" s="134">
        <f t="shared" si="13"/>
        <v>1.256316377</v>
      </c>
      <c r="Q289" s="134">
        <f t="shared" si="14"/>
        <v>1.040147643</v>
      </c>
    </row>
    <row r="290" ht="15.0" customHeight="1">
      <c r="A290" s="13">
        <v>251.0</v>
      </c>
      <c r="B290" s="134">
        <f t="shared" ref="B290:D290" si="511">RAND()</f>
        <v>0.06321665862</v>
      </c>
      <c r="C290" s="134">
        <f t="shared" si="511"/>
        <v>0.03037676181</v>
      </c>
      <c r="D290" s="134">
        <f t="shared" si="511"/>
        <v>0.6748238384</v>
      </c>
      <c r="F290" s="134">
        <f t="shared" ref="F290:H290" si="512">RAND()</f>
        <v>0.6077608114</v>
      </c>
      <c r="G290" s="134">
        <f t="shared" si="512"/>
        <v>0.4167051122</v>
      </c>
      <c r="H290" s="134">
        <f t="shared" si="512"/>
        <v>0.7184415119</v>
      </c>
      <c r="J290" s="135">
        <f t="shared" si="8"/>
        <v>43298537.8</v>
      </c>
      <c r="K290" s="136">
        <f>IF(J290&gt;0,MIN(99,$B$12*Q290/(J290*12*(1-Inputs!$H$16))),99)</f>
        <v>14.85976667</v>
      </c>
      <c r="L290" s="134">
        <f t="shared" si="9"/>
        <v>0.8593319281</v>
      </c>
      <c r="M290" s="134">
        <f t="shared" si="10"/>
        <v>0.9364302568</v>
      </c>
      <c r="N290" s="134">
        <f t="shared" si="11"/>
        <v>1.023667546</v>
      </c>
      <c r="O290" s="134">
        <f t="shared" si="12"/>
        <v>1.032924903</v>
      </c>
      <c r="P290" s="134">
        <f t="shared" si="13"/>
        <v>1.136513984</v>
      </c>
      <c r="Q290" s="134">
        <f t="shared" si="14"/>
        <v>1.182643098</v>
      </c>
    </row>
    <row r="291" ht="15.0" customHeight="1">
      <c r="A291" s="13">
        <v>252.0</v>
      </c>
      <c r="B291" s="134">
        <f t="shared" ref="B291:D291" si="513">RAND()</f>
        <v>0.6145023982</v>
      </c>
      <c r="C291" s="134">
        <f t="shared" si="513"/>
        <v>0.8066833046</v>
      </c>
      <c r="D291" s="134">
        <f t="shared" si="513"/>
        <v>0.4215362764</v>
      </c>
      <c r="F291" s="134">
        <f t="shared" ref="F291:H291" si="514">RAND()</f>
        <v>0.05255935348</v>
      </c>
      <c r="G291" s="134">
        <f t="shared" si="514"/>
        <v>0.2653018689</v>
      </c>
      <c r="H291" s="134">
        <f t="shared" si="514"/>
        <v>0.7164869639</v>
      </c>
      <c r="J291" s="135">
        <f t="shared" si="8"/>
        <v>185587007.3</v>
      </c>
      <c r="K291" s="136">
        <f>IF(J291&gt;0,MIN(99,$B$12*Q291/(J291*12*(1-Inputs!$H$16))),99)</f>
        <v>3.464016468</v>
      </c>
      <c r="L291" s="134">
        <f t="shared" si="9"/>
        <v>1.044769854</v>
      </c>
      <c r="M291" s="134">
        <f t="shared" si="10"/>
        <v>1.019167372</v>
      </c>
      <c r="N291" s="134">
        <f t="shared" si="11"/>
        <v>1.001399014</v>
      </c>
      <c r="O291" s="134">
        <f t="shared" si="12"/>
        <v>0.9848748336</v>
      </c>
      <c r="P291" s="134">
        <f t="shared" si="13"/>
        <v>1.04769068</v>
      </c>
      <c r="Q291" s="134">
        <f t="shared" si="14"/>
        <v>1.181669423</v>
      </c>
    </row>
    <row r="292" ht="15.0" customHeight="1">
      <c r="A292" s="13">
        <v>253.0</v>
      </c>
      <c r="B292" s="134">
        <f t="shared" ref="B292:D292" si="515">RAND()</f>
        <v>0.9823530968</v>
      </c>
      <c r="C292" s="134">
        <f t="shared" si="515"/>
        <v>0.9650069494</v>
      </c>
      <c r="D292" s="134">
        <f t="shared" si="515"/>
        <v>0.1944905621</v>
      </c>
      <c r="F292" s="134">
        <f t="shared" ref="F292:H292" si="516">RAND()</f>
        <v>0.5614048817</v>
      </c>
      <c r="G292" s="134">
        <f t="shared" si="516"/>
        <v>0.3167560965</v>
      </c>
      <c r="H292" s="134">
        <f t="shared" si="516"/>
        <v>0.5334319595</v>
      </c>
      <c r="J292" s="135">
        <f t="shared" si="8"/>
        <v>324669574.3</v>
      </c>
      <c r="K292" s="136">
        <f>IF(J292&gt;0,MIN(99,$B$12*Q292/(J292*12*(1-Inputs!$H$16))),99)</f>
        <v>1.84645212</v>
      </c>
      <c r="L292" s="134">
        <f t="shared" si="9"/>
        <v>1.225740999</v>
      </c>
      <c r="M292" s="134">
        <f t="shared" si="10"/>
        <v>1.09920458</v>
      </c>
      <c r="N292" s="134">
        <f t="shared" si="11"/>
        <v>0.9813453994</v>
      </c>
      <c r="O292" s="134">
        <f t="shared" si="12"/>
        <v>1.028392223</v>
      </c>
      <c r="P292" s="134">
        <f t="shared" si="13"/>
        <v>1.076750418</v>
      </c>
      <c r="Q292" s="134">
        <f t="shared" si="14"/>
        <v>1.101915072</v>
      </c>
    </row>
    <row r="293" ht="15.0" customHeight="1">
      <c r="A293" s="13">
        <v>254.0</v>
      </c>
      <c r="B293" s="134">
        <f t="shared" ref="B293:D293" si="517">RAND()</f>
        <v>0.4919622152</v>
      </c>
      <c r="C293" s="134">
        <f t="shared" si="517"/>
        <v>0.1628949616</v>
      </c>
      <c r="D293" s="134">
        <f t="shared" si="517"/>
        <v>0.4682130847</v>
      </c>
      <c r="F293" s="134">
        <f t="shared" ref="F293:H293" si="518">RAND()</f>
        <v>0.5269654001</v>
      </c>
      <c r="G293" s="134">
        <f t="shared" si="518"/>
        <v>0.531866243</v>
      </c>
      <c r="H293" s="134">
        <f t="shared" si="518"/>
        <v>0.5837041941</v>
      </c>
      <c r="J293" s="135">
        <f t="shared" si="8"/>
        <v>147165070</v>
      </c>
      <c r="K293" s="136">
        <f>IF(J293&gt;0,MIN(99,$B$12*Q293/(J293*12*(1-Inputs!$H$16))),99)</f>
        <v>4.147664797</v>
      </c>
      <c r="L293" s="134">
        <f t="shared" si="9"/>
        <v>1.010698666</v>
      </c>
      <c r="M293" s="134">
        <f t="shared" si="10"/>
        <v>1.004098877</v>
      </c>
      <c r="N293" s="134">
        <f t="shared" si="11"/>
        <v>1.005064786</v>
      </c>
      <c r="O293" s="134">
        <f t="shared" si="12"/>
        <v>1.025178098</v>
      </c>
      <c r="P293" s="134">
        <f t="shared" si="13"/>
        <v>1.212144762</v>
      </c>
      <c r="Q293" s="134">
        <f t="shared" si="14"/>
        <v>1.121958706</v>
      </c>
    </row>
    <row r="294" ht="15.0" customHeight="1">
      <c r="A294" s="13">
        <v>255.0</v>
      </c>
      <c r="B294" s="134">
        <f t="shared" ref="B294:D294" si="519">RAND()</f>
        <v>0.6107188751</v>
      </c>
      <c r="C294" s="134">
        <f t="shared" si="519"/>
        <v>0.2066714922</v>
      </c>
      <c r="D294" s="134">
        <f t="shared" si="519"/>
        <v>0.6291628835</v>
      </c>
      <c r="F294" s="134">
        <f t="shared" ref="F294:H294" si="520">RAND()</f>
        <v>0.978708146</v>
      </c>
      <c r="G294" s="134">
        <f t="shared" si="520"/>
        <v>0.01816871346</v>
      </c>
      <c r="H294" s="134">
        <f t="shared" si="520"/>
        <v>0.8720980713</v>
      </c>
      <c r="J294" s="135">
        <f t="shared" si="8"/>
        <v>169211929.9</v>
      </c>
      <c r="K294" s="136">
        <f>IF(J294&gt;0,MIN(99,$B$12*Q294/(J294*12*(1-Inputs!$H$16))),99)</f>
        <v>4.096911408</v>
      </c>
      <c r="L294" s="134">
        <f t="shared" si="9"/>
        <v>1.043642799</v>
      </c>
      <c r="M294" s="134">
        <f t="shared" si="10"/>
        <v>1.018668915</v>
      </c>
      <c r="N294" s="134">
        <f t="shared" si="11"/>
        <v>1.019137015</v>
      </c>
      <c r="O294" s="134">
        <f t="shared" si="12"/>
        <v>1.093449403</v>
      </c>
      <c r="P294" s="134">
        <f t="shared" si="13"/>
        <v>0.874091421</v>
      </c>
      <c r="Q294" s="134">
        <f t="shared" si="14"/>
        <v>1.27425408</v>
      </c>
    </row>
    <row r="295" ht="15.0" customHeight="1">
      <c r="A295" s="13">
        <v>256.0</v>
      </c>
      <c r="B295" s="134">
        <f t="shared" ref="B295:D295" si="521">RAND()</f>
        <v>0.6687464799</v>
      </c>
      <c r="C295" s="134">
        <f t="shared" si="521"/>
        <v>0.07721139938</v>
      </c>
      <c r="D295" s="134">
        <f t="shared" si="521"/>
        <v>0.165028913</v>
      </c>
      <c r="F295" s="134">
        <f t="shared" ref="F295:H295" si="522">RAND()</f>
        <v>0.2771095426</v>
      </c>
      <c r="G295" s="134">
        <f t="shared" si="522"/>
        <v>0.005211146954</v>
      </c>
      <c r="H295" s="134">
        <f t="shared" si="522"/>
        <v>0.9439326912</v>
      </c>
      <c r="J295" s="135">
        <f t="shared" si="8"/>
        <v>207644525.4</v>
      </c>
      <c r="K295" s="136">
        <f>IF(J295&gt;0,MIN(99,$B$12*Q295/(J295*12*(1-Inputs!$H$16))),99)</f>
        <v>3.506302391</v>
      </c>
      <c r="L295" s="134">
        <f t="shared" si="9"/>
        <v>1.061581728</v>
      </c>
      <c r="M295" s="134">
        <f t="shared" si="10"/>
        <v>1.026602676</v>
      </c>
      <c r="N295" s="134">
        <f t="shared" si="11"/>
        <v>0.9780012137</v>
      </c>
      <c r="O295" s="134">
        <f t="shared" si="12"/>
        <v>1.004709659</v>
      </c>
      <c r="P295" s="134">
        <f t="shared" si="13"/>
        <v>0.8465018951</v>
      </c>
      <c r="Q295" s="134">
        <f t="shared" si="14"/>
        <v>1.338253335</v>
      </c>
    </row>
    <row r="296" ht="15.0" customHeight="1">
      <c r="A296" s="13">
        <v>257.0</v>
      </c>
      <c r="B296" s="134">
        <f t="shared" ref="B296:D296" si="523">RAND()</f>
        <v>0.4129908241</v>
      </c>
      <c r="C296" s="134">
        <f t="shared" si="523"/>
        <v>0.07241989524</v>
      </c>
      <c r="D296" s="134">
        <f t="shared" si="523"/>
        <v>0.4842070111</v>
      </c>
      <c r="F296" s="134">
        <f t="shared" ref="F296:H296" si="524">RAND()</f>
        <v>0.162610057</v>
      </c>
      <c r="G296" s="134">
        <f t="shared" si="524"/>
        <v>0.3136562885</v>
      </c>
      <c r="H296" s="134">
        <f t="shared" si="524"/>
        <v>0.5587341314</v>
      </c>
      <c r="J296" s="135">
        <f t="shared" si="8"/>
        <v>142593118</v>
      </c>
      <c r="K296" s="136">
        <f>IF(J296&gt;0,MIN(99,$B$12*Q296/(J296*12*(1-Inputs!$H$16))),99)</f>
        <v>4.242122302</v>
      </c>
      <c r="L296" s="134">
        <f t="shared" si="9"/>
        <v>0.9905492234</v>
      </c>
      <c r="M296" s="134">
        <f t="shared" si="10"/>
        <v>0.995135406</v>
      </c>
      <c r="N296" s="134">
        <f t="shared" si="11"/>
        <v>1.006357651</v>
      </c>
      <c r="O296" s="134">
        <f t="shared" si="12"/>
        <v>0.996250557</v>
      </c>
      <c r="P296" s="134">
        <f t="shared" si="13"/>
        <v>1.074969399</v>
      </c>
      <c r="Q296" s="134">
        <f t="shared" si="14"/>
        <v>1.111860322</v>
      </c>
    </row>
    <row r="297" ht="15.0" customHeight="1">
      <c r="A297" s="13">
        <v>258.0</v>
      </c>
      <c r="B297" s="134">
        <f t="shared" ref="B297:D297" si="525">RAND()</f>
        <v>0.2182487753</v>
      </c>
      <c r="C297" s="134">
        <f t="shared" si="525"/>
        <v>0.4377119148</v>
      </c>
      <c r="D297" s="134">
        <f t="shared" si="525"/>
        <v>0.8494489763</v>
      </c>
      <c r="F297" s="134">
        <f t="shared" ref="F297:H297" si="526">RAND()</f>
        <v>0.1025387784</v>
      </c>
      <c r="G297" s="134">
        <f t="shared" si="526"/>
        <v>0.005198173914</v>
      </c>
      <c r="H297" s="134">
        <f t="shared" si="526"/>
        <v>0.8969411878</v>
      </c>
      <c r="J297" s="135">
        <f t="shared" si="8"/>
        <v>103851093.1</v>
      </c>
      <c r="K297" s="136">
        <f>IF(J297&gt;0,MIN(99,$B$12*Q297/(J297*12*(1-Inputs!$H$16))),99)</f>
        <v>6.776943851</v>
      </c>
      <c r="L297" s="134">
        <f t="shared" si="9"/>
        <v>0.9316939285</v>
      </c>
      <c r="M297" s="134">
        <f t="shared" si="10"/>
        <v>0.9688042058</v>
      </c>
      <c r="N297" s="134">
        <f t="shared" si="11"/>
        <v>1.044989215</v>
      </c>
      <c r="O297" s="134">
        <f t="shared" si="12"/>
        <v>0.990821797</v>
      </c>
      <c r="P297" s="134">
        <f t="shared" si="13"/>
        <v>0.8464622706</v>
      </c>
      <c r="Q297" s="134">
        <f t="shared" si="14"/>
        <v>1.293640015</v>
      </c>
    </row>
    <row r="298" ht="15.0" customHeight="1">
      <c r="A298" s="13">
        <v>259.0</v>
      </c>
      <c r="B298" s="134">
        <f t="shared" ref="B298:D298" si="527">RAND()</f>
        <v>0.7887224185</v>
      </c>
      <c r="C298" s="134">
        <f t="shared" si="527"/>
        <v>0.2275091384</v>
      </c>
      <c r="D298" s="134">
        <f t="shared" si="527"/>
        <v>0.2606682254</v>
      </c>
      <c r="F298" s="134">
        <f t="shared" ref="F298:H298" si="528">RAND()</f>
        <v>0.3780125642</v>
      </c>
      <c r="G298" s="134">
        <f t="shared" si="528"/>
        <v>0.5161371322</v>
      </c>
      <c r="H298" s="134">
        <f t="shared" si="528"/>
        <v>0.8621652672</v>
      </c>
      <c r="J298" s="135">
        <f t="shared" si="8"/>
        <v>223264989.9</v>
      </c>
      <c r="K298" s="136">
        <f>IF(J298&gt;0,MIN(99,$B$12*Q298/(J298*12*(1-Inputs!$H$16))),99)</f>
        <v>3.087452654</v>
      </c>
      <c r="L298" s="134">
        <f t="shared" si="9"/>
        <v>1.104557437</v>
      </c>
      <c r="M298" s="134">
        <f t="shared" si="10"/>
        <v>1.045609329</v>
      </c>
      <c r="N298" s="134">
        <f t="shared" si="11"/>
        <v>0.9880337006</v>
      </c>
      <c r="O298" s="134">
        <f t="shared" si="12"/>
        <v>1.012466892</v>
      </c>
      <c r="P298" s="134">
        <f t="shared" si="13"/>
        <v>1.201304753</v>
      </c>
      <c r="Q298" s="134">
        <f t="shared" si="14"/>
        <v>1.267037342</v>
      </c>
    </row>
    <row r="299" ht="15.0" customHeight="1">
      <c r="A299" s="13">
        <v>260.0</v>
      </c>
      <c r="B299" s="134">
        <f t="shared" ref="B299:D299" si="529">RAND()</f>
        <v>0.9433808461</v>
      </c>
      <c r="C299" s="134">
        <f t="shared" si="529"/>
        <v>0.3812719083</v>
      </c>
      <c r="D299" s="134">
        <f t="shared" si="529"/>
        <v>0.1118037694</v>
      </c>
      <c r="F299" s="134">
        <f t="shared" ref="F299:H299" si="530">RAND()</f>
        <v>0.1927951028</v>
      </c>
      <c r="G299" s="134">
        <f t="shared" si="530"/>
        <v>0.4501830974</v>
      </c>
      <c r="H299" s="134">
        <f t="shared" si="530"/>
        <v>0.4617089566</v>
      </c>
      <c r="J299" s="135">
        <f t="shared" si="8"/>
        <v>296853763.3</v>
      </c>
      <c r="K299" s="136">
        <f>IF(J299&gt;0,MIN(99,$B$12*Q299/(J299*12*(1-Inputs!$H$16))),99)</f>
        <v>1.97033351</v>
      </c>
      <c r="L299" s="134">
        <f t="shared" si="9"/>
        <v>1.186766596</v>
      </c>
      <c r="M299" s="134">
        <f t="shared" si="10"/>
        <v>1.081967564</v>
      </c>
      <c r="N299" s="134">
        <f t="shared" si="11"/>
        <v>0.9710897127</v>
      </c>
      <c r="O299" s="134">
        <f t="shared" si="12"/>
        <v>0.9985934885</v>
      </c>
      <c r="P299" s="134">
        <f t="shared" si="13"/>
        <v>1.157663415</v>
      </c>
      <c r="Q299" s="134">
        <f t="shared" si="14"/>
        <v>1.075104758</v>
      </c>
    </row>
    <row r="300" ht="15.0" customHeight="1">
      <c r="A300" s="13">
        <v>261.0</v>
      </c>
      <c r="B300" s="134">
        <f t="shared" ref="B300:D300" si="531">RAND()</f>
        <v>0.0155538865</v>
      </c>
      <c r="C300" s="134">
        <f t="shared" si="531"/>
        <v>0.2709426194</v>
      </c>
      <c r="D300" s="134">
        <f t="shared" si="531"/>
        <v>0.917120511</v>
      </c>
      <c r="F300" s="134">
        <f t="shared" ref="F300:H300" si="532">RAND()</f>
        <v>0.9778772801</v>
      </c>
      <c r="G300" s="134">
        <f t="shared" si="532"/>
        <v>0.3565968306</v>
      </c>
      <c r="H300" s="134">
        <f t="shared" si="532"/>
        <v>0.3580972363</v>
      </c>
      <c r="J300" s="135">
        <f t="shared" si="8"/>
        <v>2714951.662</v>
      </c>
      <c r="K300" s="136">
        <f>IF(J300&gt;0,MIN(99,$B$12*Q300/(J300*12*(1-Inputs!$H$16))),99)</f>
        <v>99</v>
      </c>
      <c r="L300" s="134">
        <f t="shared" si="9"/>
        <v>0.816830757</v>
      </c>
      <c r="M300" s="134">
        <f t="shared" si="10"/>
        <v>0.9174157085</v>
      </c>
      <c r="N300" s="134">
        <f t="shared" si="11"/>
        <v>1.056703596</v>
      </c>
      <c r="O300" s="134">
        <f t="shared" si="12"/>
        <v>1.093094122</v>
      </c>
      <c r="P300" s="134">
        <f t="shared" si="13"/>
        <v>1.100011342</v>
      </c>
      <c r="Q300" s="134">
        <f t="shared" si="14"/>
        <v>1.039355192</v>
      </c>
    </row>
    <row r="301" ht="15.0" customHeight="1">
      <c r="A301" s="13">
        <v>262.0</v>
      </c>
      <c r="B301" s="134">
        <f t="shared" ref="B301:D301" si="533">RAND()</f>
        <v>0.9753939479</v>
      </c>
      <c r="C301" s="134">
        <f t="shared" si="533"/>
        <v>0.5729977381</v>
      </c>
      <c r="D301" s="134">
        <f t="shared" si="533"/>
        <v>0.3175967903</v>
      </c>
      <c r="F301" s="134">
        <f t="shared" ref="F301:H301" si="534">RAND()</f>
        <v>0.7451392562</v>
      </c>
      <c r="G301" s="134">
        <f t="shared" si="534"/>
        <v>0.1036065556</v>
      </c>
      <c r="H301" s="134">
        <f t="shared" si="534"/>
        <v>0.05686775038</v>
      </c>
      <c r="J301" s="135">
        <f t="shared" si="8"/>
        <v>315343820.8</v>
      </c>
      <c r="K301" s="136">
        <f>IF(J301&gt;0,MIN(99,$B$12*Q301/(J301*12*(1-Inputs!$H$16))),99)</f>
        <v>1.6018129</v>
      </c>
      <c r="L301" s="134">
        <f t="shared" si="9"/>
        <v>1.216833582</v>
      </c>
      <c r="M301" s="134">
        <f t="shared" si="10"/>
        <v>1.095265141</v>
      </c>
      <c r="N301" s="134">
        <f t="shared" si="11"/>
        <v>0.9931308094</v>
      </c>
      <c r="O301" s="134">
        <f t="shared" si="12"/>
        <v>1.048227317</v>
      </c>
      <c r="P301" s="134">
        <f t="shared" si="13"/>
        <v>0.9565422785</v>
      </c>
      <c r="Q301" s="134">
        <f t="shared" si="14"/>
        <v>0.9284629829</v>
      </c>
    </row>
    <row r="302" ht="15.0" customHeight="1">
      <c r="A302" s="13">
        <v>263.0</v>
      </c>
      <c r="B302" s="134">
        <f t="shared" ref="B302:D302" si="535">RAND()</f>
        <v>0.1610836801</v>
      </c>
      <c r="C302" s="134">
        <f t="shared" si="535"/>
        <v>0.3568898072</v>
      </c>
      <c r="D302" s="134">
        <f t="shared" si="535"/>
        <v>0.6226658261</v>
      </c>
      <c r="F302" s="134">
        <f t="shared" ref="F302:H302" si="536">RAND()</f>
        <v>0.3145724253</v>
      </c>
      <c r="G302" s="134">
        <f t="shared" si="536"/>
        <v>0.7009116483</v>
      </c>
      <c r="H302" s="134">
        <f t="shared" si="536"/>
        <v>0.7345314923</v>
      </c>
      <c r="J302" s="135">
        <f t="shared" si="8"/>
        <v>72991718.76</v>
      </c>
      <c r="K302" s="136">
        <f>IF(J302&gt;0,MIN(99,$B$12*Q302/(J302*12*(1-Inputs!$H$16))),99)</f>
        <v>8.875509138</v>
      </c>
      <c r="L302" s="134">
        <f t="shared" si="9"/>
        <v>0.9096176586</v>
      </c>
      <c r="M302" s="134">
        <f t="shared" si="10"/>
        <v>0.9589275298</v>
      </c>
      <c r="N302" s="134">
        <f t="shared" si="11"/>
        <v>1.018515575</v>
      </c>
      <c r="O302" s="134">
        <f t="shared" si="12"/>
        <v>1.007522383</v>
      </c>
      <c r="P302" s="134">
        <f t="shared" si="13"/>
        <v>1.342718539</v>
      </c>
      <c r="Q302" s="134">
        <f t="shared" si="14"/>
        <v>1.190790461</v>
      </c>
    </row>
    <row r="303" ht="15.0" customHeight="1">
      <c r="A303" s="13">
        <v>264.0</v>
      </c>
      <c r="B303" s="134">
        <f t="shared" ref="B303:D303" si="537">RAND()</f>
        <v>0.448241303</v>
      </c>
      <c r="C303" s="134">
        <f t="shared" si="537"/>
        <v>0.7017940525</v>
      </c>
      <c r="D303" s="134">
        <f t="shared" si="537"/>
        <v>0.6379647292</v>
      </c>
      <c r="F303" s="134">
        <f t="shared" ref="F303:H303" si="538">RAND()</f>
        <v>0.8659060523</v>
      </c>
      <c r="G303" s="134">
        <f t="shared" si="538"/>
        <v>0.9451864108</v>
      </c>
      <c r="H303" s="134">
        <f t="shared" si="538"/>
        <v>0.8442374547</v>
      </c>
      <c r="J303" s="135">
        <f t="shared" si="8"/>
        <v>113102863.2</v>
      </c>
      <c r="K303" s="136">
        <f>IF(J303&gt;0,MIN(99,$B$12*Q303/(J303*12*(1-Inputs!$H$16))),99)</f>
        <v>6.03500451</v>
      </c>
      <c r="L303" s="134">
        <f t="shared" si="9"/>
        <v>0.9995598953</v>
      </c>
      <c r="M303" s="134">
        <f t="shared" si="10"/>
        <v>0.9991666798</v>
      </c>
      <c r="N303" s="134">
        <f t="shared" si="11"/>
        <v>1.019987656</v>
      </c>
      <c r="O303" s="134">
        <f t="shared" si="12"/>
        <v>1.065696372</v>
      </c>
      <c r="P303" s="134">
        <f t="shared" si="13"/>
        <v>1.640134206</v>
      </c>
      <c r="Q303" s="134">
        <f t="shared" si="14"/>
        <v>1.254641589</v>
      </c>
    </row>
    <row r="304" ht="15.0" customHeight="1">
      <c r="A304" s="13">
        <v>265.0</v>
      </c>
      <c r="B304" s="134">
        <f t="shared" ref="B304:D304" si="539">RAND()</f>
        <v>0.6550287244</v>
      </c>
      <c r="C304" s="134">
        <f t="shared" si="539"/>
        <v>0.1530657573</v>
      </c>
      <c r="D304" s="134">
        <f t="shared" si="539"/>
        <v>0.07977788602</v>
      </c>
      <c r="F304" s="134">
        <f t="shared" ref="F304:H304" si="540">RAND()</f>
        <v>0.8734428752</v>
      </c>
      <c r="G304" s="134">
        <f t="shared" si="540"/>
        <v>0.674049888</v>
      </c>
      <c r="H304" s="134">
        <f t="shared" si="540"/>
        <v>0.08577076163</v>
      </c>
      <c r="J304" s="135">
        <f t="shared" si="8"/>
        <v>178803418.5</v>
      </c>
      <c r="K304" s="136">
        <f>IF(J304&gt;0,MIN(99,$B$12*Q304/(J304*12*(1-Inputs!$H$16))),99)</f>
        <v>2.873389817</v>
      </c>
      <c r="L304" s="134">
        <f t="shared" si="9"/>
        <v>1.057207552</v>
      </c>
      <c r="M304" s="134">
        <f t="shared" si="10"/>
        <v>1.024668131</v>
      </c>
      <c r="N304" s="134">
        <f t="shared" si="11"/>
        <v>0.9660964275</v>
      </c>
      <c r="O304" s="134">
        <f t="shared" si="12"/>
        <v>1.067011723</v>
      </c>
      <c r="P304" s="134">
        <f t="shared" si="13"/>
        <v>1.319867298</v>
      </c>
      <c r="Q304" s="134">
        <f t="shared" si="14"/>
        <v>0.9443627482</v>
      </c>
    </row>
    <row r="305" ht="15.0" customHeight="1">
      <c r="A305" s="13">
        <v>266.0</v>
      </c>
      <c r="B305" s="134">
        <f t="shared" ref="B305:D305" si="541">RAND()</f>
        <v>0.9364107043</v>
      </c>
      <c r="C305" s="134">
        <f t="shared" si="541"/>
        <v>0.06769130183</v>
      </c>
      <c r="D305" s="134">
        <f t="shared" si="541"/>
        <v>0.8088427804</v>
      </c>
      <c r="F305" s="134">
        <f t="shared" ref="F305:H305" si="542">RAND()</f>
        <v>0.7906955915</v>
      </c>
      <c r="G305" s="134">
        <f t="shared" si="542"/>
        <v>0.2987941441</v>
      </c>
      <c r="H305" s="134">
        <f t="shared" si="542"/>
        <v>0.2591423076</v>
      </c>
      <c r="J305" s="135">
        <f t="shared" si="8"/>
        <v>269370328.8</v>
      </c>
      <c r="K305" s="136">
        <f>IF(J305&gt;0,MIN(99,$B$12*Q305/(J305*12*(1-Inputs!$H$16))),99)</f>
        <v>2.03547513</v>
      </c>
      <c r="L305" s="134">
        <f t="shared" si="9"/>
        <v>1.181493165</v>
      </c>
      <c r="M305" s="134">
        <f t="shared" si="10"/>
        <v>1.079635311</v>
      </c>
      <c r="N305" s="134">
        <f t="shared" si="11"/>
        <v>1.039231978</v>
      </c>
      <c r="O305" s="134">
        <f t="shared" si="12"/>
        <v>1.054191833</v>
      </c>
      <c r="P305" s="134">
        <f t="shared" si="13"/>
        <v>1.066485572</v>
      </c>
      <c r="Q305" s="134">
        <f t="shared" si="14"/>
        <v>1.007822473</v>
      </c>
    </row>
    <row r="306" ht="15.0" customHeight="1">
      <c r="A306" s="13">
        <v>267.0</v>
      </c>
      <c r="B306" s="134">
        <f t="shared" ref="B306:D306" si="543">RAND()</f>
        <v>0.3535026998</v>
      </c>
      <c r="C306" s="134">
        <f t="shared" si="543"/>
        <v>0.184040599</v>
      </c>
      <c r="D306" s="134">
        <f t="shared" si="543"/>
        <v>0.689889833</v>
      </c>
      <c r="F306" s="134">
        <f t="shared" ref="F306:H306" si="544">RAND()</f>
        <v>0.9477222751</v>
      </c>
      <c r="G306" s="134">
        <f t="shared" si="544"/>
        <v>0.190778446</v>
      </c>
      <c r="H306" s="134">
        <f t="shared" si="544"/>
        <v>0.8204382399</v>
      </c>
      <c r="J306" s="135">
        <f t="shared" si="8"/>
        <v>115401400.3</v>
      </c>
      <c r="K306" s="136">
        <f>IF(J306&gt;0,MIN(99,$B$12*Q306/(J306*12*(1-Inputs!$H$16))),99)</f>
        <v>5.842199615</v>
      </c>
      <c r="L306" s="134">
        <f t="shared" si="9"/>
        <v>0.9744217985</v>
      </c>
      <c r="M306" s="134">
        <f t="shared" si="10"/>
        <v>0.9879201766</v>
      </c>
      <c r="N306" s="134">
        <f t="shared" si="11"/>
        <v>1.025231494</v>
      </c>
      <c r="O306" s="134">
        <f t="shared" si="12"/>
        <v>1.083026359</v>
      </c>
      <c r="P306" s="134">
        <f t="shared" si="13"/>
        <v>1.007350726</v>
      </c>
      <c r="Q306" s="134">
        <f t="shared" si="14"/>
        <v>1.239241508</v>
      </c>
    </row>
    <row r="307" ht="15.0" customHeight="1">
      <c r="A307" s="13">
        <v>268.0</v>
      </c>
      <c r="B307" s="134">
        <f t="shared" ref="B307:D307" si="545">RAND()</f>
        <v>0.981337196</v>
      </c>
      <c r="C307" s="134">
        <f t="shared" si="545"/>
        <v>0.6011344281</v>
      </c>
      <c r="D307" s="134">
        <f t="shared" si="545"/>
        <v>0.3969779942</v>
      </c>
      <c r="F307" s="134">
        <f t="shared" ref="F307:H307" si="546">RAND()</f>
        <v>0.3748376892</v>
      </c>
      <c r="G307" s="134">
        <f t="shared" si="546"/>
        <v>0.889597966</v>
      </c>
      <c r="H307" s="134">
        <f t="shared" si="546"/>
        <v>0.4815878133</v>
      </c>
      <c r="J307" s="135">
        <f t="shared" si="8"/>
        <v>303648354.5</v>
      </c>
      <c r="K307" s="136">
        <f>IF(J307&gt;0,MIN(99,$B$12*Q307/(J307*12*(1-Inputs!$H$16))),99)</f>
        <v>1.939219504</v>
      </c>
      <c r="L307" s="134">
        <f t="shared" si="9"/>
        <v>1.224342962</v>
      </c>
      <c r="M307" s="134">
        <f t="shared" si="10"/>
        <v>1.098586277</v>
      </c>
      <c r="N307" s="134">
        <f t="shared" si="11"/>
        <v>0.9995266253</v>
      </c>
      <c r="O307" s="134">
        <f t="shared" si="12"/>
        <v>1.01221361</v>
      </c>
      <c r="P307" s="134">
        <f t="shared" si="13"/>
        <v>1.546806303</v>
      </c>
      <c r="Q307" s="134">
        <f t="shared" si="14"/>
        <v>1.082346666</v>
      </c>
    </row>
    <row r="308" ht="15.0" customHeight="1">
      <c r="A308" s="13">
        <v>269.0</v>
      </c>
      <c r="B308" s="134">
        <f t="shared" ref="B308:D308" si="547">RAND()</f>
        <v>0.01281700265</v>
      </c>
      <c r="C308" s="134">
        <f t="shared" si="547"/>
        <v>0.6942447278</v>
      </c>
      <c r="D308" s="134">
        <f t="shared" si="547"/>
        <v>0.8132674632</v>
      </c>
      <c r="F308" s="134">
        <f t="shared" ref="F308:H308" si="548">RAND()</f>
        <v>0.9350182527</v>
      </c>
      <c r="G308" s="134">
        <f t="shared" si="548"/>
        <v>0.3262085236</v>
      </c>
      <c r="H308" s="134">
        <f t="shared" si="548"/>
        <v>0.3068632502</v>
      </c>
      <c r="J308" s="135">
        <f t="shared" si="8"/>
        <v>6280993.354</v>
      </c>
      <c r="K308" s="136">
        <f>IF(J308&gt;0,MIN(99,$B$12*Q308/(J308*12*(1-Inputs!$H$16))),99)</f>
        <v>88.58732747</v>
      </c>
      <c r="L308" s="134">
        <f t="shared" si="9"/>
        <v>0.8129725269</v>
      </c>
      <c r="M308" s="134">
        <f t="shared" si="10"/>
        <v>0.9156895796</v>
      </c>
      <c r="N308" s="134">
        <f t="shared" si="11"/>
        <v>1.039827484</v>
      </c>
      <c r="O308" s="134">
        <f t="shared" si="12"/>
        <v>1.079716228</v>
      </c>
      <c r="P308" s="134">
        <f t="shared" si="13"/>
        <v>1.082206473</v>
      </c>
      <c r="Q308" s="134">
        <f t="shared" si="14"/>
        <v>1.022747473</v>
      </c>
    </row>
    <row r="309" ht="15.0" customHeight="1">
      <c r="A309" s="13">
        <v>270.0</v>
      </c>
      <c r="B309" s="134">
        <f t="shared" ref="B309:D309" si="549">RAND()</f>
        <v>0.0891570863</v>
      </c>
      <c r="C309" s="134">
        <f t="shared" si="549"/>
        <v>0.9652582874</v>
      </c>
      <c r="D309" s="134">
        <f t="shared" si="549"/>
        <v>0.4305584126</v>
      </c>
      <c r="F309" s="134">
        <f t="shared" ref="F309:H309" si="550">RAND()</f>
        <v>0.1696144981</v>
      </c>
      <c r="G309" s="134">
        <f t="shared" si="550"/>
        <v>0.1671525419</v>
      </c>
      <c r="H309" s="134">
        <f t="shared" si="550"/>
        <v>0.08214901831</v>
      </c>
      <c r="J309" s="135">
        <f t="shared" si="8"/>
        <v>68722836.87</v>
      </c>
      <c r="K309" s="136">
        <f>IF(J309&gt;0,MIN(99,$B$12*Q309/(J309*12*(1-Inputs!$H$16))),99)</f>
        <v>7.46153804</v>
      </c>
      <c r="L309" s="134">
        <f t="shared" si="9"/>
        <v>0.8751507474</v>
      </c>
      <c r="M309" s="134">
        <f t="shared" si="10"/>
        <v>0.9435074195</v>
      </c>
      <c r="N309" s="134">
        <f t="shared" si="11"/>
        <v>1.002095702</v>
      </c>
      <c r="O309" s="134">
        <f t="shared" si="12"/>
        <v>0.9968124048</v>
      </c>
      <c r="P309" s="134">
        <f t="shared" si="13"/>
        <v>0.9948674389</v>
      </c>
      <c r="Q309" s="134">
        <f t="shared" si="14"/>
        <v>0.942535936</v>
      </c>
    </row>
    <row r="310" ht="15.0" customHeight="1">
      <c r="A310" s="13">
        <v>271.0</v>
      </c>
      <c r="B310" s="134">
        <f t="shared" ref="B310:D310" si="551">RAND()</f>
        <v>0.7315087611</v>
      </c>
      <c r="C310" s="134">
        <f t="shared" si="551"/>
        <v>0.5149878277</v>
      </c>
      <c r="D310" s="134">
        <f t="shared" si="551"/>
        <v>0.5731386443</v>
      </c>
      <c r="F310" s="134">
        <f t="shared" ref="F310:H310" si="552">RAND()</f>
        <v>0.5235324496</v>
      </c>
      <c r="G310" s="134">
        <f t="shared" si="552"/>
        <v>0.2775737309</v>
      </c>
      <c r="H310" s="134">
        <f t="shared" si="552"/>
        <v>0.9679952685</v>
      </c>
      <c r="J310" s="135">
        <f t="shared" si="8"/>
        <v>204108295.2</v>
      </c>
      <c r="K310" s="136">
        <f>IF(J310&gt;0,MIN(99,$B$12*Q310/(J310*12*(1-Inputs!$H$16))),99)</f>
        <v>3.648761582</v>
      </c>
      <c r="L310" s="134">
        <f t="shared" si="9"/>
        <v>1.08286061</v>
      </c>
      <c r="M310" s="134">
        <f t="shared" si="10"/>
        <v>1.036013581</v>
      </c>
      <c r="N310" s="134">
        <f t="shared" si="11"/>
        <v>1.013944189</v>
      </c>
      <c r="O310" s="134">
        <f t="shared" si="12"/>
        <v>1.024864222</v>
      </c>
      <c r="P310" s="134">
        <f t="shared" si="13"/>
        <v>1.054526558</v>
      </c>
      <c r="Q310" s="134">
        <f t="shared" si="14"/>
        <v>1.36890914</v>
      </c>
    </row>
    <row r="311" ht="15.0" customHeight="1">
      <c r="A311" s="13">
        <v>272.0</v>
      </c>
      <c r="B311" s="134">
        <f t="shared" ref="B311:D311" si="553">RAND()</f>
        <v>0.6476011148</v>
      </c>
      <c r="C311" s="134">
        <f t="shared" si="553"/>
        <v>0.9486681063</v>
      </c>
      <c r="D311" s="134">
        <f t="shared" si="553"/>
        <v>0.06579684417</v>
      </c>
      <c r="F311" s="134">
        <f t="shared" ref="F311:H311" si="554">RAND()</f>
        <v>0.236003889</v>
      </c>
      <c r="G311" s="134">
        <f t="shared" si="554"/>
        <v>0.8557220651</v>
      </c>
      <c r="H311" s="134">
        <f t="shared" si="554"/>
        <v>0.2549828999</v>
      </c>
      <c r="J311" s="135">
        <f t="shared" si="8"/>
        <v>181661166.8</v>
      </c>
      <c r="K311" s="136">
        <f>IF(J311&gt;0,MIN(99,$B$12*Q311/(J311*12*(1-Inputs!$H$16))),99)</f>
        <v>3.014411085</v>
      </c>
      <c r="L311" s="134">
        <f t="shared" si="9"/>
        <v>1.054875384</v>
      </c>
      <c r="M311" s="134">
        <f t="shared" si="10"/>
        <v>1.023636694</v>
      </c>
      <c r="N311" s="134">
        <f t="shared" si="11"/>
        <v>0.9636016715</v>
      </c>
      <c r="O311" s="134">
        <f t="shared" si="12"/>
        <v>1.00170606</v>
      </c>
      <c r="P311" s="134">
        <f t="shared" si="13"/>
        <v>1.501569831</v>
      </c>
      <c r="Q311" s="134">
        <f t="shared" si="14"/>
        <v>1.006544682</v>
      </c>
    </row>
    <row r="312" ht="15.0" customHeight="1">
      <c r="A312" s="13">
        <v>273.0</v>
      </c>
      <c r="B312" s="134">
        <f t="shared" ref="B312:D312" si="555">RAND()</f>
        <v>0.2423025419</v>
      </c>
      <c r="C312" s="134">
        <f t="shared" si="555"/>
        <v>0.4705947745</v>
      </c>
      <c r="D312" s="134">
        <f t="shared" si="555"/>
        <v>0.823242176</v>
      </c>
      <c r="F312" s="134">
        <f t="shared" ref="F312:H312" si="556">RAND()</f>
        <v>0.7144041834</v>
      </c>
      <c r="G312" s="134">
        <f t="shared" si="556"/>
        <v>0.2465171964</v>
      </c>
      <c r="H312" s="134">
        <f t="shared" si="556"/>
        <v>0.4061765342</v>
      </c>
      <c r="J312" s="135">
        <f t="shared" si="8"/>
        <v>94048723.27</v>
      </c>
      <c r="K312" s="136">
        <f>IF(J312&gt;0,MIN(99,$B$12*Q312/(J312*12*(1-Inputs!$H$16))),99)</f>
        <v>6.106035175</v>
      </c>
      <c r="L312" s="134">
        <f t="shared" si="9"/>
        <v>0.9401031071</v>
      </c>
      <c r="M312" s="134">
        <f t="shared" si="10"/>
        <v>0.9725663782</v>
      </c>
      <c r="N312" s="134">
        <f t="shared" si="11"/>
        <v>1.04119639</v>
      </c>
      <c r="O312" s="134">
        <f t="shared" si="12"/>
        <v>1.044501106</v>
      </c>
      <c r="P312" s="134">
        <f t="shared" si="13"/>
        <v>1.03733657</v>
      </c>
      <c r="Q312" s="134">
        <f t="shared" si="14"/>
        <v>1.055554563</v>
      </c>
    </row>
    <row r="313" ht="15.0" customHeight="1">
      <c r="A313" s="13">
        <v>274.0</v>
      </c>
      <c r="B313" s="134">
        <f t="shared" ref="B313:D313" si="557">RAND()</f>
        <v>0.009786167812</v>
      </c>
      <c r="C313" s="134">
        <f t="shared" si="557"/>
        <v>0.6984398123</v>
      </c>
      <c r="D313" s="134">
        <f t="shared" si="557"/>
        <v>0.8608677802</v>
      </c>
      <c r="F313" s="134">
        <f t="shared" ref="F313:H313" si="558">RAND()</f>
        <v>0.3212505182</v>
      </c>
      <c r="G313" s="134">
        <f t="shared" si="558"/>
        <v>0.7557796174</v>
      </c>
      <c r="H313" s="134">
        <f t="shared" si="558"/>
        <v>0.7177708178</v>
      </c>
      <c r="J313" s="135">
        <f t="shared" si="8"/>
        <v>2456918.365</v>
      </c>
      <c r="K313" s="136">
        <f>IF(J313&gt;0,MIN(99,$B$12*Q313/(J313*12*(1-Inputs!$H$16))),99)</f>
        <v>99</v>
      </c>
      <c r="L313" s="134">
        <f t="shared" si="9"/>
        <v>0.8081804744</v>
      </c>
      <c r="M313" s="134">
        <f t="shared" si="10"/>
        <v>0.9135456689</v>
      </c>
      <c r="N313" s="134">
        <f t="shared" si="11"/>
        <v>1.046744802</v>
      </c>
      <c r="O313" s="134">
        <f t="shared" si="12"/>
        <v>1.00803178</v>
      </c>
      <c r="P313" s="134">
        <f t="shared" si="13"/>
        <v>1.392834917</v>
      </c>
      <c r="Q313" s="134">
        <f t="shared" si="14"/>
        <v>1.182308606</v>
      </c>
    </row>
    <row r="314" ht="15.0" customHeight="1">
      <c r="A314" s="13">
        <v>275.0</v>
      </c>
      <c r="B314" s="134">
        <f t="shared" ref="B314:D314" si="559">RAND()</f>
        <v>0.8320172906</v>
      </c>
      <c r="C314" s="134">
        <f t="shared" si="559"/>
        <v>0.814880972</v>
      </c>
      <c r="D314" s="134">
        <f t="shared" si="559"/>
        <v>0.5545193174</v>
      </c>
      <c r="F314" s="134">
        <f t="shared" ref="F314:H314" si="560">RAND()</f>
        <v>0.6241894598</v>
      </c>
      <c r="G314" s="134">
        <f t="shared" si="560"/>
        <v>0.5504785719</v>
      </c>
      <c r="H314" s="134">
        <f t="shared" si="560"/>
        <v>0.7397307643</v>
      </c>
      <c r="J314" s="135">
        <f t="shared" si="8"/>
        <v>227137173.6</v>
      </c>
      <c r="K314" s="136">
        <f>IF(J314&gt;0,MIN(99,$B$12*Q314/(J314*12*(1-Inputs!$H$16))),99)</f>
        <v>2.85862298</v>
      </c>
      <c r="L314" s="134">
        <f t="shared" si="9"/>
        <v>1.12302098</v>
      </c>
      <c r="M314" s="134">
        <f t="shared" si="10"/>
        <v>1.053775108</v>
      </c>
      <c r="N314" s="134">
        <f t="shared" si="11"/>
        <v>1.012294796</v>
      </c>
      <c r="O314" s="134">
        <f t="shared" si="12"/>
        <v>1.034595109</v>
      </c>
      <c r="P314" s="134">
        <f t="shared" si="13"/>
        <v>1.22520983</v>
      </c>
      <c r="Q314" s="134">
        <f t="shared" si="14"/>
        <v>1.193475695</v>
      </c>
    </row>
    <row r="315" ht="15.0" customHeight="1">
      <c r="A315" s="13">
        <v>276.0</v>
      </c>
      <c r="B315" s="134">
        <f t="shared" ref="B315:D315" si="561">RAND()</f>
        <v>0.6457136946</v>
      </c>
      <c r="C315" s="134">
        <f t="shared" si="561"/>
        <v>0.401623088</v>
      </c>
      <c r="D315" s="134">
        <f t="shared" si="561"/>
        <v>0.9583045335</v>
      </c>
      <c r="F315" s="134">
        <f t="shared" ref="F315:H315" si="562">RAND()</f>
        <v>0.6900496301</v>
      </c>
      <c r="G315" s="134">
        <f t="shared" si="562"/>
        <v>0.6894962222</v>
      </c>
      <c r="H315" s="134">
        <f t="shared" si="562"/>
        <v>0.6952836375</v>
      </c>
      <c r="J315" s="135">
        <f t="shared" si="8"/>
        <v>157575384.9</v>
      </c>
      <c r="K315" s="136">
        <f>IF(J315&gt;0,MIN(99,$B$12*Q315/(J315*12*(1-Inputs!$H$16))),99)</f>
        <v>4.044053553</v>
      </c>
      <c r="L315" s="134">
        <f t="shared" si="9"/>
        <v>1.054286686</v>
      </c>
      <c r="M315" s="134">
        <f t="shared" si="10"/>
        <v>1.023376334</v>
      </c>
      <c r="N315" s="134">
        <f t="shared" si="11"/>
        <v>1.066495892</v>
      </c>
      <c r="O315" s="134">
        <f t="shared" si="12"/>
        <v>1.041688874</v>
      </c>
      <c r="P315" s="134">
        <f t="shared" si="13"/>
        <v>1.332887037</v>
      </c>
      <c r="Q315" s="134">
        <f t="shared" si="14"/>
        <v>1.171315138</v>
      </c>
    </row>
    <row r="316" ht="15.0" customHeight="1">
      <c r="A316" s="13">
        <v>277.0</v>
      </c>
      <c r="B316" s="134">
        <f t="shared" ref="B316:D316" si="563">RAND()</f>
        <v>0.04426481499</v>
      </c>
      <c r="C316" s="134">
        <f t="shared" si="563"/>
        <v>0.2703704948</v>
      </c>
      <c r="D316" s="134">
        <f t="shared" si="563"/>
        <v>0.6928217428</v>
      </c>
      <c r="F316" s="134">
        <f t="shared" ref="F316:H316" si="564">RAND()</f>
        <v>0.1732342589</v>
      </c>
      <c r="G316" s="134">
        <f t="shared" si="564"/>
        <v>0.8097380789</v>
      </c>
      <c r="H316" s="134">
        <f t="shared" si="564"/>
        <v>0.1381389455</v>
      </c>
      <c r="J316" s="135">
        <f t="shared" si="8"/>
        <v>28601678.48</v>
      </c>
      <c r="K316" s="136">
        <f>IF(J316&gt;0,MIN(99,$B$12*Q316/(J316*12*(1-Inputs!$H$16))),99)</f>
        <v>18.40113133</v>
      </c>
      <c r="L316" s="134">
        <f t="shared" si="9"/>
        <v>0.8455676391</v>
      </c>
      <c r="M316" s="134">
        <f t="shared" si="10"/>
        <v>0.9302722679</v>
      </c>
      <c r="N316" s="134">
        <f t="shared" si="11"/>
        <v>1.02554023</v>
      </c>
      <c r="O316" s="134">
        <f t="shared" si="12"/>
        <v>0.997098211</v>
      </c>
      <c r="P316" s="134">
        <f t="shared" si="13"/>
        <v>1.447984729</v>
      </c>
      <c r="Q316" s="134">
        <f t="shared" si="14"/>
        <v>0.9673965327</v>
      </c>
    </row>
    <row r="317" ht="15.0" customHeight="1">
      <c r="A317" s="13">
        <v>278.0</v>
      </c>
      <c r="B317" s="134">
        <f t="shared" ref="B317:D317" si="565">RAND()</f>
        <v>0.5272109466</v>
      </c>
      <c r="C317" s="134">
        <f t="shared" si="565"/>
        <v>0.3697546752</v>
      </c>
      <c r="D317" s="134">
        <f t="shared" si="565"/>
        <v>0.420114284</v>
      </c>
      <c r="F317" s="134">
        <f t="shared" ref="F317:H317" si="566">RAND()</f>
        <v>0.957825873</v>
      </c>
      <c r="G317" s="134">
        <f t="shared" si="566"/>
        <v>0.1669044267</v>
      </c>
      <c r="H317" s="134">
        <f t="shared" si="566"/>
        <v>0.230933786</v>
      </c>
      <c r="J317" s="135">
        <f t="shared" si="8"/>
        <v>152751099.1</v>
      </c>
      <c r="K317" s="136">
        <f>IF(J317&gt;0,MIN(99,$B$12*Q317/(J317*12*(1-Inputs!$H$16))),99)</f>
        <v>3.558848619</v>
      </c>
      <c r="L317" s="134">
        <f t="shared" si="9"/>
        <v>1.020032365</v>
      </c>
      <c r="M317" s="134">
        <f t="shared" si="10"/>
        <v>1.008226846</v>
      </c>
      <c r="N317" s="134">
        <f t="shared" si="11"/>
        <v>1.001289705</v>
      </c>
      <c r="O317" s="134">
        <f t="shared" si="12"/>
        <v>1.085959497</v>
      </c>
      <c r="P317" s="134">
        <f t="shared" si="13"/>
        <v>0.9947336634</v>
      </c>
      <c r="Q317" s="134">
        <f t="shared" si="14"/>
        <v>0.9992228117</v>
      </c>
    </row>
    <row r="318" ht="15.0" customHeight="1">
      <c r="A318" s="13">
        <v>279.0</v>
      </c>
      <c r="B318" s="134">
        <f t="shared" ref="B318:D318" si="567">RAND()</f>
        <v>0.3500025977</v>
      </c>
      <c r="C318" s="134">
        <f t="shared" si="567"/>
        <v>0.9342531406</v>
      </c>
      <c r="D318" s="134">
        <f t="shared" si="567"/>
        <v>0.7331052062</v>
      </c>
      <c r="F318" s="134">
        <f t="shared" ref="F318:H318" si="568">RAND()</f>
        <v>0.2019232501</v>
      </c>
      <c r="G318" s="134">
        <f t="shared" si="568"/>
        <v>0.5761500998</v>
      </c>
      <c r="H318" s="134">
        <f t="shared" si="568"/>
        <v>0.2859236235</v>
      </c>
      <c r="J318" s="135">
        <f t="shared" si="8"/>
        <v>118782971.7</v>
      </c>
      <c r="K318" s="136">
        <f>IF(J318&gt;0,MIN(99,$B$12*Q318/(J318*12*(1-Inputs!$H$16))),99)</f>
        <v>4.654035374</v>
      </c>
      <c r="L318" s="134">
        <f t="shared" si="9"/>
        <v>0.9734320847</v>
      </c>
      <c r="M318" s="134">
        <f t="shared" si="10"/>
        <v>0.9874773897</v>
      </c>
      <c r="N318" s="134">
        <f t="shared" si="11"/>
        <v>1.02994162</v>
      </c>
      <c r="O318" s="134">
        <f t="shared" si="12"/>
        <v>0.9992652344</v>
      </c>
      <c r="P318" s="134">
        <f t="shared" si="13"/>
        <v>1.243682408</v>
      </c>
      <c r="Q318" s="134">
        <f t="shared" si="14"/>
        <v>1.016137192</v>
      </c>
    </row>
    <row r="319" ht="15.0" customHeight="1">
      <c r="A319" s="13">
        <v>280.0</v>
      </c>
      <c r="B319" s="134">
        <f t="shared" ref="B319:D319" si="569">RAND()</f>
        <v>0.4382681143</v>
      </c>
      <c r="C319" s="134">
        <f t="shared" si="569"/>
        <v>0.5766888695</v>
      </c>
      <c r="D319" s="134">
        <f t="shared" si="569"/>
        <v>0.3908715926</v>
      </c>
      <c r="F319" s="134">
        <f t="shared" ref="F319:H319" si="570">RAND()</f>
        <v>0.8054243393</v>
      </c>
      <c r="G319" s="134">
        <f t="shared" si="570"/>
        <v>0.7477104326</v>
      </c>
      <c r="H319" s="134">
        <f t="shared" si="570"/>
        <v>0.101046925</v>
      </c>
      <c r="J319" s="135">
        <f t="shared" si="8"/>
        <v>127024757.4</v>
      </c>
      <c r="K319" s="136">
        <f>IF(J319&gt;0,MIN(99,$B$12*Q319/(J319*12*(1-Inputs!$H$16))),99)</f>
        <v>4.075971986</v>
      </c>
      <c r="L319" s="134">
        <f t="shared" si="9"/>
        <v>0.997047659</v>
      </c>
      <c r="M319" s="134">
        <f t="shared" si="10"/>
        <v>0.9980427333</v>
      </c>
      <c r="N319" s="134">
        <f t="shared" si="11"/>
        <v>0.9990587867</v>
      </c>
      <c r="O319" s="134">
        <f t="shared" si="12"/>
        <v>1.056256974</v>
      </c>
      <c r="P319" s="134">
        <f t="shared" si="13"/>
        <v>1.385134604</v>
      </c>
      <c r="Q319" s="134">
        <f t="shared" si="14"/>
        <v>0.9516736527</v>
      </c>
    </row>
    <row r="320" ht="15.0" customHeight="1">
      <c r="A320" s="13">
        <v>281.0</v>
      </c>
      <c r="B320" s="134">
        <f t="shared" ref="B320:D320" si="571">RAND()</f>
        <v>0.3430776615</v>
      </c>
      <c r="C320" s="134">
        <f t="shared" si="571"/>
        <v>0.6180592822</v>
      </c>
      <c r="D320" s="134">
        <f t="shared" si="571"/>
        <v>0.280093398</v>
      </c>
      <c r="F320" s="134">
        <f t="shared" ref="F320:H320" si="572">RAND()</f>
        <v>0.8934582778</v>
      </c>
      <c r="G320" s="134">
        <f t="shared" si="572"/>
        <v>0.2090546718</v>
      </c>
      <c r="H320" s="134">
        <f t="shared" si="572"/>
        <v>0.4382294054</v>
      </c>
      <c r="J320" s="135">
        <f t="shared" si="8"/>
        <v>122442540.2</v>
      </c>
      <c r="K320" s="136">
        <f>IF(J320&gt;0,MIN(99,$B$12*Q320/(J320*12*(1-Inputs!$H$16))),99)</f>
        <v>4.739692222</v>
      </c>
      <c r="L320" s="134">
        <f t="shared" si="9"/>
        <v>0.97145925</v>
      </c>
      <c r="M320" s="134">
        <f t="shared" si="10"/>
        <v>0.9865947656</v>
      </c>
      <c r="N320" s="134">
        <f t="shared" si="11"/>
        <v>0.9898303408</v>
      </c>
      <c r="O320" s="134">
        <f t="shared" si="12"/>
        <v>1.070708588</v>
      </c>
      <c r="P320" s="134">
        <f t="shared" si="13"/>
        <v>1.017065648</v>
      </c>
      <c r="Q320" s="134">
        <f t="shared" si="14"/>
        <v>1.066721266</v>
      </c>
    </row>
    <row r="321" ht="15.0" customHeight="1">
      <c r="A321" s="13">
        <v>282.0</v>
      </c>
      <c r="B321" s="134">
        <f t="shared" ref="B321:D321" si="573">RAND()</f>
        <v>0.4802751179</v>
      </c>
      <c r="C321" s="134">
        <f t="shared" si="573"/>
        <v>0.1479619028</v>
      </c>
      <c r="D321" s="134">
        <f t="shared" si="573"/>
        <v>0.09794777728</v>
      </c>
      <c r="F321" s="134">
        <f t="shared" ref="F321:H321" si="574">RAND()</f>
        <v>0.6900379111</v>
      </c>
      <c r="G321" s="134">
        <f t="shared" si="574"/>
        <v>0.226473094</v>
      </c>
      <c r="H321" s="134">
        <f t="shared" si="574"/>
        <v>0.692191798</v>
      </c>
      <c r="J321" s="135">
        <f t="shared" si="8"/>
        <v>157082489</v>
      </c>
      <c r="K321" s="136">
        <f>IF(J321&gt;0,MIN(99,$B$12*Q321/(J321*12*(1-Inputs!$H$16))),99)</f>
        <v>4.051619402</v>
      </c>
      <c r="L321" s="134">
        <f t="shared" si="9"/>
        <v>1.007675906</v>
      </c>
      <c r="M321" s="134">
        <f t="shared" si="10"/>
        <v>1.002762016</v>
      </c>
      <c r="N321" s="134">
        <f t="shared" si="11"/>
        <v>0.9690312103</v>
      </c>
      <c r="O321" s="134">
        <f t="shared" si="12"/>
        <v>1.041687548</v>
      </c>
      <c r="P321" s="134">
        <f t="shared" si="13"/>
        <v>1.026429617</v>
      </c>
      <c r="Q321" s="134">
        <f t="shared" si="14"/>
        <v>1.169835772</v>
      </c>
    </row>
    <row r="322" ht="15.0" customHeight="1">
      <c r="A322" s="13">
        <v>283.0</v>
      </c>
      <c r="B322" s="134">
        <f t="shared" ref="B322:D322" si="575">RAND()</f>
        <v>0.1859318881</v>
      </c>
      <c r="C322" s="134">
        <f t="shared" si="575"/>
        <v>0.8690043405</v>
      </c>
      <c r="D322" s="134">
        <f t="shared" si="575"/>
        <v>0.3999344034</v>
      </c>
      <c r="F322" s="134">
        <f t="shared" ref="F322:H322" si="576">RAND()</f>
        <v>0.01054886924</v>
      </c>
      <c r="G322" s="134">
        <f t="shared" si="576"/>
        <v>0.8673974175</v>
      </c>
      <c r="H322" s="134">
        <f t="shared" si="576"/>
        <v>0.8700667762</v>
      </c>
      <c r="J322" s="135">
        <f t="shared" si="8"/>
        <v>81903065.56</v>
      </c>
      <c r="K322" s="136">
        <f>IF(J322&gt;0,MIN(99,$B$12*Q322/(J322*12*(1-Inputs!$H$16))),99)</f>
        <v>8.454278049</v>
      </c>
      <c r="L322" s="134">
        <f t="shared" si="9"/>
        <v>0.9196282732</v>
      </c>
      <c r="M322" s="134">
        <f t="shared" si="10"/>
        <v>0.9634061667</v>
      </c>
      <c r="N322" s="134">
        <f t="shared" si="11"/>
        <v>0.999751836</v>
      </c>
      <c r="O322" s="134">
        <f t="shared" si="12"/>
        <v>0.9766008223</v>
      </c>
      <c r="P322" s="134">
        <f t="shared" si="13"/>
        <v>1.516492577</v>
      </c>
      <c r="Q322" s="134">
        <f t="shared" si="14"/>
        <v>1.272756037</v>
      </c>
    </row>
    <row r="323" ht="15.0" customHeight="1">
      <c r="A323" s="13">
        <v>284.0</v>
      </c>
      <c r="B323" s="134">
        <f t="shared" ref="B323:D323" si="577">RAND()</f>
        <v>0.8512036763</v>
      </c>
      <c r="C323" s="134">
        <f t="shared" si="577"/>
        <v>0.09309335402</v>
      </c>
      <c r="D323" s="134">
        <f t="shared" si="577"/>
        <v>0.740487511</v>
      </c>
      <c r="F323" s="134">
        <f t="shared" ref="F323:H323" si="578">RAND()</f>
        <v>0.2245419343</v>
      </c>
      <c r="G323" s="134">
        <f t="shared" si="578"/>
        <v>0.1067317393</v>
      </c>
      <c r="H323" s="134">
        <f t="shared" si="578"/>
        <v>0.5859131473</v>
      </c>
      <c r="J323" s="135">
        <f t="shared" si="8"/>
        <v>245292765.2</v>
      </c>
      <c r="K323" s="136">
        <f>IF(J323&gt;0,MIN(99,$B$12*Q323/(J323*12*(1-Inputs!$H$16))),99)</f>
        <v>2.490433148</v>
      </c>
      <c r="L323" s="134">
        <f t="shared" si="9"/>
        <v>1.131963311</v>
      </c>
      <c r="M323" s="134">
        <f t="shared" si="10"/>
        <v>1.057729988</v>
      </c>
      <c r="N323" s="134">
        <f t="shared" si="11"/>
        <v>1.030783442</v>
      </c>
      <c r="O323" s="134">
        <f t="shared" si="12"/>
        <v>1.000883029</v>
      </c>
      <c r="P323" s="134">
        <f t="shared" si="13"/>
        <v>0.9586658251</v>
      </c>
      <c r="Q323" s="134">
        <f t="shared" si="14"/>
        <v>1.122866457</v>
      </c>
    </row>
    <row r="324" ht="15.0" customHeight="1">
      <c r="A324" s="13">
        <v>285.0</v>
      </c>
      <c r="B324" s="134">
        <f t="shared" ref="B324:D324" si="579">RAND()</f>
        <v>0.464358657</v>
      </c>
      <c r="C324" s="134">
        <f t="shared" si="579"/>
        <v>0.7621445327</v>
      </c>
      <c r="D324" s="134">
        <f t="shared" si="579"/>
        <v>0.8266578959</v>
      </c>
      <c r="F324" s="134">
        <f t="shared" ref="F324:H324" si="580">RAND()</f>
        <v>0.7814025377</v>
      </c>
      <c r="G324" s="134">
        <f t="shared" si="580"/>
        <v>0.8944404369</v>
      </c>
      <c r="H324" s="134">
        <f t="shared" si="580"/>
        <v>0.8985107125</v>
      </c>
      <c r="J324" s="135">
        <f t="shared" si="8"/>
        <v>116675806.5</v>
      </c>
      <c r="K324" s="136">
        <f>IF(J324&gt;0,MIN(99,$B$12*Q324/(J324*12*(1-Inputs!$H$16))),99)</f>
        <v>6.038098692</v>
      </c>
      <c r="L324" s="134">
        <f t="shared" si="9"/>
        <v>1.003613404</v>
      </c>
      <c r="M324" s="134">
        <f t="shared" si="10"/>
        <v>1.000965314</v>
      </c>
      <c r="N324" s="134">
        <f t="shared" si="11"/>
        <v>1.041673997</v>
      </c>
      <c r="O324" s="134">
        <f t="shared" si="12"/>
        <v>1.052926078</v>
      </c>
      <c r="P324" s="134">
        <f t="shared" si="13"/>
        <v>1.55381334</v>
      </c>
      <c r="Q324" s="134">
        <f t="shared" si="14"/>
        <v>1.294939564</v>
      </c>
    </row>
    <row r="325" ht="15.0" customHeight="1">
      <c r="A325" s="13">
        <v>286.0</v>
      </c>
      <c r="B325" s="134">
        <f t="shared" ref="B325:D325" si="581">RAND()</f>
        <v>0.8406092236</v>
      </c>
      <c r="C325" s="134">
        <f t="shared" si="581"/>
        <v>0.3444786692</v>
      </c>
      <c r="D325" s="134">
        <f t="shared" si="581"/>
        <v>0.516043549</v>
      </c>
      <c r="F325" s="134">
        <f t="shared" ref="F325:H325" si="582">RAND()</f>
        <v>0.03538101722</v>
      </c>
      <c r="G325" s="134">
        <f t="shared" si="582"/>
        <v>0.4239376401</v>
      </c>
      <c r="H325" s="134">
        <f t="shared" si="582"/>
        <v>0.1614091026</v>
      </c>
      <c r="J325" s="135">
        <f t="shared" si="8"/>
        <v>242926659.8</v>
      </c>
      <c r="K325" s="136">
        <f>IF(J325&gt;0,MIN(99,$B$12*Q325/(J325*12*(1-Inputs!$H$16))),99)</f>
        <v>2.186205691</v>
      </c>
      <c r="L325" s="134">
        <f t="shared" si="9"/>
        <v>1.126958682</v>
      </c>
      <c r="M325" s="134">
        <f t="shared" si="10"/>
        <v>1.055516616</v>
      </c>
      <c r="N325" s="134">
        <f t="shared" si="11"/>
        <v>1.008992248</v>
      </c>
      <c r="O325" s="134">
        <f t="shared" si="12"/>
        <v>0.9821837593</v>
      </c>
      <c r="P325" s="134">
        <f t="shared" si="13"/>
        <v>1.141030587</v>
      </c>
      <c r="Q325" s="134">
        <f t="shared" si="14"/>
        <v>0.9761907326</v>
      </c>
    </row>
    <row r="326" ht="15.0" customHeight="1">
      <c r="A326" s="13">
        <v>287.0</v>
      </c>
      <c r="B326" s="134">
        <f t="shared" ref="B326:D326" si="583">RAND()</f>
        <v>0.04495827352</v>
      </c>
      <c r="C326" s="134">
        <f t="shared" si="583"/>
        <v>0.6017457584</v>
      </c>
      <c r="D326" s="134">
        <f t="shared" si="583"/>
        <v>0.8716272432</v>
      </c>
      <c r="F326" s="134">
        <f t="shared" ref="F326:H326" si="584">RAND()</f>
        <v>0.9705419005</v>
      </c>
      <c r="G326" s="134">
        <f t="shared" si="584"/>
        <v>0.6079619424</v>
      </c>
      <c r="H326" s="134">
        <f t="shared" si="584"/>
        <v>0.5706620793</v>
      </c>
      <c r="J326" s="135">
        <f t="shared" si="8"/>
        <v>16049639.9</v>
      </c>
      <c r="K326" s="136">
        <f>IF(J326&gt;0,MIN(99,$B$12*Q326/(J326*12*(1-Inputs!$H$16))),99)</f>
        <v>37.85143468</v>
      </c>
      <c r="L326" s="134">
        <f t="shared" si="9"/>
        <v>0.846118252</v>
      </c>
      <c r="M326" s="134">
        <f t="shared" si="10"/>
        <v>0.930518606</v>
      </c>
      <c r="N326" s="134">
        <f t="shared" si="11"/>
        <v>1.04846624</v>
      </c>
      <c r="O326" s="134">
        <f t="shared" si="12"/>
        <v>1.090209276</v>
      </c>
      <c r="P326" s="134">
        <f t="shared" si="13"/>
        <v>1.267368014</v>
      </c>
      <c r="Q326" s="134">
        <f t="shared" si="14"/>
        <v>1.116647555</v>
      </c>
    </row>
    <row r="327" ht="15.0" customHeight="1">
      <c r="A327" s="13">
        <v>288.0</v>
      </c>
      <c r="B327" s="134">
        <f t="shared" ref="B327:D327" si="585">RAND()</f>
        <v>0.61035101</v>
      </c>
      <c r="C327" s="134">
        <f t="shared" si="585"/>
        <v>0.4422571705</v>
      </c>
      <c r="D327" s="134">
        <f t="shared" si="585"/>
        <v>0.7228412084</v>
      </c>
      <c r="F327" s="134">
        <f t="shared" ref="F327:H327" si="586">RAND()</f>
        <v>0.7771675197</v>
      </c>
      <c r="G327" s="134">
        <f t="shared" si="586"/>
        <v>0.789639404</v>
      </c>
      <c r="H327" s="134">
        <f t="shared" si="586"/>
        <v>0.04949485043</v>
      </c>
      <c r="J327" s="135">
        <f t="shared" si="8"/>
        <v>152951290.3</v>
      </c>
      <c r="K327" s="136">
        <f>IF(J327&gt;0,MIN(99,$B$12*Q327/(J327*12*(1-Inputs!$H$16))),99)</f>
        <v>3.28587133</v>
      </c>
      <c r="L327" s="134">
        <f t="shared" si="9"/>
        <v>1.04353351</v>
      </c>
      <c r="M327" s="134">
        <f t="shared" si="10"/>
        <v>1.01862058</v>
      </c>
      <c r="N327" s="134">
        <f t="shared" si="11"/>
        <v>1.028790306</v>
      </c>
      <c r="O327" s="134">
        <f t="shared" si="12"/>
        <v>1.052358184</v>
      </c>
      <c r="P327" s="134">
        <f t="shared" si="13"/>
        <v>1.426626518</v>
      </c>
      <c r="Q327" s="134">
        <f t="shared" si="14"/>
        <v>0.9237877086</v>
      </c>
    </row>
    <row r="328" ht="15.0" customHeight="1">
      <c r="A328" s="13">
        <v>289.0</v>
      </c>
      <c r="B328" s="134">
        <f t="shared" ref="B328:D328" si="587">RAND()</f>
        <v>0.2157106777</v>
      </c>
      <c r="C328" s="134">
        <f t="shared" si="587"/>
        <v>0.4910710329</v>
      </c>
      <c r="D328" s="134">
        <f t="shared" si="587"/>
        <v>0.2296440489</v>
      </c>
      <c r="F328" s="134">
        <f t="shared" ref="F328:H328" si="588">RAND()</f>
        <v>0.9307209181</v>
      </c>
      <c r="G328" s="134">
        <f t="shared" si="588"/>
        <v>0.07549662934</v>
      </c>
      <c r="H328" s="134">
        <f t="shared" si="588"/>
        <v>0.3733669327</v>
      </c>
      <c r="J328" s="135">
        <f t="shared" si="8"/>
        <v>97220149.99</v>
      </c>
      <c r="K328" s="136">
        <f>IF(J328&gt;0,MIN(99,$B$12*Q328/(J328*12*(1-Inputs!$H$16))),99)</f>
        <v>5.844609169</v>
      </c>
      <c r="L328" s="134">
        <f t="shared" si="9"/>
        <v>0.9307801375</v>
      </c>
      <c r="M328" s="134">
        <f t="shared" si="10"/>
        <v>0.968395386</v>
      </c>
      <c r="N328" s="134">
        <f t="shared" si="11"/>
        <v>0.9850192331</v>
      </c>
      <c r="O328" s="134">
        <f t="shared" si="12"/>
        <v>1.078671224</v>
      </c>
      <c r="P328" s="134">
        <f t="shared" si="13"/>
        <v>0.9357792243</v>
      </c>
      <c r="Q328" s="134">
        <f t="shared" si="14"/>
        <v>1.044432177</v>
      </c>
    </row>
    <row r="329" ht="15.0" customHeight="1">
      <c r="A329" s="13">
        <v>290.0</v>
      </c>
      <c r="B329" s="134">
        <f t="shared" ref="B329:D329" si="589">RAND()</f>
        <v>0.5766911184</v>
      </c>
      <c r="C329" s="134">
        <f t="shared" si="589"/>
        <v>0.6487881582</v>
      </c>
      <c r="D329" s="134">
        <f t="shared" si="589"/>
        <v>0.5340031729</v>
      </c>
      <c r="F329" s="134">
        <f t="shared" ref="F329:H329" si="590">RAND()</f>
        <v>0.8702482117</v>
      </c>
      <c r="G329" s="134">
        <f t="shared" si="590"/>
        <v>0.662829152</v>
      </c>
      <c r="H329" s="134">
        <f t="shared" si="590"/>
        <v>0.6656380396</v>
      </c>
      <c r="J329" s="135">
        <f t="shared" si="8"/>
        <v>151950662.7</v>
      </c>
      <c r="K329" s="136">
        <f>IF(J329&gt;0,MIN(99,$B$12*Q329/(J329*12*(1-Inputs!$H$16))),99)</f>
        <v>4.144017967</v>
      </c>
      <c r="L329" s="134">
        <f t="shared" si="9"/>
        <v>1.033742935</v>
      </c>
      <c r="M329" s="134">
        <f t="shared" si="10"/>
        <v>1.014290552</v>
      </c>
      <c r="N329" s="134">
        <f t="shared" si="11"/>
        <v>1.010516807</v>
      </c>
      <c r="O329" s="134">
        <f t="shared" si="12"/>
        <v>1.066449525</v>
      </c>
      <c r="P329" s="134">
        <f t="shared" si="13"/>
        <v>1.310601797</v>
      </c>
      <c r="Q329" s="134">
        <f t="shared" si="14"/>
        <v>1.157424602</v>
      </c>
    </row>
    <row r="330" ht="15.0" customHeight="1">
      <c r="A330" s="13">
        <v>291.0</v>
      </c>
      <c r="B330" s="134">
        <f t="shared" ref="B330:D330" si="591">RAND()</f>
        <v>0.3454711921</v>
      </c>
      <c r="C330" s="134">
        <f t="shared" si="591"/>
        <v>0.6512441058</v>
      </c>
      <c r="D330" s="134">
        <f t="shared" si="591"/>
        <v>0.4035029656</v>
      </c>
      <c r="F330" s="134">
        <f t="shared" ref="F330:H330" si="592">RAND()</f>
        <v>0.2076681923</v>
      </c>
      <c r="G330" s="134">
        <f t="shared" si="592"/>
        <v>0.1175635706</v>
      </c>
      <c r="H330" s="134">
        <f t="shared" si="592"/>
        <v>0.5126488272</v>
      </c>
      <c r="J330" s="135">
        <f t="shared" si="8"/>
        <v>134579999</v>
      </c>
      <c r="K330" s="136">
        <f>IF(J330&gt;0,MIN(99,$B$12*Q330/(J330*12*(1-Inputs!$H$16))),99)</f>
        <v>4.422287158</v>
      </c>
      <c r="L330" s="134">
        <f t="shared" si="9"/>
        <v>0.972143372</v>
      </c>
      <c r="M330" s="134">
        <f t="shared" si="10"/>
        <v>0.9869008341</v>
      </c>
      <c r="N330" s="134">
        <f t="shared" si="11"/>
        <v>1.00002258</v>
      </c>
      <c r="O330" s="134">
        <f t="shared" si="12"/>
        <v>0.9996802437</v>
      </c>
      <c r="P330" s="134">
        <f t="shared" si="13"/>
        <v>0.965795208</v>
      </c>
      <c r="Q330" s="134">
        <f t="shared" si="14"/>
        <v>1.093946144</v>
      </c>
    </row>
    <row r="331" ht="15.0" customHeight="1">
      <c r="A331" s="13">
        <v>292.0</v>
      </c>
      <c r="B331" s="134">
        <f t="shared" ref="B331:D331" si="593">RAND()</f>
        <v>0.3160963437</v>
      </c>
      <c r="C331" s="134">
        <f t="shared" si="593"/>
        <v>0.9447976962</v>
      </c>
      <c r="D331" s="134">
        <f t="shared" si="593"/>
        <v>0.5358886789</v>
      </c>
      <c r="F331" s="134">
        <f t="shared" ref="F331:H331" si="594">RAND()</f>
        <v>0.1163345181</v>
      </c>
      <c r="G331" s="134">
        <f t="shared" si="594"/>
        <v>0.8018404484</v>
      </c>
      <c r="H331" s="134">
        <f t="shared" si="594"/>
        <v>0.6216016426</v>
      </c>
      <c r="J331" s="135">
        <f t="shared" si="8"/>
        <v>109783487.5</v>
      </c>
      <c r="K331" s="136">
        <f>IF(J331&gt;0,MIN(99,$B$12*Q331/(J331*12*(1-Inputs!$H$16))),99)</f>
        <v>5.638868888</v>
      </c>
      <c r="L331" s="134">
        <f t="shared" si="9"/>
        <v>0.9635758167</v>
      </c>
      <c r="M331" s="134">
        <f t="shared" si="10"/>
        <v>0.9830678058</v>
      </c>
      <c r="N331" s="134">
        <f t="shared" si="11"/>
        <v>1.010678556</v>
      </c>
      <c r="O331" s="134">
        <f t="shared" si="12"/>
        <v>0.9921857568</v>
      </c>
      <c r="P331" s="134">
        <f t="shared" si="13"/>
        <v>1.439463622</v>
      </c>
      <c r="Q331" s="134">
        <f t="shared" si="14"/>
        <v>1.137882716</v>
      </c>
    </row>
    <row r="332" ht="15.0" customHeight="1">
      <c r="A332" s="13">
        <v>293.0</v>
      </c>
      <c r="B332" s="134">
        <f t="shared" ref="B332:D332" si="595">RAND()</f>
        <v>0.5544244944</v>
      </c>
      <c r="C332" s="134">
        <f t="shared" si="595"/>
        <v>0.7366717675</v>
      </c>
      <c r="D332" s="134">
        <f t="shared" si="595"/>
        <v>0.8368410302</v>
      </c>
      <c r="F332" s="134">
        <f t="shared" ref="F332:H332" si="596">RAND()</f>
        <v>0.5292769891</v>
      </c>
      <c r="G332" s="134">
        <f t="shared" si="596"/>
        <v>0.8241905872</v>
      </c>
      <c r="H332" s="134">
        <f t="shared" si="596"/>
        <v>0.02626670807</v>
      </c>
      <c r="J332" s="135">
        <f t="shared" si="8"/>
        <v>141260949.4</v>
      </c>
      <c r="K332" s="136">
        <f>IF(J332&gt;0,MIN(99,$B$12*Q332/(J332*12*(1-Inputs!$H$16))),99)</f>
        <v>3.48980268</v>
      </c>
      <c r="L332" s="134">
        <f t="shared" si="9"/>
        <v>1.027479027</v>
      </c>
      <c r="M332" s="134">
        <f t="shared" si="10"/>
        <v>1.011520244</v>
      </c>
      <c r="N332" s="134">
        <f t="shared" si="11"/>
        <v>1.043126499</v>
      </c>
      <c r="O332" s="134">
        <f t="shared" si="12"/>
        <v>1.025390089</v>
      </c>
      <c r="P332" s="134">
        <f t="shared" si="13"/>
        <v>1.464049457</v>
      </c>
      <c r="Q332" s="134">
        <f t="shared" si="14"/>
        <v>0.9061320127</v>
      </c>
    </row>
    <row r="333" ht="15.0" customHeight="1">
      <c r="A333" s="13">
        <v>294.0</v>
      </c>
      <c r="B333" s="134">
        <f t="shared" ref="B333:D333" si="597">RAND()</f>
        <v>0.7684184266</v>
      </c>
      <c r="C333" s="134">
        <f t="shared" si="597"/>
        <v>0.9481607995</v>
      </c>
      <c r="D333" s="134">
        <f t="shared" si="597"/>
        <v>0.9647761391</v>
      </c>
      <c r="F333" s="134">
        <f t="shared" ref="F333:H333" si="598">RAND()</f>
        <v>0.9581676825</v>
      </c>
      <c r="G333" s="134">
        <f t="shared" si="598"/>
        <v>0.7454856957</v>
      </c>
      <c r="H333" s="134">
        <f t="shared" si="598"/>
        <v>0.5105776294</v>
      </c>
      <c r="J333" s="135">
        <f t="shared" si="8"/>
        <v>178994565.7</v>
      </c>
      <c r="K333" s="136">
        <f>IF(J333&gt;0,MIN(99,$B$12*Q333/(J333*12*(1-Inputs!$H$16))),99)</f>
        <v>3.322583848</v>
      </c>
      <c r="L333" s="134">
        <f t="shared" si="9"/>
        <v>1.096555425</v>
      </c>
      <c r="M333" s="134">
        <f t="shared" si="10"/>
        <v>1.042070319</v>
      </c>
      <c r="N333" s="134">
        <f t="shared" si="11"/>
        <v>1.068428121</v>
      </c>
      <c r="O333" s="134">
        <f t="shared" si="12"/>
        <v>1.086064564</v>
      </c>
      <c r="P333" s="134">
        <f t="shared" si="13"/>
        <v>1.383033304</v>
      </c>
      <c r="Q333" s="134">
        <f t="shared" si="14"/>
        <v>1.093161371</v>
      </c>
    </row>
    <row r="334" ht="15.0" customHeight="1">
      <c r="A334" s="13">
        <v>295.0</v>
      </c>
      <c r="B334" s="134">
        <f t="shared" ref="B334:D334" si="599">RAND()</f>
        <v>0.7424551159</v>
      </c>
      <c r="C334" s="134">
        <f t="shared" si="599"/>
        <v>0.8170575244</v>
      </c>
      <c r="D334" s="134">
        <f t="shared" si="599"/>
        <v>0.9759274143</v>
      </c>
      <c r="F334" s="134">
        <f t="shared" ref="F334:H334" si="600">RAND()</f>
        <v>0.990540452</v>
      </c>
      <c r="G334" s="134">
        <f t="shared" si="600"/>
        <v>0.8392257074</v>
      </c>
      <c r="H334" s="134">
        <f t="shared" si="600"/>
        <v>0.09211911995</v>
      </c>
      <c r="J334" s="135">
        <f t="shared" si="8"/>
        <v>164862287.4</v>
      </c>
      <c r="K334" s="136">
        <f>IF(J334&gt;0,MIN(99,$B$12*Q334/(J334*12*(1-Inputs!$H$16))),99)</f>
        <v>3.126637772</v>
      </c>
      <c r="L334" s="134">
        <f t="shared" si="9"/>
        <v>1.086818116</v>
      </c>
      <c r="M334" s="134">
        <f t="shared" si="10"/>
        <v>1.037763848</v>
      </c>
      <c r="N334" s="134">
        <f t="shared" si="11"/>
        <v>1.072233824</v>
      </c>
      <c r="O334" s="134">
        <f t="shared" si="12"/>
        <v>1.099579945</v>
      </c>
      <c r="P334" s="134">
        <f t="shared" si="13"/>
        <v>1.481479446</v>
      </c>
      <c r="Q334" s="134">
        <f t="shared" si="14"/>
        <v>0.9474741557</v>
      </c>
    </row>
    <row r="335" ht="15.0" customHeight="1">
      <c r="A335" s="13">
        <v>296.0</v>
      </c>
      <c r="B335" s="134">
        <f t="shared" ref="B335:D335" si="601">RAND()</f>
        <v>0.8815859206</v>
      </c>
      <c r="C335" s="134">
        <f t="shared" si="601"/>
        <v>0.8925698405</v>
      </c>
      <c r="D335" s="134">
        <f t="shared" si="601"/>
        <v>0.1638600203</v>
      </c>
      <c r="F335" s="134">
        <f t="shared" ref="F335:H335" si="602">RAND()</f>
        <v>0.99401058</v>
      </c>
      <c r="G335" s="134">
        <f t="shared" si="602"/>
        <v>0.03964898161</v>
      </c>
      <c r="H335" s="134">
        <f t="shared" si="602"/>
        <v>0.2165505317</v>
      </c>
      <c r="J335" s="135">
        <f t="shared" si="8"/>
        <v>255658439</v>
      </c>
      <c r="K335" s="136">
        <f>IF(J335&gt;0,MIN(99,$B$12*Q335/(J335*12*(1-Inputs!$H$16))),99)</f>
        <v>2.116887015</v>
      </c>
      <c r="L335" s="134">
        <f t="shared" si="9"/>
        <v>1.147399311</v>
      </c>
      <c r="M335" s="134">
        <f t="shared" si="10"/>
        <v>1.064556791</v>
      </c>
      <c r="N335" s="134">
        <f t="shared" si="11"/>
        <v>0.9778626084</v>
      </c>
      <c r="O335" s="134">
        <f t="shared" si="12"/>
        <v>1.10208332</v>
      </c>
      <c r="P335" s="134">
        <f t="shared" si="13"/>
        <v>0.9024416285</v>
      </c>
      <c r="Q335" s="134">
        <f t="shared" si="14"/>
        <v>0.9947782773</v>
      </c>
    </row>
    <row r="336" ht="15.0" customHeight="1">
      <c r="A336" s="13">
        <v>297.0</v>
      </c>
      <c r="B336" s="134">
        <f t="shared" ref="B336:D336" si="603">RAND()</f>
        <v>0.5894868648</v>
      </c>
      <c r="C336" s="134">
        <f t="shared" si="603"/>
        <v>0.3002914323</v>
      </c>
      <c r="D336" s="134">
        <f t="shared" si="603"/>
        <v>0.8130751091</v>
      </c>
      <c r="F336" s="134">
        <f t="shared" ref="F336:H336" si="604">RAND()</f>
        <v>0.6959739352</v>
      </c>
      <c r="G336" s="134">
        <f t="shared" si="604"/>
        <v>0.6264015371</v>
      </c>
      <c r="H336" s="134">
        <f t="shared" si="604"/>
        <v>0.7543502196</v>
      </c>
      <c r="J336" s="135">
        <f t="shared" si="8"/>
        <v>153202504.2</v>
      </c>
      <c r="K336" s="136">
        <f>IF(J336&gt;0,MIN(99,$B$12*Q336/(J336*12*(1-Inputs!$H$16))),99)</f>
        <v>4.265513494</v>
      </c>
      <c r="L336" s="134">
        <f t="shared" si="9"/>
        <v>1.037417265</v>
      </c>
      <c r="M336" s="134">
        <f t="shared" si="10"/>
        <v>1.015915579</v>
      </c>
      <c r="N336" s="134">
        <f t="shared" si="11"/>
        <v>1.03980145</v>
      </c>
      <c r="O336" s="134">
        <f t="shared" si="12"/>
        <v>1.042362478</v>
      </c>
      <c r="P336" s="134">
        <f t="shared" si="13"/>
        <v>1.281538995</v>
      </c>
      <c r="Q336" s="134">
        <f t="shared" si="14"/>
        <v>1.201173288</v>
      </c>
    </row>
    <row r="337" ht="15.0" customHeight="1">
      <c r="A337" s="13">
        <v>298.0</v>
      </c>
      <c r="B337" s="134">
        <f t="shared" ref="B337:D337" si="605">RAND()</f>
        <v>0.64654026</v>
      </c>
      <c r="C337" s="134">
        <f t="shared" si="605"/>
        <v>0.1345515413</v>
      </c>
      <c r="D337" s="134">
        <f t="shared" si="605"/>
        <v>0.6559807174</v>
      </c>
      <c r="F337" s="134">
        <f t="shared" ref="F337:H337" si="606">RAND()</f>
        <v>0.7890676641</v>
      </c>
      <c r="G337" s="134">
        <f t="shared" si="606"/>
        <v>0.9303443126</v>
      </c>
      <c r="H337" s="134">
        <f t="shared" si="606"/>
        <v>0.4925382209</v>
      </c>
      <c r="J337" s="135">
        <f t="shared" si="8"/>
        <v>155328733.3</v>
      </c>
      <c r="K337" s="136">
        <f>IF(J337&gt;0,MIN(99,$B$12*Q337/(J337*12*(1-Inputs!$H$16))),99)</f>
        <v>3.805113326</v>
      </c>
      <c r="L337" s="134">
        <f t="shared" si="9"/>
        <v>1.054544303</v>
      </c>
      <c r="M337" s="134">
        <f t="shared" si="10"/>
        <v>1.023490269</v>
      </c>
      <c r="N337" s="134">
        <f t="shared" si="11"/>
        <v>1.021761654</v>
      </c>
      <c r="O337" s="134">
        <f t="shared" si="12"/>
        <v>1.053968102</v>
      </c>
      <c r="P337" s="134">
        <f t="shared" si="13"/>
        <v>1.611796243</v>
      </c>
      <c r="Q337" s="134">
        <f t="shared" si="14"/>
        <v>1.086395299</v>
      </c>
    </row>
    <row r="338" ht="15.0" customHeight="1">
      <c r="A338" s="13">
        <v>299.0</v>
      </c>
      <c r="B338" s="134">
        <f t="shared" ref="B338:D338" si="607">RAND()</f>
        <v>0.40020819</v>
      </c>
      <c r="C338" s="134">
        <f t="shared" si="607"/>
        <v>0.7480554253</v>
      </c>
      <c r="D338" s="134">
        <f t="shared" si="607"/>
        <v>0.2017248651</v>
      </c>
      <c r="F338" s="134">
        <f t="shared" ref="F338:H338" si="608">RAND()</f>
        <v>0.5590753774</v>
      </c>
      <c r="G338" s="134">
        <f t="shared" si="608"/>
        <v>0.7099935075</v>
      </c>
      <c r="H338" s="134">
        <f t="shared" si="608"/>
        <v>0.04957569065</v>
      </c>
      <c r="J338" s="135">
        <f t="shared" si="8"/>
        <v>129629257.9</v>
      </c>
      <c r="K338" s="136">
        <f>IF(J338&gt;0,MIN(99,$B$12*Q338/(J338*12*(1-Inputs!$H$16))),99)</f>
        <v>3.877266192</v>
      </c>
      <c r="L338" s="134">
        <f t="shared" si="9"/>
        <v>0.9871872319</v>
      </c>
      <c r="M338" s="134">
        <f t="shared" si="10"/>
        <v>0.9936312886</v>
      </c>
      <c r="N338" s="134">
        <f t="shared" si="11"/>
        <v>0.9821269878</v>
      </c>
      <c r="O338" s="134">
        <f t="shared" si="12"/>
        <v>1.028170924</v>
      </c>
      <c r="P338" s="134">
        <f t="shared" si="13"/>
        <v>1.350675063</v>
      </c>
      <c r="Q338" s="134">
        <f t="shared" si="14"/>
        <v>0.9238407918</v>
      </c>
    </row>
    <row r="339" ht="15.0" customHeight="1">
      <c r="A339" s="13">
        <v>300.0</v>
      </c>
      <c r="B339" s="134">
        <f t="shared" ref="B339:D339" si="609">RAND()</f>
        <v>0.01555540157</v>
      </c>
      <c r="C339" s="134">
        <f t="shared" si="609"/>
        <v>0.3415943185</v>
      </c>
      <c r="D339" s="134">
        <f t="shared" si="609"/>
        <v>0.3173225007</v>
      </c>
      <c r="F339" s="134">
        <f t="shared" ref="F339:H339" si="610">RAND()</f>
        <v>0.7868939043</v>
      </c>
      <c r="G339" s="134">
        <f t="shared" si="610"/>
        <v>0.9419772153</v>
      </c>
      <c r="H339" s="134">
        <f t="shared" si="610"/>
        <v>0.4524750455</v>
      </c>
      <c r="J339" s="135">
        <f t="shared" si="8"/>
        <v>314819.6248</v>
      </c>
      <c r="K339" s="136">
        <f>IF(J339&gt;0,MIN(99,$B$12*Q339/(J339*12*(1-Inputs!$H$16))),99)</f>
        <v>99</v>
      </c>
      <c r="L339" s="134">
        <f t="shared" si="9"/>
        <v>0.8168327943</v>
      </c>
      <c r="M339" s="134">
        <f t="shared" si="10"/>
        <v>0.91741662</v>
      </c>
      <c r="N339" s="134">
        <f t="shared" si="11"/>
        <v>0.9931074006</v>
      </c>
      <c r="O339" s="134">
        <f t="shared" si="12"/>
        <v>1.053670697</v>
      </c>
      <c r="P339" s="134">
        <f t="shared" si="13"/>
        <v>1.633709638</v>
      </c>
      <c r="Q339" s="134">
        <f t="shared" si="14"/>
        <v>1.071786345</v>
      </c>
    </row>
    <row r="340" ht="15.0" customHeight="1">
      <c r="A340" s="13">
        <v>301.0</v>
      </c>
      <c r="B340" s="134">
        <f t="shared" ref="B340:D340" si="611">RAND()</f>
        <v>0.5099661715</v>
      </c>
      <c r="C340" s="134">
        <f t="shared" si="611"/>
        <v>0.1940691214</v>
      </c>
      <c r="D340" s="134">
        <f t="shared" si="611"/>
        <v>0.5956832817</v>
      </c>
      <c r="F340" s="134">
        <f t="shared" ref="F340:H340" si="612">RAND()</f>
        <v>0.9157757168</v>
      </c>
      <c r="G340" s="134">
        <f t="shared" si="612"/>
        <v>0.3259082003</v>
      </c>
      <c r="H340" s="134">
        <f t="shared" si="612"/>
        <v>0.3348648149</v>
      </c>
      <c r="J340" s="135">
        <f t="shared" si="8"/>
        <v>144712809.9</v>
      </c>
      <c r="K340" s="136">
        <f>IF(J340&gt;0,MIN(99,$B$12*Q340/(J340*12*(1-Inputs!$H$16))),99)</f>
        <v>3.878796394</v>
      </c>
      <c r="L340" s="134">
        <f t="shared" si="9"/>
        <v>1.015424093</v>
      </c>
      <c r="M340" s="134">
        <f t="shared" si="10"/>
        <v>1.006188768</v>
      </c>
      <c r="N340" s="134">
        <f t="shared" si="11"/>
        <v>1.015990234</v>
      </c>
      <c r="O340" s="134">
        <f t="shared" si="12"/>
        <v>1.075268732</v>
      </c>
      <c r="P340" s="134">
        <f t="shared" si="13"/>
        <v>1.082032536</v>
      </c>
      <c r="Q340" s="134">
        <f t="shared" si="14"/>
        <v>1.031745161</v>
      </c>
    </row>
    <row r="341" ht="15.0" customHeight="1">
      <c r="A341" s="13">
        <v>302.0</v>
      </c>
      <c r="B341" s="134">
        <f t="shared" ref="B341:D341" si="613">RAND()</f>
        <v>0.4275837773</v>
      </c>
      <c r="C341" s="134">
        <f t="shared" si="613"/>
        <v>0.3103244532</v>
      </c>
      <c r="D341" s="134">
        <f t="shared" si="613"/>
        <v>0.01479104209</v>
      </c>
      <c r="F341" s="134">
        <f t="shared" ref="F341:H341" si="614">RAND()</f>
        <v>0.5982526095</v>
      </c>
      <c r="G341" s="134">
        <f t="shared" si="614"/>
        <v>0.3464956251</v>
      </c>
      <c r="H341" s="134">
        <f t="shared" si="614"/>
        <v>0.8366262686</v>
      </c>
      <c r="J341" s="135">
        <f t="shared" si="8"/>
        <v>150501962.9</v>
      </c>
      <c r="K341" s="136">
        <f>IF(J341&gt;0,MIN(99,$B$12*Q341/(J341*12*(1-Inputs!$H$16))),99)</f>
        <v>4.517092374</v>
      </c>
      <c r="L341" s="134">
        <f t="shared" si="9"/>
        <v>0.9943243601</v>
      </c>
      <c r="M341" s="134">
        <f t="shared" si="10"/>
        <v>0.9968243599</v>
      </c>
      <c r="N341" s="134">
        <f t="shared" si="11"/>
        <v>0.9506291169</v>
      </c>
      <c r="O341" s="134">
        <f t="shared" si="12"/>
        <v>1.031974217</v>
      </c>
      <c r="P341" s="134">
        <f t="shared" si="13"/>
        <v>1.094047168</v>
      </c>
      <c r="Q341" s="134">
        <f t="shared" si="14"/>
        <v>1.249595975</v>
      </c>
    </row>
    <row r="342" ht="15.0" customHeight="1">
      <c r="A342" s="13">
        <v>303.0</v>
      </c>
      <c r="B342" s="134">
        <f t="shared" ref="B342:D342" si="615">RAND()</f>
        <v>0.2593245702</v>
      </c>
      <c r="C342" s="134">
        <f t="shared" si="615"/>
        <v>0.386366549</v>
      </c>
      <c r="D342" s="134">
        <f t="shared" si="615"/>
        <v>0.337838874</v>
      </c>
      <c r="F342" s="134">
        <f t="shared" ref="F342:H342" si="616">RAND()</f>
        <v>0.8836768463</v>
      </c>
      <c r="G342" s="134">
        <f t="shared" si="616"/>
        <v>0.1365115085</v>
      </c>
      <c r="H342" s="134">
        <f t="shared" si="616"/>
        <v>0.9198384698</v>
      </c>
      <c r="J342" s="135">
        <f t="shared" si="8"/>
        <v>105503062.6</v>
      </c>
      <c r="K342" s="136">
        <f>IF(J342&gt;0,MIN(99,$B$12*Q342/(J342*12*(1-Inputs!$H$16))),99)</f>
        <v>6.774329098</v>
      </c>
      <c r="L342" s="134">
        <f t="shared" si="9"/>
        <v>0.9458040226</v>
      </c>
      <c r="M342" s="134">
        <f t="shared" si="10"/>
        <v>0.975116904</v>
      </c>
      <c r="N342" s="134">
        <f t="shared" si="11"/>
        <v>0.9948312875</v>
      </c>
      <c r="O342" s="134">
        <f t="shared" si="12"/>
        <v>1.068862195</v>
      </c>
      <c r="P342" s="134">
        <f t="shared" si="13"/>
        <v>0.9775176178</v>
      </c>
      <c r="Q342" s="134">
        <f t="shared" si="14"/>
        <v>1.313711008</v>
      </c>
    </row>
    <row r="343" ht="15.0" customHeight="1">
      <c r="A343" s="13">
        <v>304.0</v>
      </c>
      <c r="B343" s="134">
        <f t="shared" ref="B343:D343" si="617">RAND()</f>
        <v>0.4177842315</v>
      </c>
      <c r="C343" s="134">
        <f t="shared" si="617"/>
        <v>0.9211382097</v>
      </c>
      <c r="D343" s="134">
        <f t="shared" si="617"/>
        <v>0.1968300484</v>
      </c>
      <c r="F343" s="134">
        <f t="shared" ref="F343:H343" si="618">RAND()</f>
        <v>0.4071366125</v>
      </c>
      <c r="G343" s="134">
        <f t="shared" si="618"/>
        <v>0.0921997746</v>
      </c>
      <c r="H343" s="134">
        <f t="shared" si="618"/>
        <v>0.339960659</v>
      </c>
      <c r="J343" s="135">
        <f t="shared" si="8"/>
        <v>150435117.3</v>
      </c>
      <c r="K343" s="136">
        <f>IF(J343&gt;0,MIN(99,$B$12*Q343/(J343*12*(1-Inputs!$H$16))),99)</f>
        <v>3.737248177</v>
      </c>
      <c r="L343" s="134">
        <f t="shared" si="9"/>
        <v>0.9917965084</v>
      </c>
      <c r="M343" s="134">
        <f t="shared" si="10"/>
        <v>0.9956934273</v>
      </c>
      <c r="N343" s="134">
        <f t="shared" si="11"/>
        <v>0.9815997221</v>
      </c>
      <c r="O343" s="134">
        <f t="shared" si="12"/>
        <v>1.014821179</v>
      </c>
      <c r="P343" s="134">
        <f t="shared" si="13"/>
        <v>0.9485057658</v>
      </c>
      <c r="Q343" s="134">
        <f t="shared" si="14"/>
        <v>1.033402836</v>
      </c>
    </row>
    <row r="344" ht="15.0" customHeight="1">
      <c r="A344" s="13">
        <v>305.0</v>
      </c>
      <c r="B344" s="134">
        <f t="shared" ref="B344:D344" si="619">RAND()</f>
        <v>0.6578233224</v>
      </c>
      <c r="C344" s="134">
        <f t="shared" si="619"/>
        <v>0.02831877035</v>
      </c>
      <c r="D344" s="134">
        <f t="shared" si="619"/>
        <v>0.207913449</v>
      </c>
      <c r="F344" s="134">
        <f t="shared" ref="F344:H344" si="620">RAND()</f>
        <v>0.3046395447</v>
      </c>
      <c r="G344" s="134">
        <f t="shared" si="620"/>
        <v>0.2804289164</v>
      </c>
      <c r="H344" s="134">
        <f t="shared" si="620"/>
        <v>0.8259501289</v>
      </c>
      <c r="J344" s="135">
        <f t="shared" si="8"/>
        <v>195683388</v>
      </c>
      <c r="K344" s="136">
        <f>IF(J344&gt;0,MIN(99,$B$12*Q344/(J344*12*(1-Inputs!$H$16))),99)</f>
        <v>3.45500174</v>
      </c>
      <c r="L344" s="134">
        <f t="shared" si="9"/>
        <v>1.05809151</v>
      </c>
      <c r="M344" s="134">
        <f t="shared" si="10"/>
        <v>1.025059074</v>
      </c>
      <c r="N344" s="134">
        <f t="shared" si="11"/>
        <v>0.9827845434</v>
      </c>
      <c r="O344" s="134">
        <f t="shared" si="12"/>
        <v>1.006769284</v>
      </c>
      <c r="P344" s="134">
        <f t="shared" si="13"/>
        <v>1.056125309</v>
      </c>
      <c r="Q344" s="134">
        <f t="shared" si="14"/>
        <v>1.242712625</v>
      </c>
    </row>
    <row r="345" ht="15.0" customHeight="1">
      <c r="A345" s="13">
        <v>306.0</v>
      </c>
      <c r="B345" s="134">
        <f t="shared" ref="B345:D345" si="621">RAND()</f>
        <v>0.04245093701</v>
      </c>
      <c r="C345" s="134">
        <f t="shared" si="621"/>
        <v>0.8444958098</v>
      </c>
      <c r="D345" s="134">
        <f t="shared" si="621"/>
        <v>0.9065968821</v>
      </c>
      <c r="F345" s="134">
        <f t="shared" ref="F345:H345" si="622">RAND()</f>
        <v>0.09881281384</v>
      </c>
      <c r="G345" s="134">
        <f t="shared" si="622"/>
        <v>0.5277387055</v>
      </c>
      <c r="H345" s="134">
        <f t="shared" si="622"/>
        <v>0.9769023664</v>
      </c>
      <c r="J345" s="135">
        <f t="shared" si="8"/>
        <v>32543599.76</v>
      </c>
      <c r="K345" s="136">
        <f>IF(J345&gt;0,MIN(99,$B$12*Q345/(J345*12*(1-Inputs!$H$16))),99)</f>
        <v>23.12277825</v>
      </c>
      <c r="L345" s="134">
        <f t="shared" si="9"/>
        <v>0.8441066597</v>
      </c>
      <c r="M345" s="134">
        <f t="shared" si="10"/>
        <v>0.9296186421</v>
      </c>
      <c r="N345" s="134">
        <f t="shared" si="11"/>
        <v>1.054629001</v>
      </c>
      <c r="O345" s="134">
        <f t="shared" si="12"/>
        <v>0.9904378982</v>
      </c>
      <c r="P345" s="134">
        <f t="shared" si="13"/>
        <v>1.209282791</v>
      </c>
      <c r="Q345" s="134">
        <f t="shared" si="14"/>
        <v>1.383165302</v>
      </c>
    </row>
    <row r="346" ht="15.0" customHeight="1">
      <c r="A346" s="13">
        <v>307.0</v>
      </c>
      <c r="B346" s="134">
        <f t="shared" ref="B346:D346" si="623">RAND()</f>
        <v>0.9344456143</v>
      </c>
      <c r="C346" s="134">
        <f t="shared" si="623"/>
        <v>0.0424010233</v>
      </c>
      <c r="D346" s="134">
        <f t="shared" si="623"/>
        <v>0.4010284979</v>
      </c>
      <c r="F346" s="134">
        <f t="shared" ref="F346:H346" si="624">RAND()</f>
        <v>0.7240721574</v>
      </c>
      <c r="G346" s="134">
        <f t="shared" si="624"/>
        <v>0.4385282481</v>
      </c>
      <c r="H346" s="134">
        <f t="shared" si="624"/>
        <v>0.3408082876</v>
      </c>
      <c r="J346" s="135">
        <f t="shared" si="8"/>
        <v>276485361.4</v>
      </c>
      <c r="K346" s="136">
        <f>IF(J346&gt;0,MIN(99,$B$12*Q346/(J346*12*(1-Inputs!$H$16))),99)</f>
        <v>2.033972838</v>
      </c>
      <c r="L346" s="134">
        <f t="shared" si="9"/>
        <v>1.180059345</v>
      </c>
      <c r="M346" s="134">
        <f t="shared" si="10"/>
        <v>1.079001182</v>
      </c>
      <c r="N346" s="134">
        <f t="shared" si="11"/>
        <v>0.9998349699</v>
      </c>
      <c r="O346" s="134">
        <f t="shared" si="12"/>
        <v>1.045650596</v>
      </c>
      <c r="P346" s="134">
        <f t="shared" si="13"/>
        <v>1.150229329</v>
      </c>
      <c r="Q346" s="134">
        <f t="shared" si="14"/>
        <v>1.033679189</v>
      </c>
    </row>
    <row r="347" ht="15.0" customHeight="1">
      <c r="A347" s="13">
        <v>308.0</v>
      </c>
      <c r="B347" s="134">
        <f t="shared" ref="B347:D347" si="625">RAND()</f>
        <v>0.9733374718</v>
      </c>
      <c r="C347" s="134">
        <f t="shared" si="625"/>
        <v>0.4548770266</v>
      </c>
      <c r="D347" s="134">
        <f t="shared" si="625"/>
        <v>0.5108537486</v>
      </c>
      <c r="F347" s="134">
        <f t="shared" ref="F347:H347" si="626">RAND()</f>
        <v>0.788454872</v>
      </c>
      <c r="G347" s="134">
        <f t="shared" si="626"/>
        <v>0.8454173969</v>
      </c>
      <c r="H347" s="134">
        <f t="shared" si="626"/>
        <v>0.8249978141</v>
      </c>
      <c r="J347" s="135">
        <f t="shared" si="8"/>
        <v>288275226.6</v>
      </c>
      <c r="K347" s="136">
        <f>IF(J347&gt;0,MIN(99,$B$12*Q347/(J347*12*(1-Inputs!$H$16))),99)</f>
        <v>2.344141974</v>
      </c>
      <c r="L347" s="134">
        <f t="shared" si="9"/>
        <v>1.214451692</v>
      </c>
      <c r="M347" s="134">
        <f t="shared" si="10"/>
        <v>1.094211714</v>
      </c>
      <c r="N347" s="134">
        <f t="shared" si="11"/>
        <v>1.008556985</v>
      </c>
      <c r="O347" s="134">
        <f t="shared" si="12"/>
        <v>1.053884108</v>
      </c>
      <c r="P347" s="134">
        <f t="shared" si="13"/>
        <v>1.488893527</v>
      </c>
      <c r="Q347" s="134">
        <f t="shared" si="14"/>
        <v>1.242109018</v>
      </c>
    </row>
    <row r="348" ht="15.0" customHeight="1">
      <c r="A348" s="13">
        <v>309.0</v>
      </c>
      <c r="B348" s="134">
        <f t="shared" ref="B348:D348" si="627">RAND()</f>
        <v>0.3704226213</v>
      </c>
      <c r="C348" s="134">
        <f t="shared" si="627"/>
        <v>0.5956724226</v>
      </c>
      <c r="D348" s="134">
        <f t="shared" si="627"/>
        <v>0.2313066254</v>
      </c>
      <c r="F348" s="134">
        <f t="shared" ref="F348:H348" si="628">RAND()</f>
        <v>0.280805961</v>
      </c>
      <c r="G348" s="134">
        <f t="shared" si="628"/>
        <v>0.2065509817</v>
      </c>
      <c r="H348" s="134">
        <f t="shared" si="628"/>
        <v>0.7240008987</v>
      </c>
      <c r="J348" s="135">
        <f t="shared" si="8"/>
        <v>139820223.6</v>
      </c>
      <c r="K348" s="136">
        <f>IF(J348&gt;0,MIN(99,$B$12*Q348/(J348*12*(1-Inputs!$H$16))),99)</f>
        <v>4.612515881</v>
      </c>
      <c r="L348" s="134">
        <f t="shared" si="9"/>
        <v>0.9791385434</v>
      </c>
      <c r="M348" s="134">
        <f t="shared" si="10"/>
        <v>0.9900303955</v>
      </c>
      <c r="N348" s="134">
        <f t="shared" si="11"/>
        <v>0.9851857599</v>
      </c>
      <c r="O348" s="134">
        <f t="shared" si="12"/>
        <v>1.004983895</v>
      </c>
      <c r="P348" s="134">
        <f t="shared" si="13"/>
        <v>1.015728199</v>
      </c>
      <c r="Q348" s="134">
        <f t="shared" si="14"/>
        <v>1.185431185</v>
      </c>
    </row>
    <row r="349" ht="15.0" customHeight="1">
      <c r="A349" s="13">
        <v>310.0</v>
      </c>
      <c r="B349" s="134">
        <f t="shared" ref="B349:D349" si="629">RAND()</f>
        <v>0.1156494054</v>
      </c>
      <c r="C349" s="134">
        <f t="shared" si="629"/>
        <v>0.8024750484</v>
      </c>
      <c r="D349" s="134">
        <f t="shared" si="629"/>
        <v>0.7414312433</v>
      </c>
      <c r="F349" s="134">
        <f t="shared" ref="F349:H349" si="630">RAND()</f>
        <v>0.1574780003</v>
      </c>
      <c r="G349" s="134">
        <f t="shared" si="630"/>
        <v>0.8371625379</v>
      </c>
      <c r="H349" s="134">
        <f t="shared" si="630"/>
        <v>0.6155549078</v>
      </c>
      <c r="J349" s="135">
        <f t="shared" si="8"/>
        <v>54052320.08</v>
      </c>
      <c r="K349" s="136">
        <f>IF(J349&gt;0,MIN(99,$B$12*Q349/(J349*12*(1-Inputs!$H$16))),99)</f>
        <v>11.42678507</v>
      </c>
      <c r="L349" s="134">
        <f t="shared" si="9"/>
        <v>0.8890638335</v>
      </c>
      <c r="M349" s="134">
        <f t="shared" si="10"/>
        <v>0.9497319785</v>
      </c>
      <c r="N349" s="134">
        <f t="shared" si="11"/>
        <v>1.030891917</v>
      </c>
      <c r="O349" s="134">
        <f t="shared" si="12"/>
        <v>0.995831177</v>
      </c>
      <c r="P349" s="134">
        <f t="shared" si="13"/>
        <v>1.479040775</v>
      </c>
      <c r="Q349" s="134">
        <f t="shared" si="14"/>
        <v>1.135290176</v>
      </c>
    </row>
    <row r="350" ht="15.0" customHeight="1">
      <c r="A350" s="13">
        <v>311.0</v>
      </c>
      <c r="B350" s="134">
        <f t="shared" ref="B350:D350" si="631">RAND()</f>
        <v>0.552136387</v>
      </c>
      <c r="C350" s="134">
        <f t="shared" si="631"/>
        <v>0.8419435521</v>
      </c>
      <c r="D350" s="134">
        <f t="shared" si="631"/>
        <v>0.6852378036</v>
      </c>
      <c r="F350" s="134">
        <f t="shared" ref="F350:H350" si="632">RAND()</f>
        <v>0.9670799292</v>
      </c>
      <c r="G350" s="134">
        <f t="shared" si="632"/>
        <v>0.546247004</v>
      </c>
      <c r="H350" s="134">
        <f t="shared" si="632"/>
        <v>0.9386477993</v>
      </c>
      <c r="J350" s="135">
        <f t="shared" si="8"/>
        <v>143391259.3</v>
      </c>
      <c r="K350" s="136">
        <f>IF(J350&gt;0,MIN(99,$B$12*Q350/(J350*12*(1-Inputs!$H$16))),99)</f>
        <v>5.055549612</v>
      </c>
      <c r="L350" s="134">
        <f t="shared" si="9"/>
        <v>1.026844309</v>
      </c>
      <c r="M350" s="134">
        <f t="shared" si="10"/>
        <v>1.011239531</v>
      </c>
      <c r="N350" s="134">
        <f t="shared" si="11"/>
        <v>1.024744607</v>
      </c>
      <c r="O350" s="134">
        <f t="shared" si="12"/>
        <v>1.088973863</v>
      </c>
      <c r="P350" s="134">
        <f t="shared" si="13"/>
        <v>1.222216042</v>
      </c>
      <c r="Q350" s="134">
        <f t="shared" si="14"/>
        <v>1.332476434</v>
      </c>
    </row>
    <row r="351" ht="15.0" customHeight="1">
      <c r="A351" s="13">
        <v>312.0</v>
      </c>
      <c r="B351" s="134">
        <f t="shared" ref="B351:D351" si="633">RAND()</f>
        <v>0.3811732857</v>
      </c>
      <c r="C351" s="134">
        <f t="shared" si="633"/>
        <v>0.1519809605</v>
      </c>
      <c r="D351" s="134">
        <f t="shared" si="633"/>
        <v>0.9531021119</v>
      </c>
      <c r="F351" s="134">
        <f t="shared" ref="F351:H351" si="634">RAND()</f>
        <v>0.7250004365</v>
      </c>
      <c r="G351" s="134">
        <f t="shared" si="634"/>
        <v>0.4557594858</v>
      </c>
      <c r="H351" s="134">
        <f t="shared" si="634"/>
        <v>0.4831582145</v>
      </c>
      <c r="J351" s="135">
        <f t="shared" si="8"/>
        <v>112711104.3</v>
      </c>
      <c r="K351" s="136">
        <f>IF(J351&gt;0,MIN(99,$B$12*Q351/(J351*12*(1-Inputs!$H$16))),99)</f>
        <v>5.227126957</v>
      </c>
      <c r="L351" s="134">
        <f t="shared" si="9"/>
        <v>0.9820796819</v>
      </c>
      <c r="M351" s="134">
        <f t="shared" si="10"/>
        <v>0.9913462279</v>
      </c>
      <c r="N351" s="134">
        <f t="shared" si="11"/>
        <v>1.065049216</v>
      </c>
      <c r="O351" s="134">
        <f t="shared" si="12"/>
        <v>1.045762018</v>
      </c>
      <c r="P351" s="134">
        <f t="shared" si="13"/>
        <v>1.161248197</v>
      </c>
      <c r="Q351" s="134">
        <f t="shared" si="14"/>
        <v>1.082924637</v>
      </c>
    </row>
    <row r="352" ht="15.0" customHeight="1">
      <c r="A352" s="13">
        <v>313.0</v>
      </c>
      <c r="B352" s="134">
        <f t="shared" ref="B352:D352" si="635">RAND()</f>
        <v>0.4064941615</v>
      </c>
      <c r="C352" s="134">
        <f t="shared" si="635"/>
        <v>0.3036287285</v>
      </c>
      <c r="D352" s="134">
        <f t="shared" si="635"/>
        <v>0.05159404581</v>
      </c>
      <c r="F352" s="134">
        <f t="shared" ref="F352:H352" si="636">RAND()</f>
        <v>0.3448700437</v>
      </c>
      <c r="G352" s="134">
        <f t="shared" si="636"/>
        <v>0.6288634368</v>
      </c>
      <c r="H352" s="134">
        <f t="shared" si="636"/>
        <v>0.1308114622</v>
      </c>
      <c r="J352" s="135">
        <f t="shared" si="8"/>
        <v>140946043.7</v>
      </c>
      <c r="K352" s="136">
        <f>IF(J352&gt;0,MIN(99,$B$12*Q352/(J352*12*(1-Inputs!$H$16))),99)</f>
        <v>3.722803018</v>
      </c>
      <c r="L352" s="134">
        <f t="shared" si="9"/>
        <v>0.9888471257</v>
      </c>
      <c r="M352" s="134">
        <f t="shared" si="10"/>
        <v>0.9943739065</v>
      </c>
      <c r="N352" s="134">
        <f t="shared" si="11"/>
        <v>0.9607775406</v>
      </c>
      <c r="O352" s="134">
        <f t="shared" si="12"/>
        <v>1.009853861</v>
      </c>
      <c r="P352" s="134">
        <f t="shared" si="13"/>
        <v>1.283457215</v>
      </c>
      <c r="Q352" s="134">
        <f t="shared" si="14"/>
        <v>0.9644760075</v>
      </c>
    </row>
    <row r="353" ht="15.0" customHeight="1">
      <c r="A353" s="13">
        <v>314.0</v>
      </c>
      <c r="B353" s="134">
        <f t="shared" ref="B353:D353" si="637">RAND()</f>
        <v>0.8421608236</v>
      </c>
      <c r="C353" s="134">
        <f t="shared" si="637"/>
        <v>0.3748223193</v>
      </c>
      <c r="D353" s="134">
        <f t="shared" si="637"/>
        <v>0.4772006613</v>
      </c>
      <c r="F353" s="134">
        <f t="shared" ref="F353:H353" si="638">RAND()</f>
        <v>0.3714655874</v>
      </c>
      <c r="G353" s="134">
        <f t="shared" si="638"/>
        <v>0.09332006736</v>
      </c>
      <c r="H353" s="134">
        <f t="shared" si="638"/>
        <v>0.8506704681</v>
      </c>
      <c r="J353" s="135">
        <f t="shared" si="8"/>
        <v>246541411.7</v>
      </c>
      <c r="K353" s="136">
        <f>IF(J353&gt;0,MIN(99,$B$12*Q353/(J353*12*(1-Inputs!$H$16))),99)</f>
        <v>2.778231668</v>
      </c>
      <c r="L353" s="134">
        <f t="shared" si="9"/>
        <v>1.127681003</v>
      </c>
      <c r="M353" s="134">
        <f t="shared" si="10"/>
        <v>1.055836074</v>
      </c>
      <c r="N353" s="134">
        <f t="shared" si="11"/>
        <v>1.005788863</v>
      </c>
      <c r="O353" s="134">
        <f t="shared" si="12"/>
        <v>1.011945296</v>
      </c>
      <c r="P353" s="134">
        <f t="shared" si="13"/>
        <v>0.9493163008</v>
      </c>
      <c r="Q353" s="134">
        <f t="shared" si="14"/>
        <v>1.259003151</v>
      </c>
    </row>
    <row r="354" ht="15.0" customHeight="1">
      <c r="A354" s="13">
        <v>315.0</v>
      </c>
      <c r="B354" s="134">
        <f t="shared" ref="B354:D354" si="639">RAND()</f>
        <v>0.7923460299</v>
      </c>
      <c r="C354" s="134">
        <f t="shared" si="639"/>
        <v>0.5529169423</v>
      </c>
      <c r="D354" s="134">
        <f t="shared" si="639"/>
        <v>0.5573783004</v>
      </c>
      <c r="F354" s="134">
        <f t="shared" ref="F354:H354" si="640">RAND()</f>
        <v>0.1141896696</v>
      </c>
      <c r="G354" s="134">
        <f t="shared" si="640"/>
        <v>0.9415435007</v>
      </c>
      <c r="H354" s="134">
        <f t="shared" si="640"/>
        <v>0.02354039836</v>
      </c>
      <c r="J354" s="135">
        <f t="shared" si="8"/>
        <v>205681367.5</v>
      </c>
      <c r="K354" s="136">
        <f>IF(J354&gt;0,MIN(99,$B$12*Q354/(J354*12*(1-Inputs!$H$16))),99)</f>
        <v>2.390098443</v>
      </c>
      <c r="L354" s="134">
        <f t="shared" si="9"/>
        <v>1.106025384</v>
      </c>
      <c r="M354" s="134">
        <f t="shared" si="10"/>
        <v>1.04625855</v>
      </c>
      <c r="N354" s="134">
        <f t="shared" si="11"/>
        <v>1.012545788</v>
      </c>
      <c r="O354" s="134">
        <f t="shared" si="12"/>
        <v>0.9919792283</v>
      </c>
      <c r="P354" s="134">
        <f t="shared" si="13"/>
        <v>1.632855145</v>
      </c>
      <c r="Q354" s="134">
        <f t="shared" si="14"/>
        <v>0.9036062399</v>
      </c>
    </row>
    <row r="355" ht="15.0" customHeight="1">
      <c r="A355" s="13">
        <v>316.0</v>
      </c>
      <c r="B355" s="134">
        <f t="shared" ref="B355:D355" si="641">RAND()</f>
        <v>0.3333568164</v>
      </c>
      <c r="C355" s="134">
        <f t="shared" si="641"/>
        <v>0.6191326447</v>
      </c>
      <c r="D355" s="134">
        <f t="shared" si="641"/>
        <v>0.6500037446</v>
      </c>
      <c r="F355" s="134">
        <f t="shared" ref="F355:H355" si="642">RAND()</f>
        <v>0.9585318078</v>
      </c>
      <c r="G355" s="134">
        <f t="shared" si="642"/>
        <v>0.1090298857</v>
      </c>
      <c r="H355" s="134">
        <f t="shared" si="642"/>
        <v>0.4050636896</v>
      </c>
      <c r="J355" s="135">
        <f t="shared" si="8"/>
        <v>113521304.4</v>
      </c>
      <c r="K355" s="136">
        <f>IF(J355&gt;0,MIN(99,$B$12*Q355/(J355*12*(1-Inputs!$H$16))),99)</f>
        <v>5.056820616</v>
      </c>
      <c r="L355" s="134">
        <f t="shared" si="9"/>
        <v>0.9686559884</v>
      </c>
      <c r="M355" s="134">
        <f t="shared" si="10"/>
        <v>0.9853406177</v>
      </c>
      <c r="N355" s="134">
        <f t="shared" si="11"/>
        <v>1.021168073</v>
      </c>
      <c r="O355" s="134">
        <f t="shared" si="12"/>
        <v>1.086176964</v>
      </c>
      <c r="P355" s="134">
        <f t="shared" si="13"/>
        <v>0.9602076327</v>
      </c>
      <c r="Q355" s="134">
        <f t="shared" si="14"/>
        <v>1.055172349</v>
      </c>
    </row>
    <row r="356" ht="15.0" customHeight="1">
      <c r="A356" s="13">
        <v>317.0</v>
      </c>
      <c r="B356" s="134">
        <f t="shared" ref="B356:D356" si="643">RAND()</f>
        <v>0.7390249839</v>
      </c>
      <c r="C356" s="134">
        <f t="shared" si="643"/>
        <v>0.3893744572</v>
      </c>
      <c r="D356" s="134">
        <f t="shared" si="643"/>
        <v>0.5873681434</v>
      </c>
      <c r="F356" s="134">
        <f t="shared" ref="F356:H356" si="644">RAND()</f>
        <v>0.5782828662</v>
      </c>
      <c r="G356" s="134">
        <f t="shared" si="644"/>
        <v>0.06833325708</v>
      </c>
      <c r="H356" s="134">
        <f t="shared" si="644"/>
        <v>0.7159331603</v>
      </c>
      <c r="J356" s="135">
        <f t="shared" si="8"/>
        <v>209698512.5</v>
      </c>
      <c r="K356" s="136">
        <f>IF(J356&gt;0,MIN(99,$B$12*Q356/(J356*12*(1-Inputs!$H$16))),99)</f>
        <v>3.065003576</v>
      </c>
      <c r="L356" s="134">
        <f t="shared" si="9"/>
        <v>1.085569103</v>
      </c>
      <c r="M356" s="134">
        <f t="shared" si="10"/>
        <v>1.037211453</v>
      </c>
      <c r="N356" s="134">
        <f t="shared" si="11"/>
        <v>1.015229108</v>
      </c>
      <c r="O356" s="134">
        <f t="shared" si="12"/>
        <v>1.030013477</v>
      </c>
      <c r="P356" s="134">
        <f t="shared" si="13"/>
        <v>0.9298913143</v>
      </c>
      <c r="Q356" s="134">
        <f t="shared" si="14"/>
        <v>1.181394151</v>
      </c>
    </row>
    <row r="357" ht="15.0" customHeight="1">
      <c r="A357" s="13">
        <v>318.0</v>
      </c>
      <c r="B357" s="134">
        <f t="shared" ref="B357:D357" si="645">RAND()</f>
        <v>0.7302386497</v>
      </c>
      <c r="C357" s="134">
        <f t="shared" si="645"/>
        <v>0.06433098223</v>
      </c>
      <c r="D357" s="134">
        <f t="shared" si="645"/>
        <v>0.2150410979</v>
      </c>
      <c r="F357" s="134">
        <f t="shared" ref="F357:H357" si="646">RAND()</f>
        <v>0.2626620199</v>
      </c>
      <c r="G357" s="134">
        <f t="shared" si="646"/>
        <v>0.2803493814</v>
      </c>
      <c r="H357" s="134">
        <f t="shared" si="646"/>
        <v>0.5459715857</v>
      </c>
      <c r="J357" s="135">
        <f t="shared" si="8"/>
        <v>214333764.9</v>
      </c>
      <c r="K357" s="136">
        <f>IF(J357&gt;0,MIN(99,$B$12*Q357/(J357*12*(1-Inputs!$H$16))),99)</f>
        <v>2.809400804</v>
      </c>
      <c r="L357" s="134">
        <f t="shared" si="9"/>
        <v>1.082406683</v>
      </c>
      <c r="M357" s="134">
        <f t="shared" si="10"/>
        <v>1.035812825</v>
      </c>
      <c r="N357" s="134">
        <f t="shared" si="11"/>
        <v>0.9835298654</v>
      </c>
      <c r="O357" s="134">
        <f t="shared" si="12"/>
        <v>1.003644472</v>
      </c>
      <c r="P357" s="134">
        <f t="shared" si="13"/>
        <v>1.056080731</v>
      </c>
      <c r="Q357" s="134">
        <f t="shared" si="14"/>
        <v>1.10680924</v>
      </c>
    </row>
    <row r="358" ht="15.0" customHeight="1">
      <c r="A358" s="13">
        <v>319.0</v>
      </c>
      <c r="B358" s="134">
        <f t="shared" ref="B358:D358" si="647">RAND()</f>
        <v>0.6322615481</v>
      </c>
      <c r="C358" s="134">
        <f t="shared" si="647"/>
        <v>0.3472660139</v>
      </c>
      <c r="D358" s="134">
        <f t="shared" si="647"/>
        <v>0.268615112</v>
      </c>
      <c r="F358" s="134">
        <f t="shared" ref="F358:H358" si="648">RAND()</f>
        <v>0.9626849374</v>
      </c>
      <c r="G358" s="134">
        <f t="shared" si="648"/>
        <v>0.3184228223</v>
      </c>
      <c r="H358" s="134">
        <f t="shared" si="648"/>
        <v>0.128040659</v>
      </c>
      <c r="J358" s="135">
        <f t="shared" si="8"/>
        <v>174124904.4</v>
      </c>
      <c r="K358" s="136">
        <f>IF(J358&gt;0,MIN(99,$B$12*Q358/(J358*12*(1-Inputs!$H$16))),99)</f>
        <v>3.009919694</v>
      </c>
      <c r="L358" s="134">
        <f t="shared" si="9"/>
        <v>1.050135514</v>
      </c>
      <c r="M358" s="134">
        <f t="shared" si="10"/>
        <v>1.021540416</v>
      </c>
      <c r="N358" s="134">
        <f t="shared" si="11"/>
        <v>0.9887765388</v>
      </c>
      <c r="O358" s="134">
        <f t="shared" si="12"/>
        <v>1.087495668</v>
      </c>
      <c r="P358" s="134">
        <f t="shared" si="13"/>
        <v>1.077709719</v>
      </c>
      <c r="Q358" s="134">
        <f t="shared" si="14"/>
        <v>0.9633503975</v>
      </c>
    </row>
    <row r="359" ht="15.0" customHeight="1">
      <c r="A359" s="13">
        <v>320.0</v>
      </c>
      <c r="B359" s="134">
        <f t="shared" ref="B359:D359" si="649">RAND()</f>
        <v>0.5730365486</v>
      </c>
      <c r="C359" s="134">
        <f t="shared" si="649"/>
        <v>0.9688975636</v>
      </c>
      <c r="D359" s="134">
        <f t="shared" si="649"/>
        <v>0.9260389294</v>
      </c>
      <c r="F359" s="134">
        <f t="shared" ref="F359:H359" si="650">RAND()</f>
        <v>0.05883725521</v>
      </c>
      <c r="G359" s="134">
        <f t="shared" si="650"/>
        <v>0.7279136895</v>
      </c>
      <c r="H359" s="134">
        <f t="shared" si="650"/>
        <v>0.5876317154</v>
      </c>
      <c r="J359" s="135">
        <f t="shared" si="8"/>
        <v>151867607.7</v>
      </c>
      <c r="K359" s="136">
        <f>IF(J359&gt;0,MIN(99,$B$12*Q359/(J359*12*(1-Inputs!$H$16))),99)</f>
        <v>4.025021355</v>
      </c>
      <c r="L359" s="134">
        <f t="shared" si="9"/>
        <v>1.032703746</v>
      </c>
      <c r="M359" s="134">
        <f t="shared" si="10"/>
        <v>1.013830955</v>
      </c>
      <c r="N359" s="134">
        <f t="shared" si="11"/>
        <v>1.058567456</v>
      </c>
      <c r="O359" s="134">
        <f t="shared" si="12"/>
        <v>0.9857447713</v>
      </c>
      <c r="P359" s="134">
        <f t="shared" si="13"/>
        <v>1.366748989</v>
      </c>
      <c r="Q359" s="134">
        <f t="shared" si="14"/>
        <v>1.123574364</v>
      </c>
    </row>
    <row r="360" ht="15.0" customHeight="1">
      <c r="A360" s="13">
        <v>321.0</v>
      </c>
      <c r="B360" s="134">
        <f t="shared" ref="B360:D360" si="651">RAND()</f>
        <v>0.2495338499</v>
      </c>
      <c r="C360" s="134">
        <f t="shared" si="651"/>
        <v>0.9142243563</v>
      </c>
      <c r="D360" s="134">
        <f t="shared" si="651"/>
        <v>0.08676261545</v>
      </c>
      <c r="F360" s="134">
        <f t="shared" ref="F360:H360" si="652">RAND()</f>
        <v>0.1584098216</v>
      </c>
      <c r="G360" s="134">
        <f t="shared" si="652"/>
        <v>0.1059419782</v>
      </c>
      <c r="H360" s="134">
        <f t="shared" si="652"/>
        <v>0.5731517919</v>
      </c>
      <c r="J360" s="135">
        <f t="shared" si="8"/>
        <v>121785631.7</v>
      </c>
      <c r="K360" s="136">
        <f>IF(J360&gt;0,MIN(99,$B$12*Q360/(J360*12*(1-Inputs!$H$16))),99)</f>
        <v>4.992789865</v>
      </c>
      <c r="L360" s="134">
        <f t="shared" si="9"/>
        <v>0.9425486739</v>
      </c>
      <c r="M360" s="134">
        <f t="shared" si="10"/>
        <v>0.9736604974</v>
      </c>
      <c r="N360" s="134">
        <f t="shared" si="11"/>
        <v>0.9672605918</v>
      </c>
      <c r="O360" s="134">
        <f t="shared" si="12"/>
        <v>0.9959078255</v>
      </c>
      <c r="P360" s="134">
        <f t="shared" si="13"/>
        <v>0.9581321549</v>
      </c>
      <c r="Q360" s="134">
        <f t="shared" si="14"/>
        <v>1.117655146</v>
      </c>
    </row>
    <row r="361" ht="15.0" customHeight="1">
      <c r="A361" s="13">
        <v>322.0</v>
      </c>
      <c r="B361" s="134">
        <f t="shared" ref="B361:D361" si="653">RAND()</f>
        <v>0.5309670611</v>
      </c>
      <c r="C361" s="134">
        <f t="shared" si="653"/>
        <v>0.5557813637</v>
      </c>
      <c r="D361" s="134">
        <f t="shared" si="653"/>
        <v>0.03966241951</v>
      </c>
      <c r="F361" s="134">
        <f t="shared" ref="F361:H361" si="654">RAND()</f>
        <v>0.5955158401</v>
      </c>
      <c r="G361" s="134">
        <f t="shared" si="654"/>
        <v>0.826935859</v>
      </c>
      <c r="H361" s="134">
        <f t="shared" si="654"/>
        <v>0.5309308957</v>
      </c>
      <c r="J361" s="135">
        <f t="shared" si="8"/>
        <v>154184799.1</v>
      </c>
      <c r="K361" s="136">
        <f>IF(J361&gt;0,MIN(99,$B$12*Q361/(J361*12*(1-Inputs!$H$16))),99)</f>
        <v>3.884689388</v>
      </c>
      <c r="L361" s="134">
        <f t="shared" si="9"/>
        <v>1.021047191</v>
      </c>
      <c r="M361" s="134">
        <f t="shared" si="10"/>
        <v>1.008675668</v>
      </c>
      <c r="N361" s="134">
        <f t="shared" si="11"/>
        <v>0.9580858141</v>
      </c>
      <c r="O361" s="134">
        <f t="shared" si="12"/>
        <v>1.031702669</v>
      </c>
      <c r="P361" s="134">
        <f t="shared" si="13"/>
        <v>1.467174695</v>
      </c>
      <c r="Q361" s="134">
        <f t="shared" si="14"/>
        <v>1.100946815</v>
      </c>
    </row>
    <row r="362" ht="15.0" customHeight="1">
      <c r="A362" s="13">
        <v>323.0</v>
      </c>
      <c r="B362" s="134">
        <f t="shared" ref="B362:D362" si="655">RAND()</f>
        <v>0.8079666444</v>
      </c>
      <c r="C362" s="134">
        <f t="shared" si="655"/>
        <v>0.8825142412</v>
      </c>
      <c r="D362" s="134">
        <f t="shared" si="655"/>
        <v>0.6598497554</v>
      </c>
      <c r="F362" s="134">
        <f t="shared" ref="F362:H362" si="656">RAND()</f>
        <v>0.9781428688</v>
      </c>
      <c r="G362" s="134">
        <f t="shared" si="656"/>
        <v>0.2046894621</v>
      </c>
      <c r="H362" s="134">
        <f t="shared" si="656"/>
        <v>0.4991305058</v>
      </c>
      <c r="J362" s="135">
        <f t="shared" si="8"/>
        <v>214814610.5</v>
      </c>
      <c r="K362" s="136">
        <f>IF(J362&gt;0,MIN(99,$B$12*Q362/(J362*12*(1-Inputs!$H$16))),99)</f>
        <v>2.757637906</v>
      </c>
      <c r="L362" s="134">
        <f t="shared" si="9"/>
        <v>1.112505119</v>
      </c>
      <c r="M362" s="134">
        <f t="shared" si="10"/>
        <v>1.049124311</v>
      </c>
      <c r="N362" s="134">
        <f t="shared" si="11"/>
        <v>1.022148645</v>
      </c>
      <c r="O362" s="134">
        <f t="shared" si="12"/>
        <v>1.093206952</v>
      </c>
      <c r="P362" s="134">
        <f t="shared" si="13"/>
        <v>1.014735158</v>
      </c>
      <c r="Q362" s="134">
        <f t="shared" si="14"/>
        <v>1.088853716</v>
      </c>
    </row>
    <row r="363" ht="15.0" customHeight="1">
      <c r="A363" s="13">
        <v>324.0</v>
      </c>
      <c r="B363" s="134">
        <f t="shared" ref="B363:D363" si="657">RAND()</f>
        <v>0.9025023639</v>
      </c>
      <c r="C363" s="134">
        <f t="shared" si="657"/>
        <v>0.85553204</v>
      </c>
      <c r="D363" s="134">
        <f t="shared" si="657"/>
        <v>0.1027716383</v>
      </c>
      <c r="F363" s="134">
        <f t="shared" ref="F363:H363" si="658">RAND()</f>
        <v>0.8230264332</v>
      </c>
      <c r="G363" s="134">
        <f t="shared" si="658"/>
        <v>0.4101272219</v>
      </c>
      <c r="H363" s="134">
        <f t="shared" si="658"/>
        <v>0.9512448149</v>
      </c>
      <c r="J363" s="135">
        <f t="shared" si="8"/>
        <v>265673325.1</v>
      </c>
      <c r="K363" s="136">
        <f>IF(J363&gt;0,MIN(99,$B$12*Q363/(J363*12*(1-Inputs!$H$16))),99)</f>
        <v>2.757779516</v>
      </c>
      <c r="L363" s="134">
        <f t="shared" si="9"/>
        <v>1.159216042</v>
      </c>
      <c r="M363" s="134">
        <f t="shared" si="10"/>
        <v>1.069782918</v>
      </c>
      <c r="N363" s="134">
        <f t="shared" si="11"/>
        <v>0.9697634622</v>
      </c>
      <c r="O363" s="134">
        <f t="shared" si="12"/>
        <v>1.058830425</v>
      </c>
      <c r="P363" s="134">
        <f t="shared" si="13"/>
        <v>1.132430445</v>
      </c>
      <c r="Q363" s="134">
        <f t="shared" si="14"/>
        <v>1.346715858</v>
      </c>
    </row>
    <row r="364" ht="15.0" customHeight="1">
      <c r="A364" s="13">
        <v>325.0</v>
      </c>
      <c r="B364" s="134">
        <f t="shared" ref="B364:D364" si="659">RAND()</f>
        <v>0.3904102179</v>
      </c>
      <c r="C364" s="134">
        <f t="shared" si="659"/>
        <v>0.3797508463</v>
      </c>
      <c r="D364" s="134">
        <f t="shared" si="659"/>
        <v>0.7346043602</v>
      </c>
      <c r="F364" s="134">
        <f t="shared" ref="F364:H364" si="660">RAND()</f>
        <v>0.6579985041</v>
      </c>
      <c r="G364" s="134">
        <f t="shared" si="660"/>
        <v>0.2398259296</v>
      </c>
      <c r="H364" s="134">
        <f t="shared" si="660"/>
        <v>0.1647194116</v>
      </c>
      <c r="J364" s="135">
        <f t="shared" si="8"/>
        <v>127920434.7</v>
      </c>
      <c r="K364" s="136">
        <f>IF(J364&gt;0,MIN(99,$B$12*Q364/(J364*12*(1-Inputs!$H$16))),99)</f>
        <v>4.156798291</v>
      </c>
      <c r="L364" s="134">
        <f t="shared" si="9"/>
        <v>0.9845737329</v>
      </c>
      <c r="M364" s="134">
        <f t="shared" si="10"/>
        <v>0.9924620384</v>
      </c>
      <c r="N364" s="134">
        <f t="shared" si="11"/>
        <v>1.030111621</v>
      </c>
      <c r="O364" s="134">
        <f t="shared" si="12"/>
        <v>1.038151307</v>
      </c>
      <c r="P364" s="134">
        <f t="shared" si="13"/>
        <v>1.033679577</v>
      </c>
      <c r="Q364" s="134">
        <f t="shared" si="14"/>
        <v>0.9773888012</v>
      </c>
    </row>
    <row r="365" ht="15.0" customHeight="1">
      <c r="A365" s="13">
        <v>326.0</v>
      </c>
      <c r="B365" s="134">
        <f t="shared" ref="B365:D365" si="661">RAND()</f>
        <v>0.05920085882</v>
      </c>
      <c r="C365" s="134">
        <f t="shared" si="661"/>
        <v>0.3890021525</v>
      </c>
      <c r="D365" s="134">
        <f t="shared" si="661"/>
        <v>0.7663329807</v>
      </c>
      <c r="F365" s="134">
        <f t="shared" ref="F365:H365" si="662">RAND()</f>
        <v>0.1463096439</v>
      </c>
      <c r="G365" s="134">
        <f t="shared" si="662"/>
        <v>0.5727982519</v>
      </c>
      <c r="H365" s="134">
        <f t="shared" si="662"/>
        <v>0.6659606255</v>
      </c>
      <c r="J365" s="135">
        <f t="shared" si="8"/>
        <v>42113266.99</v>
      </c>
      <c r="K365" s="136">
        <f>IF(J365&gt;0,MIN(99,$B$12*Q365/(J365*12*(1-Inputs!$H$16))),99)</f>
        <v>14.95411557</v>
      </c>
      <c r="L365" s="134">
        <f t="shared" si="9"/>
        <v>0.856609415</v>
      </c>
      <c r="M365" s="134">
        <f t="shared" si="10"/>
        <v>0.9352122349</v>
      </c>
      <c r="N365" s="134">
        <f t="shared" si="11"/>
        <v>1.033829303</v>
      </c>
      <c r="O365" s="134">
        <f t="shared" si="12"/>
        <v>0.9948942309</v>
      </c>
      <c r="P365" s="134">
        <f t="shared" si="13"/>
        <v>1.24123934</v>
      </c>
      <c r="Q365" s="134">
        <f t="shared" si="14"/>
        <v>1.157572358</v>
      </c>
    </row>
    <row r="366" ht="15.0" customHeight="1">
      <c r="A366" s="13">
        <v>327.0</v>
      </c>
      <c r="B366" s="134">
        <f t="shared" ref="B366:D366" si="663">RAND()</f>
        <v>0.8071681627</v>
      </c>
      <c r="C366" s="134">
        <f t="shared" si="663"/>
        <v>0.1978965111</v>
      </c>
      <c r="D366" s="134">
        <f t="shared" si="663"/>
        <v>0.06294357942</v>
      </c>
      <c r="F366" s="134">
        <f t="shared" ref="F366:H366" si="664">RAND()</f>
        <v>0.5914956317</v>
      </c>
      <c r="G366" s="134">
        <f t="shared" si="664"/>
        <v>0.8346559431</v>
      </c>
      <c r="H366" s="134">
        <f t="shared" si="664"/>
        <v>0.01544720856</v>
      </c>
      <c r="J366" s="135">
        <f t="shared" si="8"/>
        <v>221600979.1</v>
      </c>
      <c r="K366" s="136">
        <f>IF(J366&gt;0,MIN(99,$B$12*Q366/(J366*12*(1-Inputs!$H$16))),99)</f>
        <v>2.197483927</v>
      </c>
      <c r="L366" s="134">
        <f t="shared" si="9"/>
        <v>1.112167639</v>
      </c>
      <c r="M366" s="134">
        <f t="shared" si="10"/>
        <v>1.048975055</v>
      </c>
      <c r="N366" s="134">
        <f t="shared" si="11"/>
        <v>0.963060867</v>
      </c>
      <c r="O366" s="134">
        <f t="shared" si="12"/>
        <v>1.031305435</v>
      </c>
      <c r="P366" s="134">
        <f t="shared" si="13"/>
        <v>1.476098667</v>
      </c>
      <c r="Q366" s="134">
        <f t="shared" si="14"/>
        <v>0.8950882651</v>
      </c>
    </row>
    <row r="367" ht="15.0" customHeight="1">
      <c r="A367" s="13">
        <v>328.0</v>
      </c>
      <c r="B367" s="134">
        <f t="shared" ref="B367:D367" si="665">RAND()</f>
        <v>0.4870591922</v>
      </c>
      <c r="C367" s="134">
        <f t="shared" si="665"/>
        <v>0.3562285144</v>
      </c>
      <c r="D367" s="134">
        <f t="shared" si="665"/>
        <v>0.9468459732</v>
      </c>
      <c r="F367" s="134">
        <f t="shared" ref="F367:H367" si="666">RAND()</f>
        <v>0.631220796</v>
      </c>
      <c r="G367" s="134">
        <f t="shared" si="666"/>
        <v>0.8843072462</v>
      </c>
      <c r="H367" s="134">
        <f t="shared" si="666"/>
        <v>0.4399060139</v>
      </c>
      <c r="J367" s="135">
        <f t="shared" si="8"/>
        <v>119530935.9</v>
      </c>
      <c r="K367" s="136">
        <f>IF(J367&gt;0,MIN(99,$B$12*Q367/(J367*12*(1-Inputs!$H$16))),99)</f>
        <v>4.857842347</v>
      </c>
      <c r="L367" s="134">
        <f t="shared" si="9"/>
        <v>1.009426355</v>
      </c>
      <c r="M367" s="134">
        <f t="shared" si="10"/>
        <v>1.003536179</v>
      </c>
      <c r="N367" s="134">
        <f t="shared" si="11"/>
        <v>1.063412079</v>
      </c>
      <c r="O367" s="134">
        <f t="shared" si="12"/>
        <v>1.035321084</v>
      </c>
      <c r="P367" s="134">
        <f t="shared" si="13"/>
        <v>1.539324133</v>
      </c>
      <c r="Q367" s="134">
        <f t="shared" si="14"/>
        <v>1.067314028</v>
      </c>
    </row>
    <row r="368" ht="15.0" customHeight="1">
      <c r="A368" s="13">
        <v>329.0</v>
      </c>
      <c r="B368" s="134">
        <f t="shared" ref="B368:D368" si="667">RAND()</f>
        <v>0.195475012</v>
      </c>
      <c r="C368" s="134">
        <f t="shared" si="667"/>
        <v>0.4336515826</v>
      </c>
      <c r="D368" s="134">
        <f t="shared" si="667"/>
        <v>0.7509754251</v>
      </c>
      <c r="F368" s="134">
        <f t="shared" ref="F368:H368" si="668">RAND()</f>
        <v>0.1478853553</v>
      </c>
      <c r="G368" s="134">
        <f t="shared" si="668"/>
        <v>0.01764037796</v>
      </c>
      <c r="H368" s="134">
        <f t="shared" si="668"/>
        <v>0.4229509513</v>
      </c>
      <c r="J368" s="135">
        <f t="shared" si="8"/>
        <v>99165204.1</v>
      </c>
      <c r="K368" s="136">
        <f>IF(J368&gt;0,MIN(99,$B$12*Q368/(J368*12*(1-Inputs!$H$16))),99)</f>
        <v>5.822840014</v>
      </c>
      <c r="L368" s="134">
        <f t="shared" si="9"/>
        <v>0.9232934215</v>
      </c>
      <c r="M368" s="134">
        <f t="shared" si="10"/>
        <v>0.965045913</v>
      </c>
      <c r="N368" s="134">
        <f t="shared" si="11"/>
        <v>1.032000272</v>
      </c>
      <c r="O368" s="134">
        <f t="shared" si="12"/>
        <v>0.9950285376</v>
      </c>
      <c r="P368" s="134">
        <f t="shared" si="13"/>
        <v>0.8732213426</v>
      </c>
      <c r="Q368" s="134">
        <f t="shared" si="14"/>
        <v>1.061359836</v>
      </c>
    </row>
    <row r="369" ht="15.0" customHeight="1">
      <c r="A369" s="13">
        <v>330.0</v>
      </c>
      <c r="B369" s="134">
        <f t="shared" ref="B369:D369" si="669">RAND()</f>
        <v>0.02554629843</v>
      </c>
      <c r="C369" s="134">
        <f t="shared" si="669"/>
        <v>0.7834144907</v>
      </c>
      <c r="D369" s="134">
        <f t="shared" si="669"/>
        <v>0.2961947342</v>
      </c>
      <c r="F369" s="134">
        <f t="shared" ref="F369:H369" si="670">RAND()</f>
        <v>0.1040169829</v>
      </c>
      <c r="G369" s="134">
        <f t="shared" si="670"/>
        <v>0.2064202798</v>
      </c>
      <c r="H369" s="134">
        <f t="shared" si="670"/>
        <v>0.2849146302</v>
      </c>
      <c r="J369" s="135">
        <f t="shared" si="8"/>
        <v>41662390.13</v>
      </c>
      <c r="K369" s="136">
        <f>IF(J369&gt;0,MIN(99,$B$12*Q369/(J369*12*(1-Inputs!$H$16))),99)</f>
        <v>13.26491836</v>
      </c>
      <c r="L369" s="134">
        <f t="shared" si="9"/>
        <v>0.8286093142</v>
      </c>
      <c r="M369" s="134">
        <f t="shared" si="10"/>
        <v>0.9226853032</v>
      </c>
      <c r="N369" s="134">
        <f t="shared" si="11"/>
        <v>0.9912728332</v>
      </c>
      <c r="O369" s="134">
        <f t="shared" si="12"/>
        <v>0.9909721651</v>
      </c>
      <c r="P369" s="134">
        <f t="shared" si="13"/>
        <v>1.015658437</v>
      </c>
      <c r="Q369" s="134">
        <f t="shared" si="14"/>
        <v>1.015821134</v>
      </c>
    </row>
    <row r="370" ht="15.0" customHeight="1">
      <c r="A370" s="13">
        <v>331.0</v>
      </c>
      <c r="B370" s="134">
        <f t="shared" ref="B370:D370" si="671">RAND()</f>
        <v>0.2853551727</v>
      </c>
      <c r="C370" s="134">
        <f t="shared" si="671"/>
        <v>0.3115730499</v>
      </c>
      <c r="D370" s="134">
        <f t="shared" si="671"/>
        <v>0.4033276749</v>
      </c>
      <c r="F370" s="134">
        <f t="shared" ref="F370:H370" si="672">RAND()</f>
        <v>0.6704394055</v>
      </c>
      <c r="G370" s="134">
        <f t="shared" si="672"/>
        <v>0.8918169042</v>
      </c>
      <c r="H370" s="134">
        <f t="shared" si="672"/>
        <v>0.6427509</v>
      </c>
      <c r="J370" s="135">
        <f t="shared" si="8"/>
        <v>93445162.96</v>
      </c>
      <c r="K370" s="136">
        <f>IF(J370&gt;0,MIN(99,$B$12*Q370/(J370*12*(1-Inputs!$H$16))),99)</f>
        <v>6.678556076</v>
      </c>
      <c r="L370" s="134">
        <f t="shared" si="9"/>
        <v>0.9541715852</v>
      </c>
      <c r="M370" s="134">
        <f t="shared" si="10"/>
        <v>0.9788604578</v>
      </c>
      <c r="N370" s="134">
        <f t="shared" si="11"/>
        <v>1.000009303</v>
      </c>
      <c r="O370" s="134">
        <f t="shared" si="12"/>
        <v>1.039503894</v>
      </c>
      <c r="P370" s="134">
        <f t="shared" si="13"/>
        <v>1.549997612</v>
      </c>
      <c r="Q370" s="134">
        <f t="shared" si="14"/>
        <v>1.147117443</v>
      </c>
    </row>
    <row r="371" ht="15.0" customHeight="1">
      <c r="A371" s="13">
        <v>332.0</v>
      </c>
      <c r="B371" s="134">
        <f t="shared" ref="B371:D371" si="673">RAND()</f>
        <v>0.6061136628</v>
      </c>
      <c r="C371" s="134">
        <f t="shared" si="673"/>
        <v>0.2339610405</v>
      </c>
      <c r="D371" s="134">
        <f t="shared" si="673"/>
        <v>0.8128767691</v>
      </c>
      <c r="F371" s="134">
        <f t="shared" ref="F371:H371" si="674">RAND()</f>
        <v>0.4393377694</v>
      </c>
      <c r="G371" s="134">
        <f t="shared" si="674"/>
        <v>0.4240997686</v>
      </c>
      <c r="H371" s="134">
        <f t="shared" si="674"/>
        <v>0.5296059275</v>
      </c>
      <c r="J371" s="135">
        <f t="shared" si="8"/>
        <v>166178470.5</v>
      </c>
      <c r="K371" s="136">
        <f>IF(J371&gt;0,MIN(99,$B$12*Q371/(J371*12*(1-Inputs!$H$16))),99)</f>
        <v>3.602642127</v>
      </c>
      <c r="L371" s="134">
        <f t="shared" si="9"/>
        <v>1.042278339</v>
      </c>
      <c r="M371" s="134">
        <f t="shared" si="10"/>
        <v>1.018065462</v>
      </c>
      <c r="N371" s="134">
        <f t="shared" si="11"/>
        <v>1.03977462</v>
      </c>
      <c r="O371" s="134">
        <f t="shared" si="12"/>
        <v>1.017492573</v>
      </c>
      <c r="P371" s="134">
        <f t="shared" si="13"/>
        <v>1.141132157</v>
      </c>
      <c r="Q371" s="134">
        <f t="shared" si="14"/>
        <v>1.100434916</v>
      </c>
    </row>
    <row r="372" ht="15.0" customHeight="1">
      <c r="A372" s="13">
        <v>333.0</v>
      </c>
      <c r="B372" s="134">
        <f t="shared" ref="B372:D372" si="675">RAND()</f>
        <v>0.1136472328</v>
      </c>
      <c r="C372" s="134">
        <f t="shared" si="675"/>
        <v>0.5406295954</v>
      </c>
      <c r="D372" s="134">
        <f t="shared" si="675"/>
        <v>0.3818505584</v>
      </c>
      <c r="F372" s="134">
        <f t="shared" ref="F372:H372" si="676">RAND()</f>
        <v>0.1539971576</v>
      </c>
      <c r="G372" s="134">
        <f t="shared" si="676"/>
        <v>0.270593849</v>
      </c>
      <c r="H372" s="134">
        <f t="shared" si="676"/>
        <v>0.7360228741</v>
      </c>
      <c r="J372" s="135">
        <f t="shared" si="8"/>
        <v>75863655.51</v>
      </c>
      <c r="K372" s="136">
        <f>IF(J372&gt;0,MIN(99,$B$12*Q372/(J372*12*(1-Inputs!$H$16))),99)</f>
        <v>8.545017139</v>
      </c>
      <c r="L372" s="134">
        <f t="shared" si="9"/>
        <v>0.8880721614</v>
      </c>
      <c r="M372" s="134">
        <f t="shared" si="10"/>
        <v>0.9492883155</v>
      </c>
      <c r="N372" s="134">
        <f t="shared" si="11"/>
        <v>0.9983609062</v>
      </c>
      <c r="O372" s="134">
        <f t="shared" si="12"/>
        <v>0.9955428294</v>
      </c>
      <c r="P372" s="134">
        <f t="shared" si="13"/>
        <v>1.050631451</v>
      </c>
      <c r="Q372" s="134">
        <f t="shared" si="14"/>
        <v>1.191557995</v>
      </c>
    </row>
    <row r="373" ht="15.0" customHeight="1">
      <c r="A373" s="13">
        <v>334.0</v>
      </c>
      <c r="B373" s="134">
        <f t="shared" ref="B373:D373" si="677">RAND()</f>
        <v>0.4453309717</v>
      </c>
      <c r="C373" s="134">
        <f t="shared" si="677"/>
        <v>0.2210225154</v>
      </c>
      <c r="D373" s="134">
        <f t="shared" si="677"/>
        <v>0.3528891001</v>
      </c>
      <c r="F373" s="134">
        <f t="shared" ref="F373:H373" si="678">RAND()</f>
        <v>0.1667399486</v>
      </c>
      <c r="G373" s="134">
        <f t="shared" si="678"/>
        <v>0.654039356</v>
      </c>
      <c r="H373" s="134">
        <f t="shared" si="678"/>
        <v>0.03592966141</v>
      </c>
      <c r="J373" s="135">
        <f t="shared" si="8"/>
        <v>141981984.5</v>
      </c>
      <c r="K373" s="136">
        <f>IF(J373&gt;0,MIN(99,$B$12*Q373/(J373*12*(1-Inputs!$H$16))),99)</f>
        <v>3.502858894</v>
      </c>
      <c r="L373" s="134">
        <f t="shared" si="9"/>
        <v>0.9988296994</v>
      </c>
      <c r="M373" s="134">
        <f t="shared" si="10"/>
        <v>0.9988399983</v>
      </c>
      <c r="N373" s="134">
        <f t="shared" si="11"/>
        <v>0.9960628156</v>
      </c>
      <c r="O373" s="134">
        <f t="shared" si="12"/>
        <v>0.9965832589</v>
      </c>
      <c r="P373" s="134">
        <f t="shared" si="13"/>
        <v>1.303450843</v>
      </c>
      <c r="Q373" s="134">
        <f t="shared" si="14"/>
        <v>0.9141645295</v>
      </c>
    </row>
    <row r="374" ht="15.0" customHeight="1">
      <c r="A374" s="13">
        <v>335.0</v>
      </c>
      <c r="B374" s="134">
        <f t="shared" ref="B374:D374" si="679">RAND()</f>
        <v>0.1581062775</v>
      </c>
      <c r="C374" s="134">
        <f t="shared" si="679"/>
        <v>0.07828149054</v>
      </c>
      <c r="D374" s="134">
        <f t="shared" si="679"/>
        <v>0.4949965551</v>
      </c>
      <c r="F374" s="134">
        <f t="shared" ref="F374:H374" si="680">RAND()</f>
        <v>0.7128293258</v>
      </c>
      <c r="G374" s="134">
        <f t="shared" si="680"/>
        <v>0.3507673647</v>
      </c>
      <c r="H374" s="134">
        <f t="shared" si="680"/>
        <v>0.463550685</v>
      </c>
      <c r="J374" s="135">
        <f t="shared" si="8"/>
        <v>77532603.71</v>
      </c>
      <c r="K374" s="136">
        <f>IF(J374&gt;0,MIN(99,$B$12*Q374/(J374*12*(1-Inputs!$H$16))),99)</f>
        <v>7.548603029</v>
      </c>
      <c r="L374" s="134">
        <f t="shared" si="9"/>
        <v>0.9083677481</v>
      </c>
      <c r="M374" s="134">
        <f t="shared" si="10"/>
        <v>0.9583683338</v>
      </c>
      <c r="N374" s="134">
        <f t="shared" si="11"/>
        <v>1.007241175</v>
      </c>
      <c r="O374" s="134">
        <f t="shared" si="12"/>
        <v>1.044315714</v>
      </c>
      <c r="P374" s="134">
        <f t="shared" si="13"/>
        <v>1.096563716</v>
      </c>
      <c r="Q374" s="134">
        <f t="shared" si="14"/>
        <v>1.07577002</v>
      </c>
    </row>
    <row r="375" ht="15.0" customHeight="1">
      <c r="A375" s="13">
        <v>336.0</v>
      </c>
      <c r="B375" s="134">
        <f t="shared" ref="B375:D375" si="681">RAND()</f>
        <v>0.3397857922</v>
      </c>
      <c r="C375" s="134">
        <f t="shared" si="681"/>
        <v>0.2675086042</v>
      </c>
      <c r="D375" s="134">
        <f t="shared" si="681"/>
        <v>0.4890769248</v>
      </c>
      <c r="F375" s="134">
        <f t="shared" ref="F375:H375" si="682">RAND()</f>
        <v>0.8640769237</v>
      </c>
      <c r="G375" s="134">
        <f t="shared" si="682"/>
        <v>0.2478225114</v>
      </c>
      <c r="H375" s="134">
        <f t="shared" si="682"/>
        <v>0.8695414399</v>
      </c>
      <c r="J375" s="135">
        <f t="shared" si="8"/>
        <v>118344612.5</v>
      </c>
      <c r="K375" s="136">
        <f>IF(J375&gt;0,MIN(99,$B$12*Q375/(J375*12*(1-Inputs!$H$16))),99)</f>
        <v>5.849202072</v>
      </c>
      <c r="L375" s="134">
        <f t="shared" si="9"/>
        <v>0.9705144537</v>
      </c>
      <c r="M375" s="134">
        <f t="shared" si="10"/>
        <v>0.9861720743</v>
      </c>
      <c r="N375" s="134">
        <f t="shared" si="11"/>
        <v>1.006755278</v>
      </c>
      <c r="O375" s="134">
        <f t="shared" si="12"/>
        <v>1.065382763</v>
      </c>
      <c r="P375" s="134">
        <f t="shared" si="13"/>
        <v>1.038051857</v>
      </c>
      <c r="Q375" s="134">
        <f t="shared" si="14"/>
        <v>1.272370521</v>
      </c>
    </row>
    <row r="376" ht="15.0" customHeight="1">
      <c r="A376" s="13">
        <v>337.0</v>
      </c>
      <c r="B376" s="134">
        <f t="shared" ref="B376:D376" si="683">RAND()</f>
        <v>0.01657697342</v>
      </c>
      <c r="C376" s="134">
        <f t="shared" si="683"/>
        <v>0.6820370438</v>
      </c>
      <c r="D376" s="134">
        <f t="shared" si="683"/>
        <v>0.6834522552</v>
      </c>
      <c r="F376" s="134">
        <f t="shared" ref="F376:H376" si="684">RAND()</f>
        <v>0.3331797851</v>
      </c>
      <c r="G376" s="134">
        <f t="shared" si="684"/>
        <v>0.4015757754</v>
      </c>
      <c r="H376" s="134">
        <f t="shared" si="684"/>
        <v>0.9832874723</v>
      </c>
      <c r="J376" s="135">
        <f t="shared" si="8"/>
        <v>22200030.74</v>
      </c>
      <c r="K376" s="136">
        <f>IF(J376&gt;0,MIN(99,$B$12*Q376/(J376*12*(1-Inputs!$H$16))),99)</f>
        <v>34.19091004</v>
      </c>
      <c r="L376" s="134">
        <f t="shared" si="9"/>
        <v>0.8181845981</v>
      </c>
      <c r="M376" s="134">
        <f t="shared" si="10"/>
        <v>0.9180214019</v>
      </c>
      <c r="N376" s="134">
        <f t="shared" si="11"/>
        <v>1.024558685</v>
      </c>
      <c r="O376" s="134">
        <f t="shared" si="12"/>
        <v>1.008948006</v>
      </c>
      <c r="P376" s="134">
        <f t="shared" si="13"/>
        <v>1.127155618</v>
      </c>
      <c r="Q376" s="134">
        <f t="shared" si="14"/>
        <v>1.395187953</v>
      </c>
    </row>
    <row r="377" ht="15.0" customHeight="1">
      <c r="A377" s="13">
        <v>338.0</v>
      </c>
      <c r="B377" s="134">
        <f t="shared" ref="B377:D377" si="685">RAND()</f>
        <v>0.6680504123</v>
      </c>
      <c r="C377" s="134">
        <f t="shared" si="685"/>
        <v>0.684853978</v>
      </c>
      <c r="D377" s="134">
        <f t="shared" si="685"/>
        <v>0.4760117368</v>
      </c>
      <c r="F377" s="134">
        <f t="shared" ref="F377:H377" si="686">RAND()</f>
        <v>0.3127614931</v>
      </c>
      <c r="G377" s="134">
        <f t="shared" si="686"/>
        <v>0.6274418403</v>
      </c>
      <c r="H377" s="134">
        <f t="shared" si="686"/>
        <v>0.6816716577</v>
      </c>
      <c r="J377" s="135">
        <f t="shared" si="8"/>
        <v>184241882.2</v>
      </c>
      <c r="K377" s="136">
        <f>IF(J377&gt;0,MIN(99,$B$12*Q377/(J377*12*(1-Inputs!$H$16))),99)</f>
        <v>3.439662052</v>
      </c>
      <c r="L377" s="134">
        <f t="shared" si="9"/>
        <v>1.061357616</v>
      </c>
      <c r="M377" s="134">
        <f t="shared" si="10"/>
        <v>1.026503559</v>
      </c>
      <c r="N377" s="134">
        <f t="shared" si="11"/>
        <v>1.005692723</v>
      </c>
      <c r="O377" s="134">
        <f t="shared" si="12"/>
        <v>1.007384676</v>
      </c>
      <c r="P377" s="134">
        <f t="shared" si="13"/>
        <v>1.282348787</v>
      </c>
      <c r="Q377" s="134">
        <f t="shared" si="14"/>
        <v>1.164857011</v>
      </c>
    </row>
    <row r="378" ht="15.0" customHeight="1">
      <c r="A378" s="13">
        <v>339.0</v>
      </c>
      <c r="B378" s="134">
        <f t="shared" ref="B378:D378" si="687">RAND()</f>
        <v>0.263862991</v>
      </c>
      <c r="C378" s="134">
        <f t="shared" si="687"/>
        <v>0.8208849949</v>
      </c>
      <c r="D378" s="134">
        <f t="shared" si="687"/>
        <v>0.7854844311</v>
      </c>
      <c r="F378" s="134">
        <f t="shared" ref="F378:H378" si="688">RAND()</f>
        <v>0.8887997967</v>
      </c>
      <c r="G378" s="134">
        <f t="shared" si="688"/>
        <v>0.5392452732</v>
      </c>
      <c r="H378" s="134">
        <f t="shared" si="688"/>
        <v>0.5209102649</v>
      </c>
      <c r="J378" s="135">
        <f t="shared" si="8"/>
        <v>88869897.96</v>
      </c>
      <c r="K378" s="136">
        <f>IF(J378&gt;0,MIN(99,$B$12*Q378/(J378*12*(1-Inputs!$H$16))),99)</f>
        <v>6.716148983</v>
      </c>
      <c r="L378" s="134">
        <f t="shared" si="9"/>
        <v>0.9472921545</v>
      </c>
      <c r="M378" s="134">
        <f t="shared" si="10"/>
        <v>0.9757826775</v>
      </c>
      <c r="N378" s="134">
        <f t="shared" si="11"/>
        <v>1.036196597</v>
      </c>
      <c r="O378" s="134">
        <f t="shared" si="12"/>
        <v>1.069819108</v>
      </c>
      <c r="P378" s="134">
        <f t="shared" si="13"/>
        <v>1.21729289</v>
      </c>
      <c r="Q378" s="134">
        <f t="shared" si="14"/>
        <v>1.097093101</v>
      </c>
    </row>
    <row r="379" ht="15.0" customHeight="1">
      <c r="A379" s="13">
        <v>340.0</v>
      </c>
      <c r="B379" s="134">
        <f t="shared" ref="B379:D379" si="689">RAND()</f>
        <v>0.5475214959</v>
      </c>
      <c r="C379" s="134">
        <f t="shared" si="689"/>
        <v>0.01489768251</v>
      </c>
      <c r="D379" s="134">
        <f t="shared" si="689"/>
        <v>0.2466285558</v>
      </c>
      <c r="F379" s="134">
        <f t="shared" ref="F379:H379" si="690">RAND()</f>
        <v>0.1208810832</v>
      </c>
      <c r="G379" s="134">
        <f t="shared" si="690"/>
        <v>0.5492395796</v>
      </c>
      <c r="H379" s="134">
        <f t="shared" si="690"/>
        <v>0.7114898843</v>
      </c>
      <c r="J379" s="135">
        <f t="shared" si="8"/>
        <v>166875214.3</v>
      </c>
      <c r="K379" s="136">
        <f>IF(J379&gt;0,MIN(99,$B$12*Q379/(J379*12*(1-Inputs!$H$16))),99)</f>
        <v>3.844371937</v>
      </c>
      <c r="L379" s="134">
        <f t="shared" si="9"/>
        <v>1.025569059</v>
      </c>
      <c r="M379" s="134">
        <f t="shared" si="10"/>
        <v>1.010675532</v>
      </c>
      <c r="N379" s="134">
        <f t="shared" si="11"/>
        <v>0.9866931091</v>
      </c>
      <c r="O379" s="134">
        <f t="shared" si="12"/>
        <v>0.9926173442</v>
      </c>
      <c r="P379" s="134">
        <f t="shared" si="13"/>
        <v>1.224331803</v>
      </c>
      <c r="Q379" s="134">
        <f t="shared" si="14"/>
        <v>1.179195236</v>
      </c>
    </row>
    <row r="380" ht="15.0" customHeight="1">
      <c r="A380" s="13">
        <v>341.0</v>
      </c>
      <c r="B380" s="134">
        <f t="shared" ref="B380:D380" si="691">RAND()</f>
        <v>0.3883319258</v>
      </c>
      <c r="C380" s="134">
        <f t="shared" si="691"/>
        <v>0.1177608275</v>
      </c>
      <c r="D380" s="134">
        <f t="shared" si="691"/>
        <v>0.2841914096</v>
      </c>
      <c r="F380" s="134">
        <f t="shared" ref="F380:H380" si="692">RAND()</f>
        <v>0.3271131444</v>
      </c>
      <c r="G380" s="134">
        <f t="shared" si="692"/>
        <v>0.5870272761</v>
      </c>
      <c r="H380" s="134">
        <f t="shared" si="692"/>
        <v>0.00514330414</v>
      </c>
      <c r="J380" s="135">
        <f t="shared" si="8"/>
        <v>132699707.6</v>
      </c>
      <c r="K380" s="136">
        <f>IF(J380&gt;0,MIN(99,$B$12*Q380/(J380*12*(1-Inputs!$H$16))),99)</f>
        <v>3.606676956</v>
      </c>
      <c r="L380" s="134">
        <f t="shared" si="9"/>
        <v>0.9840151709</v>
      </c>
      <c r="M380" s="134">
        <f t="shared" si="10"/>
        <v>0.992212144</v>
      </c>
      <c r="N380" s="134">
        <f t="shared" si="11"/>
        <v>0.9902013254</v>
      </c>
      <c r="O380" s="134">
        <f t="shared" si="12"/>
        <v>1.008481044</v>
      </c>
      <c r="P380" s="134">
        <f t="shared" si="13"/>
        <v>1.251677749</v>
      </c>
      <c r="Q380" s="134">
        <f t="shared" si="14"/>
        <v>0.879722485</v>
      </c>
    </row>
    <row r="381" ht="15.0" customHeight="1">
      <c r="A381" s="13">
        <v>342.0</v>
      </c>
      <c r="B381" s="134">
        <f t="shared" ref="B381:D381" si="693">RAND()</f>
        <v>0.5795681139</v>
      </c>
      <c r="C381" s="134">
        <f t="shared" si="693"/>
        <v>0.7711428913</v>
      </c>
      <c r="D381" s="134">
        <f t="shared" si="693"/>
        <v>0.2807047773</v>
      </c>
      <c r="F381" s="134">
        <f t="shared" ref="F381:H381" si="694">RAND()</f>
        <v>0.1715361948</v>
      </c>
      <c r="G381" s="134">
        <f t="shared" si="694"/>
        <v>0.2969042032</v>
      </c>
      <c r="H381" s="134">
        <f t="shared" si="694"/>
        <v>0.9913417686</v>
      </c>
      <c r="J381" s="135">
        <f t="shared" si="8"/>
        <v>177999470.9</v>
      </c>
      <c r="K381" s="136">
        <f>IF(J381&gt;0,MIN(99,$B$12*Q381/(J381*12*(1-Inputs!$H$16))),99)</f>
        <v>4.322916664</v>
      </c>
      <c r="L381" s="134">
        <f t="shared" si="9"/>
        <v>1.034564178</v>
      </c>
      <c r="M381" s="134">
        <f t="shared" si="10"/>
        <v>1.014653759</v>
      </c>
      <c r="N381" s="134">
        <f t="shared" si="11"/>
        <v>0.9898858591</v>
      </c>
      <c r="O381" s="134">
        <f t="shared" si="12"/>
        <v>0.9969645122</v>
      </c>
      <c r="P381" s="134">
        <f t="shared" si="13"/>
        <v>1.065413198</v>
      </c>
      <c r="Q381" s="134">
        <f t="shared" si="14"/>
        <v>1.414373322</v>
      </c>
    </row>
    <row r="382" ht="15.0" customHeight="1">
      <c r="A382" s="13">
        <v>343.0</v>
      </c>
      <c r="B382" s="134">
        <f t="shared" ref="B382:D382" si="695">RAND()</f>
        <v>0.4143384065</v>
      </c>
      <c r="C382" s="134">
        <f t="shared" si="695"/>
        <v>0.4846265812</v>
      </c>
      <c r="D382" s="134">
        <f t="shared" si="695"/>
        <v>0.3562746517</v>
      </c>
      <c r="F382" s="134">
        <f t="shared" ref="F382:H382" si="696">RAND()</f>
        <v>0.9187010625</v>
      </c>
      <c r="G382" s="134">
        <f t="shared" si="696"/>
        <v>0.7140298953</v>
      </c>
      <c r="H382" s="134">
        <f t="shared" si="696"/>
        <v>0.2018052726</v>
      </c>
      <c r="J382" s="135">
        <f t="shared" si="8"/>
        <v>121132697.5</v>
      </c>
      <c r="K382" s="136">
        <f>IF(J382&gt;0,MIN(99,$B$12*Q382/(J382*12*(1-Inputs!$H$16))),99)</f>
        <v>4.446662735</v>
      </c>
      <c r="L382" s="134">
        <f t="shared" si="9"/>
        <v>0.9909006038</v>
      </c>
      <c r="M382" s="134">
        <f t="shared" si="10"/>
        <v>0.9952926097</v>
      </c>
      <c r="N382" s="134">
        <f t="shared" si="11"/>
        <v>0.996336208</v>
      </c>
      <c r="O382" s="134">
        <f t="shared" si="12"/>
        <v>1.075909355</v>
      </c>
      <c r="P382" s="134">
        <f t="shared" si="13"/>
        <v>1.354251261</v>
      </c>
      <c r="Q382" s="134">
        <f t="shared" si="14"/>
        <v>0.9900658042</v>
      </c>
    </row>
    <row r="383" ht="15.0" customHeight="1">
      <c r="A383" s="13">
        <v>344.0</v>
      </c>
      <c r="B383" s="134">
        <f t="shared" ref="B383:D383" si="697">RAND()</f>
        <v>0.8945956405</v>
      </c>
      <c r="C383" s="134">
        <f t="shared" si="697"/>
        <v>0.5884195541</v>
      </c>
      <c r="D383" s="134">
        <f t="shared" si="697"/>
        <v>0.618219543</v>
      </c>
      <c r="F383" s="134">
        <f t="shared" ref="F383:H383" si="698">RAND()</f>
        <v>0.4125591806</v>
      </c>
      <c r="G383" s="134">
        <f t="shared" si="698"/>
        <v>0.9544005881</v>
      </c>
      <c r="H383" s="134">
        <f t="shared" si="698"/>
        <v>0.2445569875</v>
      </c>
      <c r="J383" s="135">
        <f t="shared" si="8"/>
        <v>237315121.2</v>
      </c>
      <c r="K383" s="136">
        <f>IF(J383&gt;0,MIN(99,$B$12*Q383/(J383*12*(1-Inputs!$H$16))),99)</f>
        <v>2.300179647</v>
      </c>
      <c r="L383" s="134">
        <f t="shared" si="9"/>
        <v>1.154612711</v>
      </c>
      <c r="M383" s="134">
        <f t="shared" si="10"/>
        <v>1.067747026</v>
      </c>
      <c r="N383" s="134">
        <f t="shared" si="11"/>
        <v>1.018093369</v>
      </c>
      <c r="O383" s="134">
        <f t="shared" si="12"/>
        <v>1.015265858</v>
      </c>
      <c r="P383" s="134">
        <f t="shared" si="13"/>
        <v>1.659706806</v>
      </c>
      <c r="Q383" s="134">
        <f t="shared" si="14"/>
        <v>1.003357379</v>
      </c>
    </row>
    <row r="384" ht="15.0" customHeight="1">
      <c r="A384" s="13">
        <v>345.0</v>
      </c>
      <c r="B384" s="134">
        <f t="shared" ref="B384:D384" si="699">RAND()</f>
        <v>0.143701326</v>
      </c>
      <c r="C384" s="134">
        <f t="shared" si="699"/>
        <v>0.994803793</v>
      </c>
      <c r="D384" s="134">
        <f t="shared" si="699"/>
        <v>0.3715388536</v>
      </c>
      <c r="F384" s="134">
        <f t="shared" ref="F384:H384" si="700">RAND()</f>
        <v>0.6295481344</v>
      </c>
      <c r="G384" s="134">
        <f t="shared" si="700"/>
        <v>0.4406809812</v>
      </c>
      <c r="H384" s="134">
        <f t="shared" si="700"/>
        <v>0.8934783116</v>
      </c>
      <c r="J384" s="135">
        <f t="shared" si="8"/>
        <v>74781114.17</v>
      </c>
      <c r="K384" s="136">
        <f>IF(J384&gt;0,MIN(99,$B$12*Q384/(J384*12*(1-Inputs!$H$16))),99)</f>
        <v>9.390765956</v>
      </c>
      <c r="L384" s="134">
        <f t="shared" si="9"/>
        <v>0.9021471556</v>
      </c>
      <c r="M384" s="134">
        <f t="shared" si="10"/>
        <v>0.9555853103</v>
      </c>
      <c r="N384" s="134">
        <f t="shared" si="11"/>
        <v>0.9975530018</v>
      </c>
      <c r="O384" s="134">
        <f t="shared" si="12"/>
        <v>1.035147761</v>
      </c>
      <c r="P384" s="134">
        <f t="shared" si="13"/>
        <v>1.151596606</v>
      </c>
      <c r="Q384" s="134">
        <f t="shared" si="14"/>
        <v>1.29080735</v>
      </c>
    </row>
    <row r="385" ht="15.0" customHeight="1">
      <c r="A385" s="13">
        <v>346.0</v>
      </c>
      <c r="B385" s="134">
        <f t="shared" ref="B385:D385" si="701">RAND()</f>
        <v>0.06938446599</v>
      </c>
      <c r="C385" s="134">
        <f t="shared" si="701"/>
        <v>0.246085559</v>
      </c>
      <c r="D385" s="134">
        <f t="shared" si="701"/>
        <v>0.1577329093</v>
      </c>
      <c r="F385" s="134">
        <f t="shared" ref="F385:H385" si="702">RAND()</f>
        <v>0.8974820768</v>
      </c>
      <c r="G385" s="134">
        <f t="shared" si="702"/>
        <v>0.8456584405</v>
      </c>
      <c r="H385" s="134">
        <f t="shared" si="702"/>
        <v>0.4593356551</v>
      </c>
      <c r="J385" s="135">
        <f t="shared" si="8"/>
        <v>34708251.02</v>
      </c>
      <c r="K385" s="136">
        <f>IF(J385&gt;0,MIN(99,$B$12*Q385/(J385*12*(1-Inputs!$H$16))),99)</f>
        <v>16.8385159</v>
      </c>
      <c r="L385" s="134">
        <f t="shared" si="9"/>
        <v>0.8633501694</v>
      </c>
      <c r="M385" s="134">
        <f t="shared" si="10"/>
        <v>0.9382279729</v>
      </c>
      <c r="N385" s="134">
        <f t="shared" si="11"/>
        <v>0.9771278387</v>
      </c>
      <c r="O385" s="134">
        <f t="shared" si="12"/>
        <v>1.071492665</v>
      </c>
      <c r="P385" s="134">
        <f t="shared" si="13"/>
        <v>1.489185134</v>
      </c>
      <c r="Q385" s="134">
        <f t="shared" si="14"/>
        <v>1.074249159</v>
      </c>
    </row>
    <row r="386" ht="15.0" customHeight="1">
      <c r="A386" s="13">
        <v>347.0</v>
      </c>
      <c r="B386" s="134">
        <f t="shared" ref="B386:D386" si="703">RAND()</f>
        <v>0.8538317984</v>
      </c>
      <c r="C386" s="134">
        <f t="shared" si="703"/>
        <v>0.5795006673</v>
      </c>
      <c r="D386" s="134">
        <f t="shared" si="703"/>
        <v>0.8131941846</v>
      </c>
      <c r="F386" s="134">
        <f t="shared" ref="F386:H386" si="704">RAND()</f>
        <v>0.9155448372</v>
      </c>
      <c r="G386" s="134">
        <f t="shared" si="704"/>
        <v>0.8985295141</v>
      </c>
      <c r="H386" s="134">
        <f t="shared" si="704"/>
        <v>0.6520061066</v>
      </c>
      <c r="J386" s="135">
        <f t="shared" si="8"/>
        <v>208959760.5</v>
      </c>
      <c r="K386" s="136">
        <f>IF(J386&gt;0,MIN(99,$B$12*Q386/(J386*12*(1-Inputs!$H$16))),99)</f>
        <v>2.997342984</v>
      </c>
      <c r="L386" s="134">
        <f t="shared" si="9"/>
        <v>1.133232134</v>
      </c>
      <c r="M386" s="134">
        <f t="shared" si="10"/>
        <v>1.058291145</v>
      </c>
      <c r="N386" s="134">
        <f t="shared" si="11"/>
        <v>1.039817564</v>
      </c>
      <c r="O386" s="134">
        <f t="shared" si="12"/>
        <v>1.075218648</v>
      </c>
      <c r="P386" s="134">
        <f t="shared" si="13"/>
        <v>1.559856417</v>
      </c>
      <c r="Q386" s="134">
        <f t="shared" si="14"/>
        <v>1.151244543</v>
      </c>
    </row>
    <row r="387" ht="15.0" customHeight="1">
      <c r="A387" s="13">
        <v>348.0</v>
      </c>
      <c r="B387" s="134">
        <f t="shared" ref="B387:D387" si="705">RAND()</f>
        <v>0.6130598769</v>
      </c>
      <c r="C387" s="134">
        <f t="shared" si="705"/>
        <v>0.7625418292</v>
      </c>
      <c r="D387" s="134">
        <f t="shared" si="705"/>
        <v>0.9868300015</v>
      </c>
      <c r="F387" s="134">
        <f t="shared" ref="F387:H387" si="706">RAND()</f>
        <v>0.7344214429</v>
      </c>
      <c r="G387" s="134">
        <f t="shared" si="706"/>
        <v>0.3801606225</v>
      </c>
      <c r="H387" s="134">
        <f t="shared" si="706"/>
        <v>0.9456802462</v>
      </c>
      <c r="J387" s="135">
        <f t="shared" si="8"/>
        <v>155428142.6</v>
      </c>
      <c r="K387" s="136">
        <f>IF(J387&gt;0,MIN(99,$B$12*Q387/(J387*12*(1-Inputs!$H$16))),99)</f>
        <v>4.691145961</v>
      </c>
      <c r="L387" s="134">
        <f t="shared" si="9"/>
        <v>1.044339499</v>
      </c>
      <c r="M387" s="134">
        <f t="shared" si="10"/>
        <v>1.018977041</v>
      </c>
      <c r="N387" s="134">
        <f t="shared" si="11"/>
        <v>1.07695987</v>
      </c>
      <c r="O387" s="134">
        <f t="shared" si="12"/>
        <v>1.04690364</v>
      </c>
      <c r="P387" s="134">
        <f t="shared" si="13"/>
        <v>1.114109068</v>
      </c>
      <c r="Q387" s="134">
        <f t="shared" si="14"/>
        <v>1.340223054</v>
      </c>
    </row>
    <row r="388" ht="15.0" customHeight="1">
      <c r="A388" s="13">
        <v>349.0</v>
      </c>
      <c r="B388" s="134">
        <f t="shared" ref="B388:D388" si="707">RAND()</f>
        <v>0.7414072621</v>
      </c>
      <c r="C388" s="134">
        <f t="shared" si="707"/>
        <v>0.1192429135</v>
      </c>
      <c r="D388" s="134">
        <f t="shared" si="707"/>
        <v>0.9958992119</v>
      </c>
      <c r="F388" s="134">
        <f t="shared" ref="F388:H388" si="708">RAND()</f>
        <v>0.4593275363</v>
      </c>
      <c r="G388" s="134">
        <f t="shared" si="708"/>
        <v>0.1570231935</v>
      </c>
      <c r="H388" s="134">
        <f t="shared" si="708"/>
        <v>0.2709293647</v>
      </c>
      <c r="J388" s="135">
        <f t="shared" si="8"/>
        <v>194094426.9</v>
      </c>
      <c r="K388" s="136">
        <f>IF(J388&gt;0,MIN(99,$B$12*Q388/(J388*12*(1-Inputs!$H$16))),99)</f>
        <v>2.835100831</v>
      </c>
      <c r="L388" s="134">
        <f t="shared" si="9"/>
        <v>1.086435684</v>
      </c>
      <c r="M388" s="134">
        <f t="shared" si="10"/>
        <v>1.037594711</v>
      </c>
      <c r="N388" s="134">
        <f t="shared" si="11"/>
        <v>1.082894596</v>
      </c>
      <c r="O388" s="134">
        <f t="shared" si="12"/>
        <v>1.019189659</v>
      </c>
      <c r="P388" s="134">
        <f t="shared" si="13"/>
        <v>0.9893227433</v>
      </c>
      <c r="Q388" s="134">
        <f t="shared" si="14"/>
        <v>1.011463129</v>
      </c>
    </row>
    <row r="389" ht="15.0" customHeight="1">
      <c r="A389" s="13">
        <v>350.0</v>
      </c>
      <c r="B389" s="134">
        <f t="shared" ref="B389:D389" si="709">RAND()</f>
        <v>0.4265794672</v>
      </c>
      <c r="C389" s="134">
        <f t="shared" si="709"/>
        <v>0.001790366721</v>
      </c>
      <c r="D389" s="134">
        <f t="shared" si="709"/>
        <v>0.7846795184</v>
      </c>
      <c r="F389" s="134">
        <f t="shared" ref="F389:H389" si="710">RAND()</f>
        <v>0.4582247974</v>
      </c>
      <c r="G389" s="134">
        <f t="shared" si="710"/>
        <v>0.4835486897</v>
      </c>
      <c r="H389" s="134">
        <f t="shared" si="710"/>
        <v>0.2192394205</v>
      </c>
      <c r="J389" s="135">
        <f t="shared" si="8"/>
        <v>130959832.6</v>
      </c>
      <c r="K389" s="136">
        <f>IF(J389&gt;0,MIN(99,$B$12*Q389/(J389*12*(1-Inputs!$H$16))),99)</f>
        <v>4.136062361</v>
      </c>
      <c r="L389" s="134">
        <f t="shared" si="9"/>
        <v>0.9940666338</v>
      </c>
      <c r="M389" s="134">
        <f t="shared" si="10"/>
        <v>0.9967090561</v>
      </c>
      <c r="N389" s="134">
        <f t="shared" si="11"/>
        <v>1.036095024</v>
      </c>
      <c r="O389" s="134">
        <f t="shared" si="12"/>
        <v>1.01909523</v>
      </c>
      <c r="P389" s="134">
        <f t="shared" si="13"/>
        <v>1.179392785</v>
      </c>
      <c r="Q389" s="134">
        <f t="shared" si="14"/>
        <v>0.9956201342</v>
      </c>
    </row>
    <row r="390" ht="15.0" customHeight="1">
      <c r="A390" s="13">
        <v>351.0</v>
      </c>
      <c r="B390" s="134">
        <f t="shared" ref="B390:D390" si="711">RAND()</f>
        <v>0.6340715195</v>
      </c>
      <c r="C390" s="134">
        <f t="shared" si="711"/>
        <v>0.9740050781</v>
      </c>
      <c r="D390" s="134">
        <f t="shared" si="711"/>
        <v>0.8116966448</v>
      </c>
      <c r="F390" s="134">
        <f t="shared" ref="F390:H390" si="712">RAND()</f>
        <v>0.743503226</v>
      </c>
      <c r="G390" s="134">
        <f t="shared" si="712"/>
        <v>0.4652429254</v>
      </c>
      <c r="H390" s="134">
        <f t="shared" si="712"/>
        <v>0.7623120572</v>
      </c>
      <c r="J390" s="135">
        <f t="shared" si="8"/>
        <v>166241083.7</v>
      </c>
      <c r="K390" s="136">
        <f>IF(J390&gt;0,MIN(99,$B$12*Q390/(J390*12*(1-Inputs!$H$16))),99)</f>
        <v>3.944996873</v>
      </c>
      <c r="L390" s="134">
        <f t="shared" si="9"/>
        <v>1.050689577</v>
      </c>
      <c r="M390" s="134">
        <f t="shared" si="10"/>
        <v>1.021785458</v>
      </c>
      <c r="N390" s="134">
        <f t="shared" si="11"/>
        <v>1.039615272</v>
      </c>
      <c r="O390" s="134">
        <f t="shared" si="12"/>
        <v>1.048023488</v>
      </c>
      <c r="P390" s="134">
        <f t="shared" si="13"/>
        <v>1.167387063</v>
      </c>
      <c r="Q390" s="134">
        <f t="shared" si="14"/>
        <v>1.205461948</v>
      </c>
    </row>
    <row r="391" ht="15.0" customHeight="1">
      <c r="A391" s="13">
        <v>352.0</v>
      </c>
      <c r="B391" s="134">
        <f t="shared" ref="B391:D391" si="713">RAND()</f>
        <v>0.1456028237</v>
      </c>
      <c r="C391" s="134">
        <f t="shared" si="713"/>
        <v>0.01044816522</v>
      </c>
      <c r="D391" s="134">
        <f t="shared" si="713"/>
        <v>0.1527685029</v>
      </c>
      <c r="F391" s="134">
        <f t="shared" ref="F391:H391" si="714">RAND()</f>
        <v>0.9611921913</v>
      </c>
      <c r="G391" s="134">
        <f t="shared" si="714"/>
        <v>0.9819119066</v>
      </c>
      <c r="H391" s="134">
        <f t="shared" si="714"/>
        <v>0.5806842661</v>
      </c>
      <c r="J391" s="135">
        <f t="shared" si="8"/>
        <v>48728944.35</v>
      </c>
      <c r="K391" s="136">
        <f>IF(J391&gt;0,MIN(99,$B$12*Q391/(J391*12*(1-Inputs!$H$16))),99)</f>
        <v>12.51244698</v>
      </c>
      <c r="L391" s="134">
        <f t="shared" si="9"/>
        <v>0.9029856151</v>
      </c>
      <c r="M391" s="134">
        <f t="shared" si="10"/>
        <v>0.9559604277</v>
      </c>
      <c r="N391" s="134">
        <f t="shared" si="11"/>
        <v>0.97652197</v>
      </c>
      <c r="O391" s="134">
        <f t="shared" si="12"/>
        <v>1.087013624</v>
      </c>
      <c r="P391" s="134">
        <f t="shared" si="13"/>
        <v>1.734875216</v>
      </c>
      <c r="Q391" s="134">
        <f t="shared" si="14"/>
        <v>1.12072158</v>
      </c>
    </row>
    <row r="392" ht="15.0" customHeight="1">
      <c r="A392" s="13">
        <v>353.0</v>
      </c>
      <c r="B392" s="134">
        <f t="shared" ref="B392:D392" si="715">RAND()</f>
        <v>0.2594906728</v>
      </c>
      <c r="C392" s="134">
        <f t="shared" si="715"/>
        <v>0.5217217277</v>
      </c>
      <c r="D392" s="134">
        <f t="shared" si="715"/>
        <v>0.4095350357</v>
      </c>
      <c r="F392" s="134">
        <f t="shared" ref="F392:H392" si="716">RAND()</f>
        <v>0.5701296896</v>
      </c>
      <c r="G392" s="134">
        <f t="shared" si="716"/>
        <v>0.403307047</v>
      </c>
      <c r="H392" s="134">
        <f t="shared" si="716"/>
        <v>0.2906779401</v>
      </c>
      <c r="J392" s="135">
        <f t="shared" si="8"/>
        <v>105313347.2</v>
      </c>
      <c r="K392" s="136">
        <f>IF(J392&gt;0,MIN(99,$B$12*Q392/(J392*12*(1-Inputs!$H$16))),99)</f>
        <v>5.256997495</v>
      </c>
      <c r="L392" s="134">
        <f t="shared" si="9"/>
        <v>0.9458587156</v>
      </c>
      <c r="M392" s="134">
        <f t="shared" si="10"/>
        <v>0.975141373</v>
      </c>
      <c r="N392" s="134">
        <f t="shared" si="11"/>
        <v>1.000480646</v>
      </c>
      <c r="O392" s="134">
        <f t="shared" si="12"/>
        <v>1.029226332</v>
      </c>
      <c r="P392" s="134">
        <f t="shared" si="13"/>
        <v>1.128220468</v>
      </c>
      <c r="Q392" s="134">
        <f t="shared" si="14"/>
        <v>1.017629451</v>
      </c>
    </row>
    <row r="393" ht="15.0" customHeight="1">
      <c r="A393" s="13">
        <v>354.0</v>
      </c>
      <c r="B393" s="134">
        <f t="shared" ref="B393:D393" si="717">RAND()</f>
        <v>0.9305730097</v>
      </c>
      <c r="C393" s="134">
        <f t="shared" si="717"/>
        <v>0.781080829</v>
      </c>
      <c r="D393" s="134">
        <f t="shared" si="717"/>
        <v>0.04643801157</v>
      </c>
      <c r="F393" s="134">
        <f t="shared" ref="F393:H393" si="718">RAND()</f>
        <v>0.2889851751</v>
      </c>
      <c r="G393" s="134">
        <f t="shared" si="718"/>
        <v>0.3500855047</v>
      </c>
      <c r="H393" s="134">
        <f t="shared" si="718"/>
        <v>0.1868834602</v>
      </c>
      <c r="J393" s="135">
        <f t="shared" si="8"/>
        <v>293152170.6</v>
      </c>
      <c r="K393" s="136">
        <f>IF(J393&gt;0,MIN(99,$B$12*Q393/(J393*12*(1-Inputs!$H$16))),99)</f>
        <v>1.828212647</v>
      </c>
      <c r="L393" s="134">
        <f t="shared" si="9"/>
        <v>1.177295286</v>
      </c>
      <c r="M393" s="134">
        <f t="shared" si="10"/>
        <v>1.077778735</v>
      </c>
      <c r="N393" s="134">
        <f t="shared" si="11"/>
        <v>0.9596573005</v>
      </c>
      <c r="O393" s="134">
        <f t="shared" si="12"/>
        <v>1.005593224</v>
      </c>
      <c r="P393" s="134">
        <f t="shared" si="13"/>
        <v>1.096161468</v>
      </c>
      <c r="Q393" s="134">
        <f t="shared" si="14"/>
        <v>0.9851181132</v>
      </c>
    </row>
    <row r="394" ht="15.0" customHeight="1">
      <c r="A394" s="13">
        <v>355.0</v>
      </c>
      <c r="B394" s="134">
        <f t="shared" ref="B394:D394" si="719">RAND()</f>
        <v>0.1778101032</v>
      </c>
      <c r="C394" s="134">
        <f t="shared" si="719"/>
        <v>0.6826379001</v>
      </c>
      <c r="D394" s="134">
        <f t="shared" si="719"/>
        <v>0.3535393449</v>
      </c>
      <c r="F394" s="134">
        <f t="shared" ref="F394:H394" si="720">RAND()</f>
        <v>0.1481063982</v>
      </c>
      <c r="G394" s="134">
        <f t="shared" si="720"/>
        <v>0.9628816076</v>
      </c>
      <c r="H394" s="134">
        <f t="shared" si="720"/>
        <v>0.5950632075</v>
      </c>
      <c r="J394" s="135">
        <f t="shared" si="8"/>
        <v>71256185.49</v>
      </c>
      <c r="K394" s="136">
        <f>IF(J394&gt;0,MIN(99,$B$12*Q394/(J394*12*(1-Inputs!$H$16))),99)</f>
        <v>8.601991066</v>
      </c>
      <c r="L394" s="134">
        <f t="shared" si="9"/>
        <v>0.916434213</v>
      </c>
      <c r="M394" s="134">
        <f t="shared" si="10"/>
        <v>0.9619771799</v>
      </c>
      <c r="N394" s="134">
        <f t="shared" si="11"/>
        <v>0.996115426</v>
      </c>
      <c r="O394" s="134">
        <f t="shared" si="12"/>
        <v>0.995047321</v>
      </c>
      <c r="P394" s="134">
        <f t="shared" si="13"/>
        <v>1.67956089</v>
      </c>
      <c r="Q394" s="134">
        <f t="shared" si="14"/>
        <v>1.126652639</v>
      </c>
    </row>
    <row r="395" ht="15.0" customHeight="1">
      <c r="A395" s="13">
        <v>356.0</v>
      </c>
      <c r="B395" s="134">
        <f t="shared" ref="B395:D395" si="721">RAND()</f>
        <v>0.8139554239</v>
      </c>
      <c r="C395" s="134">
        <f t="shared" si="721"/>
        <v>0.8706034101</v>
      </c>
      <c r="D395" s="134">
        <f t="shared" si="721"/>
        <v>0.6651211582</v>
      </c>
      <c r="F395" s="134">
        <f t="shared" ref="F395:H395" si="722">RAND()</f>
        <v>0.5116287097</v>
      </c>
      <c r="G395" s="134">
        <f t="shared" si="722"/>
        <v>0.1212212304</v>
      </c>
      <c r="H395" s="134">
        <f t="shared" si="722"/>
        <v>0.5463479779</v>
      </c>
      <c r="J395" s="135">
        <f t="shared" si="8"/>
        <v>229998481</v>
      </c>
      <c r="K395" s="136">
        <f>IF(J395&gt;0,MIN(99,$B$12*Q395/(J395*12*(1-Inputs!$H$16))),99)</f>
        <v>2.618408328</v>
      </c>
      <c r="L395" s="134">
        <f t="shared" si="9"/>
        <v>1.115058982</v>
      </c>
      <c r="M395" s="134">
        <f t="shared" si="10"/>
        <v>1.050253795</v>
      </c>
      <c r="N395" s="134">
        <f t="shared" si="11"/>
        <v>1.022679465</v>
      </c>
      <c r="O395" s="134">
        <f t="shared" si="12"/>
        <v>1.023784524</v>
      </c>
      <c r="P395" s="134">
        <f t="shared" si="13"/>
        <v>0.9681278395</v>
      </c>
      <c r="Q395" s="134">
        <f t="shared" si="14"/>
        <v>1.106957183</v>
      </c>
    </row>
    <row r="396" ht="15.0" customHeight="1">
      <c r="A396" s="13">
        <v>357.0</v>
      </c>
      <c r="B396" s="134">
        <f t="shared" ref="B396:D396" si="723">RAND()</f>
        <v>0.8823648058</v>
      </c>
      <c r="C396" s="134">
        <f t="shared" si="723"/>
        <v>0.5413610253</v>
      </c>
      <c r="D396" s="134">
        <f t="shared" si="723"/>
        <v>0.5658161079</v>
      </c>
      <c r="F396" s="134">
        <f t="shared" ref="F396:H396" si="724">RAND()</f>
        <v>0.6476001055</v>
      </c>
      <c r="G396" s="134">
        <f t="shared" si="724"/>
        <v>0.2611732115</v>
      </c>
      <c r="H396" s="134">
        <f t="shared" si="724"/>
        <v>0.4332285942</v>
      </c>
      <c r="J396" s="135">
        <f t="shared" si="8"/>
        <v>252698788.6</v>
      </c>
      <c r="K396" s="136">
        <f>IF(J396&gt;0,MIN(99,$B$12*Q396/(J396*12*(1-Inputs!$H$16))),99)</f>
        <v>2.292772857</v>
      </c>
      <c r="L396" s="134">
        <f t="shared" si="9"/>
        <v>1.147819659</v>
      </c>
      <c r="M396" s="134">
        <f t="shared" si="10"/>
        <v>1.064742696</v>
      </c>
      <c r="N396" s="134">
        <f t="shared" si="11"/>
        <v>1.013291313</v>
      </c>
      <c r="O396" s="134">
        <f t="shared" si="12"/>
        <v>1.037039546</v>
      </c>
      <c r="P396" s="134">
        <f t="shared" si="13"/>
        <v>1.045403718</v>
      </c>
      <c r="Q396" s="134">
        <f t="shared" si="14"/>
        <v>1.064958472</v>
      </c>
    </row>
    <row r="397" ht="15.0" customHeight="1">
      <c r="A397" s="13">
        <v>358.0</v>
      </c>
      <c r="B397" s="134">
        <f t="shared" ref="B397:D397" si="725">RAND()</f>
        <v>0.5366355525</v>
      </c>
      <c r="C397" s="134">
        <f t="shared" si="725"/>
        <v>0.4871002746</v>
      </c>
      <c r="D397" s="134">
        <f t="shared" si="725"/>
        <v>0.2219621279</v>
      </c>
      <c r="F397" s="134">
        <f t="shared" ref="F397:H397" si="726">RAND()</f>
        <v>0.3360896565</v>
      </c>
      <c r="G397" s="134">
        <f t="shared" si="726"/>
        <v>0.6208930781</v>
      </c>
      <c r="H397" s="134">
        <f t="shared" si="726"/>
        <v>0.1624659247</v>
      </c>
      <c r="J397" s="135">
        <f t="shared" si="8"/>
        <v>160487448.4</v>
      </c>
      <c r="K397" s="136">
        <f>IF(J397&gt;0,MIN(99,$B$12*Q397/(J397*12*(1-Inputs!$H$16))),99)</f>
        <v>3.310517174</v>
      </c>
      <c r="L397" s="134">
        <f t="shared" si="9"/>
        <v>1.022586428</v>
      </c>
      <c r="M397" s="134">
        <f t="shared" si="10"/>
        <v>1.009356418</v>
      </c>
      <c r="N397" s="134">
        <f t="shared" si="11"/>
        <v>0.9842418508</v>
      </c>
      <c r="O397" s="134">
        <f t="shared" si="12"/>
        <v>1.009172739</v>
      </c>
      <c r="P397" s="134">
        <f t="shared" si="13"/>
        <v>1.277269771</v>
      </c>
      <c r="Q397" s="134">
        <f t="shared" si="14"/>
        <v>0.9765745421</v>
      </c>
    </row>
    <row r="398" ht="15.0" customHeight="1">
      <c r="A398" s="13">
        <v>359.0</v>
      </c>
      <c r="B398" s="134">
        <f t="shared" ref="B398:D398" si="727">RAND()</f>
        <v>0.3522469937</v>
      </c>
      <c r="C398" s="134">
        <f t="shared" si="727"/>
        <v>0.1498552126</v>
      </c>
      <c r="D398" s="134">
        <f t="shared" si="727"/>
        <v>0.664210582</v>
      </c>
      <c r="F398" s="134">
        <f t="shared" ref="F398:H398" si="728">RAND()</f>
        <v>0.8991368037</v>
      </c>
      <c r="G398" s="134">
        <f t="shared" si="728"/>
        <v>0.9857898799</v>
      </c>
      <c r="H398" s="134">
        <f t="shared" si="728"/>
        <v>0.7302091237</v>
      </c>
      <c r="J398" s="135">
        <f t="shared" si="8"/>
        <v>89549990.99</v>
      </c>
      <c r="K398" s="136">
        <f>IF(J398&gt;0,MIN(99,$B$12*Q398/(J398*12*(1-Inputs!$H$16))),99)</f>
        <v>7.220939141</v>
      </c>
      <c r="L398" s="134">
        <f t="shared" si="9"/>
        <v>0.9740672921</v>
      </c>
      <c r="M398" s="134">
        <f t="shared" si="10"/>
        <v>0.9877615744</v>
      </c>
      <c r="N398" s="134">
        <f t="shared" si="11"/>
        <v>1.022587475</v>
      </c>
      <c r="O398" s="134">
        <f t="shared" si="12"/>
        <v>1.071819564</v>
      </c>
      <c r="P398" s="134">
        <f t="shared" si="13"/>
        <v>1.749410744</v>
      </c>
      <c r="Q398" s="134">
        <f t="shared" si="14"/>
        <v>1.188578069</v>
      </c>
    </row>
    <row r="399" ht="15.0" customHeight="1">
      <c r="A399" s="13">
        <v>360.0</v>
      </c>
      <c r="B399" s="134">
        <f t="shared" ref="B399:D399" si="729">RAND()</f>
        <v>0.1778865926</v>
      </c>
      <c r="C399" s="134">
        <f t="shared" si="729"/>
        <v>0.381656365</v>
      </c>
      <c r="D399" s="134">
        <f t="shared" si="729"/>
        <v>0.8531909952</v>
      </c>
      <c r="F399" s="134">
        <f t="shared" ref="F399:H399" si="730">RAND()</f>
        <v>0.8486896619</v>
      </c>
      <c r="G399" s="134">
        <f t="shared" si="730"/>
        <v>0.0584823578</v>
      </c>
      <c r="H399" s="134">
        <f t="shared" si="730"/>
        <v>0.8308582078</v>
      </c>
      <c r="J399" s="135">
        <f t="shared" si="8"/>
        <v>78857443.68</v>
      </c>
      <c r="K399" s="136">
        <f>IF(J399&gt;0,MIN(99,$B$12*Q399/(J399*12*(1-Inputs!$H$16))),99)</f>
        <v>8.595172516</v>
      </c>
      <c r="L399" s="134">
        <f t="shared" si="9"/>
        <v>0.9164646305</v>
      </c>
      <c r="M399" s="134">
        <f t="shared" si="10"/>
        <v>0.9619907883</v>
      </c>
      <c r="N399" s="134">
        <f t="shared" si="11"/>
        <v>1.045556959</v>
      </c>
      <c r="O399" s="134">
        <f t="shared" si="12"/>
        <v>1.062823955</v>
      </c>
      <c r="P399" s="134">
        <f t="shared" si="13"/>
        <v>0.921264484</v>
      </c>
      <c r="Q399" s="134">
        <f t="shared" si="14"/>
        <v>1.245850049</v>
      </c>
    </row>
    <row r="400" ht="15.0" customHeight="1">
      <c r="A400" s="13">
        <v>361.0</v>
      </c>
      <c r="B400" s="134">
        <f t="shared" ref="B400:D400" si="731">RAND()</f>
        <v>0.8125068544</v>
      </c>
      <c r="C400" s="134">
        <f t="shared" si="731"/>
        <v>0.02894857394</v>
      </c>
      <c r="D400" s="134">
        <f t="shared" si="731"/>
        <v>0.09254493036</v>
      </c>
      <c r="F400" s="134">
        <f t="shared" ref="F400:H400" si="732">RAND()</f>
        <v>0.4455132681</v>
      </c>
      <c r="G400" s="134">
        <f t="shared" si="732"/>
        <v>0.3324102579</v>
      </c>
      <c r="H400" s="134">
        <f t="shared" si="732"/>
        <v>0.3025932924</v>
      </c>
      <c r="J400" s="135">
        <f t="shared" si="8"/>
        <v>239106039.8</v>
      </c>
      <c r="K400" s="136">
        <f>IF(J400&gt;0,MIN(99,$B$12*Q400/(J400*12*(1-Inputs!$H$16))),99)</f>
        <v>2.323984419</v>
      </c>
      <c r="L400" s="134">
        <f t="shared" si="9"/>
        <v>1.114437528</v>
      </c>
      <c r="M400" s="134">
        <f t="shared" si="10"/>
        <v>1.049978947</v>
      </c>
      <c r="N400" s="134">
        <f t="shared" si="11"/>
        <v>0.9681893186</v>
      </c>
      <c r="O400" s="134">
        <f t="shared" si="12"/>
        <v>1.018013582</v>
      </c>
      <c r="P400" s="134">
        <f t="shared" si="13"/>
        <v>1.085807004</v>
      </c>
      <c r="Q400" s="134">
        <f t="shared" si="14"/>
        <v>1.021391501</v>
      </c>
    </row>
    <row r="401" ht="15.0" customHeight="1">
      <c r="A401" s="13">
        <v>362.0</v>
      </c>
      <c r="B401" s="134">
        <f t="shared" ref="B401:D401" si="733">RAND()</f>
        <v>0.2211210652</v>
      </c>
      <c r="C401" s="134">
        <f t="shared" si="733"/>
        <v>0.3712056528</v>
      </c>
      <c r="D401" s="134">
        <f t="shared" si="733"/>
        <v>0.5842789093</v>
      </c>
      <c r="F401" s="134">
        <f t="shared" ref="F401:H401" si="734">RAND()</f>
        <v>0.6151226203</v>
      </c>
      <c r="G401" s="134">
        <f t="shared" si="734"/>
        <v>0.04658393315</v>
      </c>
      <c r="H401" s="134">
        <f t="shared" si="734"/>
        <v>0.3492952264</v>
      </c>
      <c r="J401" s="135">
        <f t="shared" si="8"/>
        <v>101018632.5</v>
      </c>
      <c r="K401" s="136">
        <f>IF(J401&gt;0,MIN(99,$B$12*Q401/(J401*12*(1-Inputs!$H$16))),99)</f>
        <v>5.581885498</v>
      </c>
      <c r="L401" s="134">
        <f t="shared" si="9"/>
        <v>0.932721653</v>
      </c>
      <c r="M401" s="134">
        <f t="shared" si="10"/>
        <v>0.9692639983</v>
      </c>
      <c r="N401" s="134">
        <f t="shared" si="11"/>
        <v>1.014948291</v>
      </c>
      <c r="O401" s="134">
        <f t="shared" si="12"/>
        <v>1.033668923</v>
      </c>
      <c r="P401" s="134">
        <f t="shared" si="13"/>
        <v>0.9098069597</v>
      </c>
      <c r="Q401" s="134">
        <f t="shared" si="14"/>
        <v>1.036456047</v>
      </c>
    </row>
    <row r="402" ht="15.0" customHeight="1">
      <c r="A402" s="13">
        <v>363.0</v>
      </c>
      <c r="B402" s="134">
        <f t="shared" ref="B402:D402" si="735">RAND()</f>
        <v>0.7024557623</v>
      </c>
      <c r="C402" s="134">
        <f t="shared" si="735"/>
        <v>0.1748074152</v>
      </c>
      <c r="D402" s="134">
        <f t="shared" si="735"/>
        <v>0.4145657206</v>
      </c>
      <c r="F402" s="134">
        <f t="shared" ref="F402:H402" si="736">RAND()</f>
        <v>0.453818212</v>
      </c>
      <c r="G402" s="134">
        <f t="shared" si="736"/>
        <v>0.4624031229</v>
      </c>
      <c r="H402" s="134">
        <f t="shared" si="736"/>
        <v>0.9018142789</v>
      </c>
      <c r="J402" s="135">
        <f t="shared" si="8"/>
        <v>196361113.1</v>
      </c>
      <c r="K402" s="136">
        <f>IF(J402&gt;0,MIN(99,$B$12*Q402/(J402*12*(1-Inputs!$H$16))),99)</f>
        <v>3.595448389</v>
      </c>
      <c r="L402" s="134">
        <f t="shared" si="9"/>
        <v>1.072732028</v>
      </c>
      <c r="M402" s="134">
        <f t="shared" si="10"/>
        <v>1.031534063</v>
      </c>
      <c r="N402" s="134">
        <f t="shared" si="11"/>
        <v>1.000864461</v>
      </c>
      <c r="O402" s="134">
        <f t="shared" si="12"/>
        <v>1.018718843</v>
      </c>
      <c r="P402" s="134">
        <f t="shared" si="13"/>
        <v>1.165543119</v>
      </c>
      <c r="Q402" s="134">
        <f t="shared" si="14"/>
        <v>1.29770813</v>
      </c>
    </row>
    <row r="403" ht="15.0" customHeight="1">
      <c r="A403" s="13">
        <v>364.0</v>
      </c>
      <c r="B403" s="134">
        <f t="shared" ref="B403:D403" si="737">RAND()</f>
        <v>0.8065004657</v>
      </c>
      <c r="C403" s="134">
        <f t="shared" si="737"/>
        <v>0.1921557317</v>
      </c>
      <c r="D403" s="134">
        <f t="shared" si="737"/>
        <v>0.1741688993</v>
      </c>
      <c r="F403" s="134">
        <f t="shared" ref="F403:H403" si="738">RAND()</f>
        <v>0.5662598705</v>
      </c>
      <c r="G403" s="134">
        <f t="shared" si="738"/>
        <v>0.3813555284</v>
      </c>
      <c r="H403" s="134">
        <f t="shared" si="738"/>
        <v>0.9881878187</v>
      </c>
      <c r="J403" s="135">
        <f t="shared" si="8"/>
        <v>231606538.3</v>
      </c>
      <c r="K403" s="136">
        <f>IF(J403&gt;0,MIN(99,$B$12*Q403/(J403*12*(1-Inputs!$H$16))),99)</f>
        <v>3.302896498</v>
      </c>
      <c r="L403" s="134">
        <f t="shared" si="9"/>
        <v>1.111885973</v>
      </c>
      <c r="M403" s="134">
        <f t="shared" si="10"/>
        <v>1.048850484</v>
      </c>
      <c r="N403" s="134">
        <f t="shared" si="11"/>
        <v>0.9790685162</v>
      </c>
      <c r="O403" s="134">
        <f t="shared" si="12"/>
        <v>1.028855335</v>
      </c>
      <c r="P403" s="134">
        <f t="shared" si="13"/>
        <v>1.114831034</v>
      </c>
      <c r="Q403" s="134">
        <f t="shared" si="14"/>
        <v>1.406093696</v>
      </c>
    </row>
    <row r="404" ht="15.0" customHeight="1">
      <c r="A404" s="13">
        <v>365.0</v>
      </c>
      <c r="B404" s="134">
        <f t="shared" ref="B404:D404" si="739">RAND()</f>
        <v>0.9644836368</v>
      </c>
      <c r="C404" s="134">
        <f t="shared" si="739"/>
        <v>0.9274946913</v>
      </c>
      <c r="D404" s="134">
        <f t="shared" si="739"/>
        <v>0.02283625309</v>
      </c>
      <c r="F404" s="134">
        <f t="shared" ref="F404:H404" si="740">RAND()</f>
        <v>0.09483233884</v>
      </c>
      <c r="G404" s="134">
        <f t="shared" si="740"/>
        <v>0.7181138139</v>
      </c>
      <c r="H404" s="134">
        <f t="shared" si="740"/>
        <v>0.5315312855</v>
      </c>
      <c r="J404" s="135">
        <f t="shared" si="8"/>
        <v>310457963.1</v>
      </c>
      <c r="K404" s="136">
        <f>IF(J404&gt;0,MIN(99,$B$12*Q404/(J404*12*(1-Inputs!$H$16))),99)</f>
        <v>1.929685977</v>
      </c>
      <c r="L404" s="134">
        <f t="shared" si="9"/>
        <v>1.205117957</v>
      </c>
      <c r="M404" s="134">
        <f t="shared" si="10"/>
        <v>1.09008373</v>
      </c>
      <c r="N404" s="134">
        <f t="shared" si="11"/>
        <v>0.9534659935</v>
      </c>
      <c r="O404" s="134">
        <f t="shared" si="12"/>
        <v>0.990019691</v>
      </c>
      <c r="P404" s="134">
        <f t="shared" si="13"/>
        <v>1.35789535</v>
      </c>
      <c r="Q404" s="134">
        <f t="shared" si="14"/>
        <v>1.101179013</v>
      </c>
    </row>
    <row r="405" ht="15.0" customHeight="1">
      <c r="A405" s="13">
        <v>366.0</v>
      </c>
      <c r="B405" s="134">
        <f t="shared" ref="B405:D405" si="741">RAND()</f>
        <v>0.2476833846</v>
      </c>
      <c r="C405" s="134">
        <f t="shared" si="741"/>
        <v>0.901427362</v>
      </c>
      <c r="D405" s="134">
        <f t="shared" si="741"/>
        <v>0.8820559442</v>
      </c>
      <c r="F405" s="134">
        <f t="shared" ref="F405:H405" si="742">RAND()</f>
        <v>0.5430280995</v>
      </c>
      <c r="G405" s="134">
        <f t="shared" si="742"/>
        <v>0.0993844233</v>
      </c>
      <c r="H405" s="134">
        <f t="shared" si="742"/>
        <v>0.5054909927</v>
      </c>
      <c r="J405" s="135">
        <f t="shared" si="8"/>
        <v>99583379.17</v>
      </c>
      <c r="K405" s="136">
        <f>IF(J405&gt;0,MIN(99,$B$12*Q405/(J405*12*(1-Inputs!$H$16))),99)</f>
        <v>5.961634735</v>
      </c>
      <c r="L405" s="134">
        <f t="shared" si="9"/>
        <v>0.9419262735</v>
      </c>
      <c r="M405" s="134">
        <f t="shared" si="10"/>
        <v>0.9733820424</v>
      </c>
      <c r="N405" s="134">
        <f t="shared" si="11"/>
        <v>1.050205079</v>
      </c>
      <c r="O405" s="134">
        <f t="shared" si="12"/>
        <v>1.026662083</v>
      </c>
      <c r="P405" s="134">
        <f t="shared" si="13"/>
        <v>0.9536218244</v>
      </c>
      <c r="Q405" s="134">
        <f t="shared" si="14"/>
        <v>1.091241073</v>
      </c>
    </row>
    <row r="406" ht="15.0" customHeight="1">
      <c r="A406" s="13">
        <v>367.0</v>
      </c>
      <c r="B406" s="134">
        <f t="shared" ref="B406:D406" si="743">RAND()</f>
        <v>0.1053447205</v>
      </c>
      <c r="C406" s="134">
        <f t="shared" si="743"/>
        <v>0.5440232243</v>
      </c>
      <c r="D406" s="134">
        <f t="shared" si="743"/>
        <v>0.2854818228</v>
      </c>
      <c r="F406" s="134">
        <f t="shared" ref="F406:H406" si="744">RAND()</f>
        <v>0.1957505933</v>
      </c>
      <c r="G406" s="134">
        <f t="shared" si="744"/>
        <v>0.5998348849</v>
      </c>
      <c r="H406" s="134">
        <f t="shared" si="744"/>
        <v>0.4687318753</v>
      </c>
      <c r="J406" s="135">
        <f t="shared" si="8"/>
        <v>66168300.55</v>
      </c>
      <c r="K406" s="136">
        <f>IF(J406&gt;0,MIN(99,$B$12*Q406/(J406*12*(1-Inputs!$H$16))),99)</f>
        <v>8.860502341</v>
      </c>
      <c r="L406" s="134">
        <f t="shared" si="9"/>
        <v>0.8838635892</v>
      </c>
      <c r="M406" s="134">
        <f t="shared" si="10"/>
        <v>0.9474054474</v>
      </c>
      <c r="N406" s="134">
        <f t="shared" si="11"/>
        <v>0.9903175894</v>
      </c>
      <c r="O406" s="134">
        <f t="shared" si="12"/>
        <v>0.9988126926</v>
      </c>
      <c r="P406" s="134">
        <f t="shared" si="13"/>
        <v>1.261228286</v>
      </c>
      <c r="Q406" s="134">
        <f t="shared" si="14"/>
        <v>1.0776477</v>
      </c>
    </row>
    <row r="407" ht="15.0" customHeight="1">
      <c r="A407" s="13">
        <v>368.0</v>
      </c>
      <c r="B407" s="134">
        <f t="shared" ref="B407:D407" si="745">RAND()</f>
        <v>0.7704585825</v>
      </c>
      <c r="C407" s="134">
        <f t="shared" si="745"/>
        <v>0.350969235</v>
      </c>
      <c r="D407" s="134">
        <f t="shared" si="745"/>
        <v>0.7051920222</v>
      </c>
      <c r="F407" s="134">
        <f t="shared" ref="F407:H407" si="746">RAND()</f>
        <v>0.8378526794</v>
      </c>
      <c r="G407" s="134">
        <f t="shared" si="746"/>
        <v>0.01668133331</v>
      </c>
      <c r="H407" s="134">
        <f t="shared" si="746"/>
        <v>0.1713507812</v>
      </c>
      <c r="J407" s="135">
        <f t="shared" si="8"/>
        <v>212886455.4</v>
      </c>
      <c r="K407" s="136">
        <f>IF(J407&gt;0,MIN(99,$B$12*Q407/(J407*12*(1-Inputs!$H$16))),99)</f>
        <v>2.503803001</v>
      </c>
      <c r="L407" s="134">
        <f t="shared" si="9"/>
        <v>1.097343182</v>
      </c>
      <c r="M407" s="134">
        <f t="shared" si="10"/>
        <v>1.042418716</v>
      </c>
      <c r="N407" s="134">
        <f t="shared" si="11"/>
        <v>1.026859361</v>
      </c>
      <c r="O407" s="134">
        <f t="shared" si="12"/>
        <v>1.061099222</v>
      </c>
      <c r="P407" s="134">
        <f t="shared" si="13"/>
        <v>0.8716079867</v>
      </c>
      <c r="Q407" s="134">
        <f t="shared" si="14"/>
        <v>0.9797531486</v>
      </c>
    </row>
    <row r="408" ht="15.0" customHeight="1">
      <c r="A408" s="13">
        <v>369.0</v>
      </c>
      <c r="B408" s="134">
        <f t="shared" ref="B408:D408" si="747">RAND()</f>
        <v>0.9249848514</v>
      </c>
      <c r="C408" s="134">
        <f t="shared" si="747"/>
        <v>0.9267179282</v>
      </c>
      <c r="D408" s="134">
        <f t="shared" si="747"/>
        <v>0.3180052187</v>
      </c>
      <c r="F408" s="134">
        <f t="shared" ref="F408:H408" si="748">RAND()</f>
        <v>0.0830123731</v>
      </c>
      <c r="G408" s="134">
        <f t="shared" si="748"/>
        <v>0.956480032</v>
      </c>
      <c r="H408" s="134">
        <f t="shared" si="748"/>
        <v>0.5939706278</v>
      </c>
      <c r="J408" s="135">
        <f t="shared" si="8"/>
        <v>262890879.7</v>
      </c>
      <c r="K408" s="136">
        <f>IF(J408&gt;0,MIN(99,$B$12*Q408/(J408*12*(1-Inputs!$H$16))),99)</f>
        <v>2.330616787</v>
      </c>
      <c r="L408" s="134">
        <f t="shared" si="9"/>
        <v>1.173439265</v>
      </c>
      <c r="M408" s="134">
        <f t="shared" si="10"/>
        <v>1.076073352</v>
      </c>
      <c r="N408" s="134">
        <f t="shared" si="11"/>
        <v>0.9931656473</v>
      </c>
      <c r="O408" s="134">
        <f t="shared" si="12"/>
        <v>0.9887231898</v>
      </c>
      <c r="P408" s="134">
        <f t="shared" si="13"/>
        <v>1.664390829</v>
      </c>
      <c r="Q408" s="134">
        <f t="shared" si="14"/>
        <v>1.12619831</v>
      </c>
    </row>
    <row r="409" ht="15.0" customHeight="1">
      <c r="A409" s="13">
        <v>370.0</v>
      </c>
      <c r="B409" s="134">
        <f t="shared" ref="B409:D409" si="749">RAND()</f>
        <v>0.3432758605</v>
      </c>
      <c r="C409" s="134">
        <f t="shared" si="749"/>
        <v>0.653810445</v>
      </c>
      <c r="D409" s="134">
        <f t="shared" si="749"/>
        <v>0.5235548524</v>
      </c>
      <c r="F409" s="134">
        <f t="shared" ref="F409:H409" si="750">RAND()</f>
        <v>0.4685082007</v>
      </c>
      <c r="G409" s="134">
        <f t="shared" si="750"/>
        <v>0.8803738023</v>
      </c>
      <c r="H409" s="134">
        <f t="shared" si="750"/>
        <v>0.735021838</v>
      </c>
      <c r="J409" s="135">
        <f t="shared" si="8"/>
        <v>107288664</v>
      </c>
      <c r="K409" s="136">
        <f>IF(J409&gt;0,MIN(99,$B$12*Q409/(J409*12*(1-Inputs!$H$16))),99)</f>
        <v>6.039555383</v>
      </c>
      <c r="L409" s="134">
        <f t="shared" si="9"/>
        <v>0.97151599</v>
      </c>
      <c r="M409" s="134">
        <f t="shared" si="10"/>
        <v>0.9866201504</v>
      </c>
      <c r="N409" s="134">
        <f t="shared" si="11"/>
        <v>1.009626367</v>
      </c>
      <c r="O409" s="134">
        <f t="shared" si="12"/>
        <v>1.019979583</v>
      </c>
      <c r="P409" s="134">
        <f t="shared" si="13"/>
        <v>1.533871729</v>
      </c>
      <c r="Q409" s="134">
        <f t="shared" si="14"/>
        <v>1.191042577</v>
      </c>
    </row>
    <row r="410" ht="15.0" customHeight="1">
      <c r="A410" s="13">
        <v>371.0</v>
      </c>
      <c r="B410" s="134">
        <f t="shared" ref="B410:D410" si="751">RAND()</f>
        <v>0.9962806561</v>
      </c>
      <c r="C410" s="134">
        <f t="shared" si="751"/>
        <v>0.6433121066</v>
      </c>
      <c r="D410" s="134">
        <f t="shared" si="751"/>
        <v>0.390942228</v>
      </c>
      <c r="F410" s="134">
        <f t="shared" ref="F410:H410" si="752">RAND()</f>
        <v>0.134142483</v>
      </c>
      <c r="G410" s="134">
        <f t="shared" si="752"/>
        <v>0.8632851976</v>
      </c>
      <c r="H410" s="134">
        <f t="shared" si="752"/>
        <v>0.717279317</v>
      </c>
      <c r="J410" s="135">
        <f t="shared" si="8"/>
        <v>331866168.6</v>
      </c>
      <c r="K410" s="136">
        <f>IF(J410&gt;0,MIN(99,$B$12*Q410/(J410*12*(1-Inputs!$H$16))),99)</f>
        <v>1.937802139</v>
      </c>
      <c r="L410" s="134">
        <f t="shared" si="9"/>
        <v>1.252385629</v>
      </c>
      <c r="M410" s="134">
        <f t="shared" si="10"/>
        <v>1.110988568</v>
      </c>
      <c r="N410" s="134">
        <f t="shared" si="11"/>
        <v>0.9990642192</v>
      </c>
      <c r="O410" s="134">
        <f t="shared" si="12"/>
        <v>0.9938318039</v>
      </c>
      <c r="P410" s="134">
        <f t="shared" si="13"/>
        <v>1.51116432</v>
      </c>
      <c r="Q410" s="134">
        <f t="shared" si="14"/>
        <v>1.182063735</v>
      </c>
    </row>
    <row r="411" ht="15.0" customHeight="1">
      <c r="A411" s="13">
        <v>372.0</v>
      </c>
      <c r="B411" s="134">
        <f t="shared" ref="B411:D411" si="753">RAND()</f>
        <v>0.2819160018</v>
      </c>
      <c r="C411" s="134">
        <f t="shared" si="753"/>
        <v>0.7149598797</v>
      </c>
      <c r="D411" s="134">
        <f t="shared" si="753"/>
        <v>0.3511088913</v>
      </c>
      <c r="F411" s="134">
        <f t="shared" ref="F411:H411" si="754">RAND()</f>
        <v>0.558375082</v>
      </c>
      <c r="G411" s="134">
        <f t="shared" si="754"/>
        <v>0.04171953619</v>
      </c>
      <c r="H411" s="134">
        <f t="shared" si="754"/>
        <v>0.4501508954</v>
      </c>
      <c r="J411" s="135">
        <f t="shared" si="8"/>
        <v>119819583.5</v>
      </c>
      <c r="K411" s="136">
        <f>IF(J411&gt;0,MIN(99,$B$12*Q411/(J411*12*(1-Inputs!$H$16))),99)</f>
        <v>4.86267394</v>
      </c>
      <c r="L411" s="134">
        <f t="shared" si="9"/>
        <v>0.9530886021</v>
      </c>
      <c r="M411" s="134">
        <f t="shared" si="10"/>
        <v>0.9783759433</v>
      </c>
      <c r="N411" s="134">
        <f t="shared" si="11"/>
        <v>0.9959185328</v>
      </c>
      <c r="O411" s="134">
        <f t="shared" si="12"/>
        <v>1.028104511</v>
      </c>
      <c r="P411" s="134">
        <f t="shared" si="13"/>
        <v>0.904703808</v>
      </c>
      <c r="Q411" s="134">
        <f t="shared" si="14"/>
        <v>1.070955527</v>
      </c>
    </row>
    <row r="412" ht="15.0" customHeight="1">
      <c r="A412" s="13">
        <v>373.0</v>
      </c>
      <c r="B412" s="134">
        <f t="shared" ref="B412:D412" si="755">RAND()</f>
        <v>0.5697633546</v>
      </c>
      <c r="C412" s="134">
        <f t="shared" si="755"/>
        <v>0.1077504472</v>
      </c>
      <c r="D412" s="134">
        <f t="shared" si="755"/>
        <v>0.7491443609</v>
      </c>
      <c r="F412" s="134">
        <f t="shared" ref="F412:H412" si="756">RAND()</f>
        <v>0.2456183064</v>
      </c>
      <c r="G412" s="134">
        <f t="shared" si="756"/>
        <v>0.1616957142</v>
      </c>
      <c r="H412" s="134">
        <f t="shared" si="756"/>
        <v>0.7924643813</v>
      </c>
      <c r="J412" s="135">
        <f t="shared" si="8"/>
        <v>168530757.8</v>
      </c>
      <c r="K412" s="136">
        <f>IF(J412&gt;0,MIN(99,$B$12*Q412/(J412*12*(1-Inputs!$H$16))),99)</f>
        <v>3.946057622</v>
      </c>
      <c r="L412" s="134">
        <f t="shared" si="9"/>
        <v>1.031776772</v>
      </c>
      <c r="M412" s="134">
        <f t="shared" si="10"/>
        <v>1.013420986</v>
      </c>
      <c r="N412" s="134">
        <f t="shared" si="11"/>
        <v>1.031786007</v>
      </c>
      <c r="O412" s="134">
        <f t="shared" si="12"/>
        <v>1.002401201</v>
      </c>
      <c r="P412" s="134">
        <f t="shared" si="13"/>
        <v>0.9919019873</v>
      </c>
      <c r="Q412" s="134">
        <f t="shared" si="14"/>
        <v>1.222393629</v>
      </c>
    </row>
    <row r="413" ht="15.0" customHeight="1">
      <c r="A413" s="13">
        <v>374.0</v>
      </c>
      <c r="B413" s="134">
        <f t="shared" ref="B413:D413" si="757">RAND()</f>
        <v>0.531523527</v>
      </c>
      <c r="C413" s="134">
        <f t="shared" si="757"/>
        <v>0.1402420897</v>
      </c>
      <c r="D413" s="134">
        <f t="shared" si="757"/>
        <v>0.6675907389</v>
      </c>
      <c r="F413" s="134">
        <f t="shared" ref="F413:H413" si="758">RAND()</f>
        <v>0.02135418741</v>
      </c>
      <c r="G413" s="134">
        <f t="shared" si="758"/>
        <v>0.9489881712</v>
      </c>
      <c r="H413" s="134">
        <f t="shared" si="758"/>
        <v>0.7457465373</v>
      </c>
      <c r="J413" s="135">
        <f t="shared" si="8"/>
        <v>141937975</v>
      </c>
      <c r="K413" s="136">
        <f>IF(J413&gt;0,MIN(99,$B$12*Q413/(J413*12*(1-Inputs!$H$16))),99)</f>
        <v>4.586567971</v>
      </c>
      <c r="L413" s="134">
        <f t="shared" si="9"/>
        <v>1.021197882</v>
      </c>
      <c r="M413" s="134">
        <f t="shared" si="10"/>
        <v>1.008742313</v>
      </c>
      <c r="N413" s="134">
        <f t="shared" si="11"/>
        <v>1.022929584</v>
      </c>
      <c r="O413" s="134">
        <f t="shared" si="12"/>
        <v>0.9794398662</v>
      </c>
      <c r="P413" s="134">
        <f t="shared" si="13"/>
        <v>1.647993584</v>
      </c>
      <c r="Q413" s="134">
        <f t="shared" si="14"/>
        <v>1.196616316</v>
      </c>
    </row>
    <row r="414" ht="15.0" customHeight="1">
      <c r="A414" s="13">
        <v>375.0</v>
      </c>
      <c r="B414" s="134">
        <f t="shared" ref="B414:D414" si="759">RAND()</f>
        <v>0.4933576835</v>
      </c>
      <c r="C414" s="134">
        <f t="shared" si="759"/>
        <v>0.8055077216</v>
      </c>
      <c r="D414" s="134">
        <f t="shared" si="759"/>
        <v>0.872813797</v>
      </c>
      <c r="F414" s="134">
        <f t="shared" ref="F414:H414" si="760">RAND()</f>
        <v>0.05824447443</v>
      </c>
      <c r="G414" s="134">
        <f t="shared" si="760"/>
        <v>0.7918149963</v>
      </c>
      <c r="H414" s="134">
        <f t="shared" si="760"/>
        <v>0.7291003113</v>
      </c>
      <c r="J414" s="135">
        <f t="shared" si="8"/>
        <v>136347100.8</v>
      </c>
      <c r="K414" s="136">
        <f>IF(J414&gt;0,MIN(99,$B$12*Q414/(J414*12*(1-Inputs!$H$16))),99)</f>
        <v>4.740312202</v>
      </c>
      <c r="L414" s="134">
        <f t="shared" si="9"/>
        <v>1.011061904</v>
      </c>
      <c r="M414" s="134">
        <f t="shared" si="10"/>
        <v>1.004259525</v>
      </c>
      <c r="N414" s="134">
        <f t="shared" si="11"/>
        <v>1.048660427</v>
      </c>
      <c r="O414" s="134">
        <f t="shared" si="12"/>
        <v>0.9856646795</v>
      </c>
      <c r="P414" s="134">
        <f t="shared" si="13"/>
        <v>1.428887702</v>
      </c>
      <c r="Q414" s="134">
        <f t="shared" si="14"/>
        <v>1.188013388</v>
      </c>
    </row>
    <row r="415" ht="15.0" customHeight="1">
      <c r="A415" s="13">
        <v>376.0</v>
      </c>
      <c r="B415" s="134">
        <f t="shared" ref="B415:D415" si="761">RAND()</f>
        <v>0.5583732382</v>
      </c>
      <c r="C415" s="134">
        <f t="shared" si="761"/>
        <v>0.372387394</v>
      </c>
      <c r="D415" s="134">
        <f t="shared" si="761"/>
        <v>0.6136849947</v>
      </c>
      <c r="F415" s="134">
        <f t="shared" ref="F415:H415" si="762">RAND()</f>
        <v>0.5969549605</v>
      </c>
      <c r="G415" s="134">
        <f t="shared" si="762"/>
        <v>0.4099776504</v>
      </c>
      <c r="H415" s="134">
        <f t="shared" si="762"/>
        <v>0.3509541445</v>
      </c>
      <c r="J415" s="135">
        <f t="shared" si="8"/>
        <v>159136002.9</v>
      </c>
      <c r="K415" s="136">
        <f>IF(J415&gt;0,MIN(99,$B$12*Q415/(J415*12*(1-Inputs!$H$16))),99)</f>
        <v>3.545212116</v>
      </c>
      <c r="L415" s="134">
        <f t="shared" si="9"/>
        <v>1.028578248</v>
      </c>
      <c r="M415" s="134">
        <f t="shared" si="10"/>
        <v>1.012006391</v>
      </c>
      <c r="N415" s="134">
        <f t="shared" si="11"/>
        <v>1.017665307</v>
      </c>
      <c r="O415" s="134">
        <f t="shared" si="12"/>
        <v>1.031845346</v>
      </c>
      <c r="P415" s="134">
        <f t="shared" si="13"/>
        <v>1.132337857</v>
      </c>
      <c r="Q415" s="134">
        <f t="shared" si="14"/>
        <v>1.037000944</v>
      </c>
    </row>
    <row r="416" ht="15.0" customHeight="1">
      <c r="A416" s="13">
        <v>377.0</v>
      </c>
      <c r="B416" s="134">
        <f t="shared" ref="B416:D416" si="763">RAND()</f>
        <v>0.416858747</v>
      </c>
      <c r="C416" s="134">
        <f t="shared" si="763"/>
        <v>0.4953305921</v>
      </c>
      <c r="D416" s="134">
        <f t="shared" si="763"/>
        <v>0.01754802388</v>
      </c>
      <c r="F416" s="134">
        <f t="shared" ref="F416:H416" si="764">RAND()</f>
        <v>0.7383057041</v>
      </c>
      <c r="G416" s="134">
        <f t="shared" si="764"/>
        <v>0.5448635532</v>
      </c>
      <c r="H416" s="134">
        <f t="shared" si="764"/>
        <v>0.9395105249</v>
      </c>
      <c r="J416" s="135">
        <f t="shared" si="8"/>
        <v>140913148.9</v>
      </c>
      <c r="K416" s="136">
        <f>IF(J416&gt;0,MIN(99,$B$12*Q416/(J416*12*(1-Inputs!$H$16))),99)</f>
        <v>5.148030287</v>
      </c>
      <c r="L416" s="134">
        <f t="shared" si="9"/>
        <v>0.9915562491</v>
      </c>
      <c r="M416" s="134">
        <f t="shared" si="10"/>
        <v>0.995585938</v>
      </c>
      <c r="N416" s="134">
        <f t="shared" si="11"/>
        <v>0.9516726227</v>
      </c>
      <c r="O416" s="134">
        <f t="shared" si="12"/>
        <v>1.047380216</v>
      </c>
      <c r="P416" s="134">
        <f t="shared" si="13"/>
        <v>1.221240296</v>
      </c>
      <c r="Q416" s="134">
        <f t="shared" si="14"/>
        <v>1.333401976</v>
      </c>
    </row>
    <row r="417" ht="15.0" customHeight="1">
      <c r="A417" s="13">
        <v>378.0</v>
      </c>
      <c r="B417" s="134">
        <f t="shared" ref="B417:D417" si="765">RAND()</f>
        <v>0.1610958586</v>
      </c>
      <c r="C417" s="134">
        <f t="shared" si="765"/>
        <v>0.08890912753</v>
      </c>
      <c r="D417" s="134">
        <f t="shared" si="765"/>
        <v>0.8411575015</v>
      </c>
      <c r="F417" s="134">
        <f t="shared" ref="F417:H417" si="766">RAND()</f>
        <v>0.1288847983</v>
      </c>
      <c r="G417" s="134">
        <f t="shared" si="766"/>
        <v>0.2764803719</v>
      </c>
      <c r="H417" s="134">
        <f t="shared" si="766"/>
        <v>0.2546657469</v>
      </c>
      <c r="J417" s="135">
        <f t="shared" si="8"/>
        <v>81327948.79</v>
      </c>
      <c r="K417" s="136">
        <f>IF(J417&gt;0,MIN(99,$B$12*Q417/(J417*12*(1-Inputs!$H$16))),99)</f>
        <v>6.732599509</v>
      </c>
      <c r="L417" s="134">
        <f t="shared" si="9"/>
        <v>0.9096227473</v>
      </c>
      <c r="M417" s="134">
        <f t="shared" si="10"/>
        <v>0.9589298064</v>
      </c>
      <c r="N417" s="134">
        <f t="shared" si="11"/>
        <v>1.043755844</v>
      </c>
      <c r="O417" s="134">
        <f t="shared" si="12"/>
        <v>0.9933578318</v>
      </c>
      <c r="P417" s="134">
        <f t="shared" si="13"/>
        <v>1.053915173</v>
      </c>
      <c r="Q417" s="134">
        <f t="shared" si="14"/>
        <v>1.006447398</v>
      </c>
    </row>
    <row r="418" ht="15.0" customHeight="1">
      <c r="A418" s="13">
        <v>379.0</v>
      </c>
      <c r="B418" s="134">
        <f t="shared" ref="B418:D418" si="767">RAND()</f>
        <v>0.1983941833</v>
      </c>
      <c r="C418" s="134">
        <f t="shared" si="767"/>
        <v>0.9172758418</v>
      </c>
      <c r="D418" s="134">
        <f t="shared" si="767"/>
        <v>0.05968180406</v>
      </c>
      <c r="F418" s="134">
        <f t="shared" ref="F418:H418" si="768">RAND()</f>
        <v>0.5334890056</v>
      </c>
      <c r="G418" s="134">
        <f t="shared" si="768"/>
        <v>0.1561317185</v>
      </c>
      <c r="H418" s="134">
        <f t="shared" si="768"/>
        <v>0.5639996338</v>
      </c>
      <c r="J418" s="135">
        <f t="shared" si="8"/>
        <v>104235728.7</v>
      </c>
      <c r="K418" s="136">
        <f>IF(J418&gt;0,MIN(99,$B$12*Q418/(J418*12*(1-Inputs!$H$16))),99)</f>
        <v>5.814155785</v>
      </c>
      <c r="L418" s="134">
        <f t="shared" si="9"/>
        <v>0.9243966051</v>
      </c>
      <c r="M418" s="134">
        <f t="shared" si="10"/>
        <v>0.965539465</v>
      </c>
      <c r="N418" s="134">
        <f t="shared" si="11"/>
        <v>0.9624273893</v>
      </c>
      <c r="O418" s="134">
        <f t="shared" si="12"/>
        <v>1.025777708</v>
      </c>
      <c r="P418" s="134">
        <f t="shared" si="13"/>
        <v>0.9888263071</v>
      </c>
      <c r="Q418" s="134">
        <f t="shared" si="14"/>
        <v>1.11396553</v>
      </c>
    </row>
    <row r="419" ht="15.0" customHeight="1">
      <c r="A419" s="13">
        <v>380.0</v>
      </c>
      <c r="B419" s="134">
        <f t="shared" ref="B419:D419" si="769">RAND()</f>
        <v>0.1673109251</v>
      </c>
      <c r="C419" s="134">
        <f t="shared" si="769"/>
        <v>0.4736666547</v>
      </c>
      <c r="D419" s="134">
        <f t="shared" si="769"/>
        <v>0.5736465521</v>
      </c>
      <c r="F419" s="134">
        <f t="shared" ref="F419:H419" si="770">RAND()</f>
        <v>0.1969936531</v>
      </c>
      <c r="G419" s="134">
        <f t="shared" si="770"/>
        <v>0.1375585952</v>
      </c>
      <c r="H419" s="134">
        <f t="shared" si="770"/>
        <v>0.7991799161</v>
      </c>
      <c r="J419" s="135">
        <f t="shared" si="8"/>
        <v>90784263.79</v>
      </c>
      <c r="K419" s="136">
        <f>IF(J419&gt;0,MIN(99,$B$12*Q419/(J419*12*(1-Inputs!$H$16))),99)</f>
        <v>7.348995318</v>
      </c>
      <c r="L419" s="134">
        <f t="shared" si="9"/>
        <v>0.9121950403</v>
      </c>
      <c r="M419" s="134">
        <f t="shared" si="10"/>
        <v>0.9600806215</v>
      </c>
      <c r="N419" s="134">
        <f t="shared" si="11"/>
        <v>1.013989681</v>
      </c>
      <c r="O419" s="134">
        <f t="shared" si="12"/>
        <v>0.9989043937</v>
      </c>
      <c r="P419" s="134">
        <f t="shared" si="13"/>
        <v>0.9781409019</v>
      </c>
      <c r="Q419" s="134">
        <f t="shared" si="14"/>
        <v>1.226329083</v>
      </c>
    </row>
    <row r="420" ht="15.0" customHeight="1">
      <c r="A420" s="13">
        <v>381.0</v>
      </c>
      <c r="B420" s="134">
        <f t="shared" ref="B420:D420" si="771">RAND()</f>
        <v>0.26520705</v>
      </c>
      <c r="C420" s="134">
        <f t="shared" si="771"/>
        <v>0.2169756909</v>
      </c>
      <c r="D420" s="134">
        <f t="shared" si="771"/>
        <v>0.08886687066</v>
      </c>
      <c r="F420" s="134">
        <f t="shared" ref="F420:H420" si="772">RAND()</f>
        <v>0.3644392624</v>
      </c>
      <c r="G420" s="134">
        <f t="shared" si="772"/>
        <v>0.2176280896</v>
      </c>
      <c r="H420" s="134">
        <f t="shared" si="772"/>
        <v>0.28379178</v>
      </c>
      <c r="J420" s="135">
        <f t="shared" si="8"/>
        <v>120297194.9</v>
      </c>
      <c r="K420" s="136">
        <f>IF(J420&gt;0,MIN(99,$B$12*Q420/(J420*12*(1-Inputs!$H$16))),99)</f>
        <v>4.592434554</v>
      </c>
      <c r="L420" s="134">
        <f t="shared" si="9"/>
        <v>0.9477304059</v>
      </c>
      <c r="M420" s="134">
        <f t="shared" si="10"/>
        <v>0.9759787463</v>
      </c>
      <c r="N420" s="134">
        <f t="shared" si="11"/>
        <v>0.9676020492</v>
      </c>
      <c r="O420" s="134">
        <f t="shared" si="12"/>
        <v>1.011388523</v>
      </c>
      <c r="P420" s="134">
        <f t="shared" si="13"/>
        <v>1.021661604</v>
      </c>
      <c r="Q420" s="134">
        <f t="shared" si="14"/>
        <v>1.015469673</v>
      </c>
    </row>
    <row r="421" ht="15.0" customHeight="1">
      <c r="A421" s="13">
        <v>382.0</v>
      </c>
      <c r="B421" s="134">
        <f t="shared" ref="B421:D421" si="773">RAND()</f>
        <v>0.4879974819</v>
      </c>
      <c r="C421" s="134">
        <f t="shared" si="773"/>
        <v>0.3273185011</v>
      </c>
      <c r="D421" s="134">
        <f t="shared" si="773"/>
        <v>0.1496672754</v>
      </c>
      <c r="F421" s="134">
        <f t="shared" ref="F421:H421" si="774">RAND()</f>
        <v>0.806456565</v>
      </c>
      <c r="G421" s="134">
        <f t="shared" si="774"/>
        <v>0.5963150552</v>
      </c>
      <c r="H421" s="134">
        <f t="shared" si="774"/>
        <v>0.1043788955</v>
      </c>
      <c r="J421" s="135">
        <f t="shared" si="8"/>
        <v>145748932.1</v>
      </c>
      <c r="K421" s="136">
        <f>IF(J421&gt;0,MIN(99,$B$12*Q421/(J421*12*(1-Inputs!$H$16))),99)</f>
        <v>3.558008932</v>
      </c>
      <c r="L421" s="134">
        <f t="shared" si="9"/>
        <v>1.009669364</v>
      </c>
      <c r="M421" s="134">
        <f t="shared" si="10"/>
        <v>1.003643653</v>
      </c>
      <c r="N421" s="134">
        <f t="shared" si="11"/>
        <v>0.976138482</v>
      </c>
      <c r="O421" s="134">
        <f t="shared" si="12"/>
        <v>1.056404589</v>
      </c>
      <c r="P421" s="134">
        <f t="shared" si="13"/>
        <v>1.258588532</v>
      </c>
      <c r="Q421" s="134">
        <f t="shared" si="14"/>
        <v>0.9531931146</v>
      </c>
    </row>
    <row r="422" ht="15.0" customHeight="1">
      <c r="A422" s="13">
        <v>383.0</v>
      </c>
      <c r="B422" s="134">
        <f t="shared" ref="B422:D422" si="775">RAND()</f>
        <v>0.1890930765</v>
      </c>
      <c r="C422" s="134">
        <f t="shared" si="775"/>
        <v>0.8560623389</v>
      </c>
      <c r="D422" s="134">
        <f t="shared" si="775"/>
        <v>0.9424579587</v>
      </c>
      <c r="F422" s="134">
        <f t="shared" ref="F422:H422" si="776">RAND()</f>
        <v>0.7986932081</v>
      </c>
      <c r="G422" s="134">
        <f t="shared" si="776"/>
        <v>0.9493838335</v>
      </c>
      <c r="H422" s="134">
        <f t="shared" si="776"/>
        <v>0.8053889464</v>
      </c>
      <c r="J422" s="135">
        <f t="shared" si="8"/>
        <v>52185691.69</v>
      </c>
      <c r="K422" s="136">
        <f>IF(J422&gt;0,MIN(99,$B$12*Q422/(J422*12*(1-Inputs!$H$16))),99)</f>
        <v>12.82314666</v>
      </c>
      <c r="L422" s="134">
        <f t="shared" si="9"/>
        <v>0.9208525663</v>
      </c>
      <c r="M422" s="134">
        <f t="shared" si="10"/>
        <v>0.9639539017</v>
      </c>
      <c r="N422" s="134">
        <f t="shared" si="11"/>
        <v>1.062320724</v>
      </c>
      <c r="O422" s="134">
        <f t="shared" si="12"/>
        <v>1.05530383</v>
      </c>
      <c r="P422" s="134">
        <f t="shared" si="13"/>
        <v>1.648828124</v>
      </c>
      <c r="Q422" s="134">
        <f t="shared" si="14"/>
        <v>1.230026689</v>
      </c>
    </row>
    <row r="423" ht="15.0" customHeight="1">
      <c r="A423" s="13">
        <v>384.0</v>
      </c>
      <c r="B423" s="134">
        <f t="shared" ref="B423:D423" si="777">RAND()</f>
        <v>0.8203873702</v>
      </c>
      <c r="C423" s="134">
        <f t="shared" si="777"/>
        <v>0.3855299335</v>
      </c>
      <c r="D423" s="134">
        <f t="shared" si="777"/>
        <v>0.07387423216</v>
      </c>
      <c r="F423" s="134">
        <f t="shared" ref="F423:H423" si="778">RAND()</f>
        <v>0.7090212396</v>
      </c>
      <c r="G423" s="134">
        <f t="shared" si="778"/>
        <v>0.4578699754</v>
      </c>
      <c r="H423" s="134">
        <f t="shared" si="778"/>
        <v>0.4196192257</v>
      </c>
      <c r="J423" s="135">
        <f t="shared" si="8"/>
        <v>235305588.2</v>
      </c>
      <c r="K423" s="136">
        <f>IF(J423&gt;0,MIN(99,$B$12*Q423/(J423*12*(1-Inputs!$H$16))),99)</f>
        <v>2.451247355</v>
      </c>
      <c r="L423" s="134">
        <f t="shared" si="9"/>
        <v>1.117848046</v>
      </c>
      <c r="M423" s="134">
        <f t="shared" si="10"/>
        <v>1.0514873</v>
      </c>
      <c r="N423" s="134">
        <f t="shared" si="11"/>
        <v>0.965072048</v>
      </c>
      <c r="O423" s="134">
        <f t="shared" si="12"/>
        <v>1.043869517</v>
      </c>
      <c r="P423" s="134">
        <f t="shared" si="13"/>
        <v>1.162609713</v>
      </c>
      <c r="Q423" s="134">
        <f t="shared" si="14"/>
        <v>1.060200148</v>
      </c>
    </row>
    <row r="424" ht="15.0" customHeight="1">
      <c r="A424" s="13">
        <v>385.0</v>
      </c>
      <c r="B424" s="134">
        <f t="shared" ref="B424:D424" si="779">RAND()</f>
        <v>0.9187158188</v>
      </c>
      <c r="C424" s="134">
        <f t="shared" si="779"/>
        <v>0.5321051562</v>
      </c>
      <c r="D424" s="134">
        <f t="shared" si="779"/>
        <v>0.5918544696</v>
      </c>
      <c r="F424" s="134">
        <f t="shared" ref="F424:H424" si="780">RAND()</f>
        <v>0.8220998349</v>
      </c>
      <c r="G424" s="134">
        <f t="shared" si="780"/>
        <v>0.6801438074</v>
      </c>
      <c r="H424" s="134">
        <f t="shared" si="780"/>
        <v>0.04586753081</v>
      </c>
      <c r="J424" s="135">
        <f t="shared" si="8"/>
        <v>255020312.5</v>
      </c>
      <c r="K424" s="136">
        <f>IF(J424&gt;0,MIN(99,$B$12*Q424/(J424*12*(1-Inputs!$H$16))),99)</f>
        <v>1.965558097</v>
      </c>
      <c r="L424" s="134">
        <f t="shared" si="9"/>
        <v>1.169280679</v>
      </c>
      <c r="M424" s="134">
        <f t="shared" si="10"/>
        <v>1.074234155</v>
      </c>
      <c r="N424" s="134">
        <f t="shared" si="11"/>
        <v>1.015638801</v>
      </c>
      <c r="O424" s="134">
        <f t="shared" si="12"/>
        <v>1.058691848</v>
      </c>
      <c r="P424" s="134">
        <f t="shared" si="13"/>
        <v>1.324966224</v>
      </c>
      <c r="Q424" s="134">
        <f t="shared" si="14"/>
        <v>0.9213595459</v>
      </c>
    </row>
    <row r="425" ht="15.0" customHeight="1">
      <c r="A425" s="13">
        <v>386.0</v>
      </c>
      <c r="B425" s="134">
        <f t="shared" ref="B425:D425" si="781">RAND()</f>
        <v>0.02323303304</v>
      </c>
      <c r="C425" s="134">
        <f t="shared" si="781"/>
        <v>0.08285246575</v>
      </c>
      <c r="D425" s="134">
        <f t="shared" si="781"/>
        <v>0.6232915892</v>
      </c>
      <c r="F425" s="134">
        <f t="shared" ref="F425:H425" si="782">RAND()</f>
        <v>0.1190488662</v>
      </c>
      <c r="G425" s="134">
        <f t="shared" si="782"/>
        <v>0.5270183083</v>
      </c>
      <c r="H425" s="134">
        <f t="shared" si="782"/>
        <v>0.569781246</v>
      </c>
      <c r="J425" s="135">
        <f t="shared" si="8"/>
        <v>27739088.05</v>
      </c>
      <c r="K425" s="136">
        <f>IF(J425&gt;0,MIN(99,$B$12*Q425/(J425*12*(1-Inputs!$H$16))),99)</f>
        <v>21.89359431</v>
      </c>
      <c r="L425" s="134">
        <f t="shared" si="9"/>
        <v>0.8261245168</v>
      </c>
      <c r="M425" s="134">
        <f t="shared" si="10"/>
        <v>0.9215736327</v>
      </c>
      <c r="N425" s="134">
        <f t="shared" si="11"/>
        <v>1.018575195</v>
      </c>
      <c r="O425" s="134">
        <f t="shared" si="12"/>
        <v>0.9924444124</v>
      </c>
      <c r="P425" s="134">
        <f t="shared" si="13"/>
        <v>1.208784562</v>
      </c>
      <c r="Q425" s="134">
        <f t="shared" si="14"/>
        <v>1.11629178</v>
      </c>
    </row>
    <row r="426" ht="15.0" customHeight="1">
      <c r="A426" s="13">
        <v>387.0</v>
      </c>
      <c r="B426" s="134">
        <f t="shared" ref="B426:D426" si="783">RAND()</f>
        <v>0.7334012198</v>
      </c>
      <c r="C426" s="134">
        <f t="shared" si="783"/>
        <v>0.6573585917</v>
      </c>
      <c r="D426" s="134">
        <f t="shared" si="783"/>
        <v>0.3610796072</v>
      </c>
      <c r="F426" s="134">
        <f t="shared" ref="F426:H426" si="784">RAND()</f>
        <v>0.5777826971</v>
      </c>
      <c r="G426" s="134">
        <f t="shared" si="784"/>
        <v>0.9685627942</v>
      </c>
      <c r="H426" s="134">
        <f t="shared" si="784"/>
        <v>0.09508282211</v>
      </c>
      <c r="J426" s="135">
        <f t="shared" si="8"/>
        <v>183621821.1</v>
      </c>
      <c r="K426" s="136">
        <f>IF(J426&gt;0,MIN(99,$B$12*Q426/(J426*12*(1-Inputs!$H$16))),99)</f>
        <v>2.811402765</v>
      </c>
      <c r="L426" s="134">
        <f t="shared" si="9"/>
        <v>1.083538954</v>
      </c>
      <c r="M426" s="134">
        <f t="shared" si="10"/>
        <v>1.036313589</v>
      </c>
      <c r="N426" s="134">
        <f t="shared" si="11"/>
        <v>0.9967220007</v>
      </c>
      <c r="O426" s="134">
        <f t="shared" si="12"/>
        <v>1.029964971</v>
      </c>
      <c r="P426" s="134">
        <f t="shared" si="13"/>
        <v>1.694163138</v>
      </c>
      <c r="Q426" s="134">
        <f t="shared" si="14"/>
        <v>0.9488899329</v>
      </c>
    </row>
    <row r="427" ht="15.0" customHeight="1">
      <c r="A427" s="13">
        <v>388.0</v>
      </c>
      <c r="B427" s="134">
        <f t="shared" ref="B427:D427" si="785">RAND()</f>
        <v>0.8291437097</v>
      </c>
      <c r="C427" s="134">
        <f t="shared" si="785"/>
        <v>0.1403020836</v>
      </c>
      <c r="D427" s="134">
        <f t="shared" si="785"/>
        <v>0.9602226703</v>
      </c>
      <c r="F427" s="134">
        <f t="shared" ref="F427:H427" si="786">RAND()</f>
        <v>0.5225962226</v>
      </c>
      <c r="G427" s="134">
        <f t="shared" si="786"/>
        <v>0.9457023526</v>
      </c>
      <c r="H427" s="134">
        <f t="shared" si="786"/>
        <v>0.4553528519</v>
      </c>
      <c r="J427" s="135">
        <f t="shared" si="8"/>
        <v>198840623.2</v>
      </c>
      <c r="K427" s="136">
        <f>IF(J427&gt;0,MIN(99,$B$12*Q427/(J427*12*(1-Inputs!$H$16))),99)</f>
        <v>2.935298437</v>
      </c>
      <c r="L427" s="134">
        <f t="shared" si="9"/>
        <v>1.121726584</v>
      </c>
      <c r="M427" s="134">
        <f t="shared" si="10"/>
        <v>1.053202642</v>
      </c>
      <c r="N427" s="134">
        <f t="shared" si="11"/>
        <v>1.067051902</v>
      </c>
      <c r="O427" s="134">
        <f t="shared" si="12"/>
        <v>1.024778819</v>
      </c>
      <c r="P427" s="134">
        <f t="shared" si="13"/>
        <v>1.641184463</v>
      </c>
      <c r="Q427" s="134">
        <f t="shared" si="14"/>
        <v>1.072817527</v>
      </c>
    </row>
    <row r="428" ht="15.0" customHeight="1">
      <c r="A428" s="13">
        <v>389.0</v>
      </c>
      <c r="B428" s="134">
        <f t="shared" ref="B428:D428" si="787">RAND()</f>
        <v>0.8281106107</v>
      </c>
      <c r="C428" s="134">
        <f t="shared" si="787"/>
        <v>0.3388103644</v>
      </c>
      <c r="D428" s="134">
        <f t="shared" si="787"/>
        <v>0.7897919618</v>
      </c>
      <c r="F428" s="134">
        <f t="shared" ref="F428:H428" si="788">RAND()</f>
        <v>0.4039583256</v>
      </c>
      <c r="G428" s="134">
        <f t="shared" si="788"/>
        <v>0.6772543068</v>
      </c>
      <c r="H428" s="134">
        <f t="shared" si="788"/>
        <v>0.5225771807</v>
      </c>
      <c r="J428" s="135">
        <f t="shared" si="8"/>
        <v>219542130.8</v>
      </c>
      <c r="K428" s="136">
        <f>IF(J428&gt;0,MIN(99,$B$12*Q428/(J428*12*(1-Inputs!$H$16))),99)</f>
        <v>2.720255579</v>
      </c>
      <c r="L428" s="134">
        <f t="shared" si="9"/>
        <v>1.121263892</v>
      </c>
      <c r="M428" s="134">
        <f t="shared" si="10"/>
        <v>1.052998009</v>
      </c>
      <c r="N428" s="134">
        <f t="shared" si="11"/>
        <v>1.036743436</v>
      </c>
      <c r="O428" s="134">
        <f t="shared" si="12"/>
        <v>1.014561487</v>
      </c>
      <c r="P428" s="134">
        <f t="shared" si="13"/>
        <v>1.322542511</v>
      </c>
      <c r="Q428" s="134">
        <f t="shared" si="14"/>
        <v>1.097731346</v>
      </c>
    </row>
    <row r="429" ht="15.0" customHeight="1">
      <c r="A429" s="13">
        <v>390.0</v>
      </c>
      <c r="B429" s="134">
        <f t="shared" ref="B429:D429" si="789">RAND()</f>
        <v>0.7410915423</v>
      </c>
      <c r="C429" s="134">
        <f t="shared" si="789"/>
        <v>0.2121197474</v>
      </c>
      <c r="D429" s="134">
        <f t="shared" si="789"/>
        <v>0.7516808845</v>
      </c>
      <c r="F429" s="134">
        <f t="shared" ref="F429:H429" si="790">RAND()</f>
        <v>0.03221609557</v>
      </c>
      <c r="G429" s="134">
        <f t="shared" si="790"/>
        <v>0.9767891916</v>
      </c>
      <c r="H429" s="134">
        <f t="shared" si="790"/>
        <v>0.2803240415</v>
      </c>
      <c r="J429" s="135">
        <f t="shared" si="8"/>
        <v>184636635.9</v>
      </c>
      <c r="K429" s="136">
        <f>IF(J429&gt;0,MIN(99,$B$12*Q429/(J429*12*(1-Inputs!$H$16))),99)</f>
        <v>2.98893781</v>
      </c>
      <c r="L429" s="134">
        <f t="shared" si="9"/>
        <v>1.086320608</v>
      </c>
      <c r="M429" s="134">
        <f t="shared" si="10"/>
        <v>1.037543817</v>
      </c>
      <c r="N429" s="134">
        <f t="shared" si="11"/>
        <v>1.032083032</v>
      </c>
      <c r="O429" s="134">
        <f t="shared" si="12"/>
        <v>0.9816208286</v>
      </c>
      <c r="P429" s="134">
        <f t="shared" si="13"/>
        <v>1.717892803</v>
      </c>
      <c r="Q429" s="134">
        <f t="shared" si="14"/>
        <v>1.014385981</v>
      </c>
    </row>
    <row r="430" ht="15.0" customHeight="1">
      <c r="A430" s="13">
        <v>391.0</v>
      </c>
      <c r="B430" s="134">
        <f t="shared" ref="B430:D430" si="791">RAND()</f>
        <v>0.5549564318</v>
      </c>
      <c r="C430" s="134">
        <f t="shared" si="791"/>
        <v>0.922812185</v>
      </c>
      <c r="D430" s="134">
        <f t="shared" si="791"/>
        <v>0.2194691927</v>
      </c>
      <c r="F430" s="134">
        <f t="shared" ref="F430:H430" si="792">RAND()</f>
        <v>0.05484680329</v>
      </c>
      <c r="G430" s="134">
        <f t="shared" si="792"/>
        <v>0.2919633286</v>
      </c>
      <c r="H430" s="134">
        <f t="shared" si="792"/>
        <v>0.1445361177</v>
      </c>
      <c r="J430" s="135">
        <f t="shared" si="8"/>
        <v>176316888.1</v>
      </c>
      <c r="K430" s="136">
        <f>IF(J430&gt;0,MIN(99,$B$12*Q430/(J430*12*(1-Inputs!$H$16))),99)</f>
        <v>2.992658683</v>
      </c>
      <c r="L430" s="134">
        <f t="shared" si="9"/>
        <v>1.027626819</v>
      </c>
      <c r="M430" s="134">
        <f t="shared" si="10"/>
        <v>1.011585607</v>
      </c>
      <c r="N430" s="134">
        <f t="shared" si="11"/>
        <v>0.9839866922</v>
      </c>
      <c r="O430" s="134">
        <f t="shared" si="12"/>
        <v>0.9851975334</v>
      </c>
      <c r="P430" s="134">
        <f t="shared" si="13"/>
        <v>1.062616478</v>
      </c>
      <c r="Q430" s="134">
        <f t="shared" si="14"/>
        <v>0.9698835225</v>
      </c>
    </row>
    <row r="431" ht="15.0" customHeight="1">
      <c r="A431" s="13">
        <v>392.0</v>
      </c>
      <c r="B431" s="134">
        <f t="shared" ref="B431:D431" si="793">RAND()</f>
        <v>0.2085754257</v>
      </c>
      <c r="C431" s="134">
        <f t="shared" si="793"/>
        <v>0.7389141963</v>
      </c>
      <c r="D431" s="134">
        <f t="shared" si="793"/>
        <v>0.6358555417</v>
      </c>
      <c r="F431" s="134">
        <f t="shared" ref="F431:H431" si="794">RAND()</f>
        <v>0.275404751</v>
      </c>
      <c r="G431" s="134">
        <f t="shared" si="794"/>
        <v>0.6360977044</v>
      </c>
      <c r="H431" s="134">
        <f t="shared" si="794"/>
        <v>0.4029562312</v>
      </c>
      <c r="J431" s="135">
        <f t="shared" si="8"/>
        <v>87540667.53</v>
      </c>
      <c r="K431" s="136">
        <f>IF(J431&gt;0,MIN(99,$B$12*Q431/(J431*12*(1-Inputs!$H$16))),99)</f>
        <v>6.553109918</v>
      </c>
      <c r="L431" s="134">
        <f t="shared" si="9"/>
        <v>0.9281820335</v>
      </c>
      <c r="M431" s="134">
        <f t="shared" si="10"/>
        <v>0.9672330233</v>
      </c>
      <c r="N431" s="134">
        <f t="shared" si="11"/>
        <v>1.019782883</v>
      </c>
      <c r="O431" s="134">
        <f t="shared" si="12"/>
        <v>1.004583418</v>
      </c>
      <c r="P431" s="134">
        <f t="shared" si="13"/>
        <v>1.289131002</v>
      </c>
      <c r="Q431" s="134">
        <f t="shared" si="14"/>
        <v>1.054449506</v>
      </c>
    </row>
    <row r="432" ht="15.0" customHeight="1">
      <c r="A432" s="13">
        <v>393.0</v>
      </c>
      <c r="B432" s="134">
        <f t="shared" ref="B432:D432" si="795">RAND()</f>
        <v>0.2963352237</v>
      </c>
      <c r="C432" s="134">
        <f t="shared" si="795"/>
        <v>0.8919445368</v>
      </c>
      <c r="D432" s="134">
        <f t="shared" si="795"/>
        <v>0.07115524402</v>
      </c>
      <c r="F432" s="134">
        <f t="shared" ref="F432:H432" si="796">RAND()</f>
        <v>0.4344701169</v>
      </c>
      <c r="G432" s="134">
        <f t="shared" si="796"/>
        <v>0.1702269909</v>
      </c>
      <c r="H432" s="134">
        <f t="shared" si="796"/>
        <v>0.09539032134</v>
      </c>
      <c r="J432" s="135">
        <f t="shared" si="8"/>
        <v>127739960.8</v>
      </c>
      <c r="K432" s="136">
        <f>IF(J432&gt;0,MIN(99,$B$12*Q432/(J432*12*(1-Inputs!$H$16))),99)</f>
        <v>4.041915442</v>
      </c>
      <c r="L432" s="134">
        <f t="shared" si="9"/>
        <v>0.9575861787</v>
      </c>
      <c r="M432" s="134">
        <f t="shared" si="10"/>
        <v>0.9803881088</v>
      </c>
      <c r="N432" s="134">
        <f t="shared" si="11"/>
        <v>0.9645865055</v>
      </c>
      <c r="O432" s="134">
        <f t="shared" si="12"/>
        <v>1.017083923</v>
      </c>
      <c r="P432" s="134">
        <f t="shared" si="13"/>
        <v>0.9965169144</v>
      </c>
      <c r="Q432" s="134">
        <f t="shared" si="14"/>
        <v>0.9490355556</v>
      </c>
    </row>
    <row r="433" ht="15.0" customHeight="1">
      <c r="A433" s="13">
        <v>394.0</v>
      </c>
      <c r="B433" s="134">
        <f t="shared" ref="B433:D433" si="797">RAND()</f>
        <v>0.1583348248</v>
      </c>
      <c r="C433" s="134">
        <f t="shared" si="797"/>
        <v>0.5979024453</v>
      </c>
      <c r="D433" s="134">
        <f t="shared" si="797"/>
        <v>0.7993779854</v>
      </c>
      <c r="F433" s="134">
        <f t="shared" ref="F433:H433" si="798">RAND()</f>
        <v>0.2232382596</v>
      </c>
      <c r="G433" s="134">
        <f t="shared" si="798"/>
        <v>0.5042205266</v>
      </c>
      <c r="H433" s="134">
        <f t="shared" si="798"/>
        <v>0.1607008706</v>
      </c>
      <c r="J433" s="135">
        <f t="shared" si="8"/>
        <v>75200722.2</v>
      </c>
      <c r="K433" s="136">
        <f>IF(J433&gt;0,MIN(99,$B$12*Q433/(J433*12*(1-Inputs!$H$16))),99)</f>
        <v>7.060402009</v>
      </c>
      <c r="L433" s="134">
        <f t="shared" si="9"/>
        <v>0.9084641067</v>
      </c>
      <c r="M433" s="134">
        <f t="shared" si="10"/>
        <v>0.9584114436</v>
      </c>
      <c r="N433" s="134">
        <f t="shared" si="11"/>
        <v>1.037980852</v>
      </c>
      <c r="O433" s="134">
        <f t="shared" si="12"/>
        <v>1.000789804</v>
      </c>
      <c r="P433" s="134">
        <f t="shared" si="13"/>
        <v>1.193209039</v>
      </c>
      <c r="Q433" s="134">
        <f t="shared" si="14"/>
        <v>0.9759328182</v>
      </c>
    </row>
    <row r="434" ht="15.0" customHeight="1">
      <c r="A434" s="13">
        <v>395.0</v>
      </c>
      <c r="B434" s="134">
        <f t="shared" ref="B434:D434" si="799">RAND()</f>
        <v>0.05761130596</v>
      </c>
      <c r="C434" s="134">
        <f t="shared" si="799"/>
        <v>0.8713137341</v>
      </c>
      <c r="D434" s="134">
        <f t="shared" si="799"/>
        <v>0.2500245934</v>
      </c>
      <c r="F434" s="134">
        <f t="shared" ref="F434:H434" si="800">RAND()</f>
        <v>0.7779358151</v>
      </c>
      <c r="G434" s="134">
        <f t="shared" si="800"/>
        <v>0.7872537037</v>
      </c>
      <c r="H434" s="134">
        <f t="shared" si="800"/>
        <v>0.8512153335</v>
      </c>
      <c r="J434" s="135">
        <f t="shared" si="8"/>
        <v>33525914.56</v>
      </c>
      <c r="K434" s="136">
        <f>IF(J434&gt;0,MIN(99,$B$12*Q434/(J434*12*(1-Inputs!$H$16))),99)</f>
        <v>20.43650327</v>
      </c>
      <c r="L434" s="134">
        <f t="shared" si="9"/>
        <v>0.8555063471</v>
      </c>
      <c r="M434" s="134">
        <f t="shared" si="10"/>
        <v>0.9347187347</v>
      </c>
      <c r="N434" s="134">
        <f t="shared" si="11"/>
        <v>0.9870208099</v>
      </c>
      <c r="O434" s="134">
        <f t="shared" si="12"/>
        <v>1.052460805</v>
      </c>
      <c r="P434" s="134">
        <f t="shared" si="13"/>
        <v>1.42416036</v>
      </c>
      <c r="Q434" s="134">
        <f t="shared" si="14"/>
        <v>1.259376846</v>
      </c>
    </row>
    <row r="435" ht="15.0" customHeight="1">
      <c r="A435" s="13">
        <v>396.0</v>
      </c>
      <c r="B435" s="134">
        <f t="shared" ref="B435:D435" si="801">RAND()</f>
        <v>0.7205926525</v>
      </c>
      <c r="C435" s="134">
        <f t="shared" si="801"/>
        <v>0.9844429421</v>
      </c>
      <c r="D435" s="134">
        <f t="shared" si="801"/>
        <v>0.1156504216</v>
      </c>
      <c r="F435" s="134">
        <f t="shared" ref="F435:H435" si="802">RAND()</f>
        <v>0.1608793381</v>
      </c>
      <c r="G435" s="134">
        <f t="shared" si="802"/>
        <v>0.7190930625</v>
      </c>
      <c r="H435" s="134">
        <f t="shared" si="802"/>
        <v>0.8298416623</v>
      </c>
      <c r="J435" s="135">
        <f t="shared" si="8"/>
        <v>204329967</v>
      </c>
      <c r="K435" s="136">
        <f>IF(J435&gt;0,MIN(99,$B$12*Q435/(J435*12*(1-Inputs!$H$16))),99)</f>
        <v>3.315410876</v>
      </c>
      <c r="L435" s="134">
        <f t="shared" si="9"/>
        <v>1.078993596</v>
      </c>
      <c r="M435" s="134">
        <f t="shared" si="10"/>
        <v>1.034303336</v>
      </c>
      <c r="N435" s="134">
        <f t="shared" si="11"/>
        <v>0.9716382177</v>
      </c>
      <c r="O435" s="134">
        <f t="shared" si="12"/>
        <v>0.9961098761</v>
      </c>
      <c r="P435" s="134">
        <f t="shared" si="13"/>
        <v>1.358773052</v>
      </c>
      <c r="Q435" s="134">
        <f t="shared" si="14"/>
        <v>1.245196536</v>
      </c>
    </row>
    <row r="436" ht="15.0" customHeight="1">
      <c r="A436" s="13">
        <v>397.0</v>
      </c>
      <c r="B436" s="134">
        <f t="shared" ref="B436:D436" si="803">RAND()</f>
        <v>0.4880147864</v>
      </c>
      <c r="C436" s="134">
        <f t="shared" si="803"/>
        <v>0.3734322071</v>
      </c>
      <c r="D436" s="134">
        <f t="shared" si="803"/>
        <v>0.1258146857</v>
      </c>
      <c r="F436" s="134">
        <f t="shared" ref="F436:H436" si="804">RAND()</f>
        <v>0.2610716014</v>
      </c>
      <c r="G436" s="134">
        <f t="shared" si="804"/>
        <v>0.01611516768</v>
      </c>
      <c r="H436" s="134">
        <f t="shared" si="804"/>
        <v>0.6351658841</v>
      </c>
      <c r="J436" s="135">
        <f t="shared" si="8"/>
        <v>169904460.6</v>
      </c>
      <c r="K436" s="136">
        <f>IF(J436&gt;0,MIN(99,$B$12*Q436/(J436*12*(1-Inputs!$H$16))),99)</f>
        <v>3.662412591</v>
      </c>
      <c r="L436" s="134">
        <f t="shared" si="9"/>
        <v>1.009673848</v>
      </c>
      <c r="M436" s="134">
        <f t="shared" si="10"/>
        <v>1.003645636</v>
      </c>
      <c r="N436" s="134">
        <f t="shared" si="11"/>
        <v>0.9730451528</v>
      </c>
      <c r="O436" s="134">
        <f t="shared" si="12"/>
        <v>1.003527853</v>
      </c>
      <c r="P436" s="134">
        <f t="shared" si="13"/>
        <v>0.8706337166</v>
      </c>
      <c r="Q436" s="134">
        <f t="shared" si="14"/>
        <v>1.143774817</v>
      </c>
    </row>
    <row r="437" ht="15.0" customHeight="1">
      <c r="A437" s="13">
        <v>398.0</v>
      </c>
      <c r="B437" s="134">
        <f t="shared" ref="B437:D437" si="805">RAND()</f>
        <v>0.240863354</v>
      </c>
      <c r="C437" s="134">
        <f t="shared" si="805"/>
        <v>0.7112878477</v>
      </c>
      <c r="D437" s="134">
        <f t="shared" si="805"/>
        <v>0.06553035723</v>
      </c>
      <c r="F437" s="134">
        <f t="shared" ref="F437:H437" si="806">RAND()</f>
        <v>0.3070902573</v>
      </c>
      <c r="G437" s="134">
        <f t="shared" si="806"/>
        <v>0.5057643973</v>
      </c>
      <c r="H437" s="134">
        <f t="shared" si="806"/>
        <v>0.8016114298</v>
      </c>
      <c r="J437" s="135">
        <f t="shared" si="8"/>
        <v>109759082.7</v>
      </c>
      <c r="K437" s="136">
        <f>IF(J437&gt;0,MIN(99,$B$12*Q437/(J437*12*(1-Inputs!$H$16))),99)</f>
        <v>6.085666321</v>
      </c>
      <c r="L437" s="134">
        <f t="shared" si="9"/>
        <v>0.939612051</v>
      </c>
      <c r="M437" s="134">
        <f t="shared" si="10"/>
        <v>0.9723466852</v>
      </c>
      <c r="N437" s="134">
        <f t="shared" si="11"/>
        <v>0.9635516649</v>
      </c>
      <c r="O437" s="134">
        <f t="shared" si="12"/>
        <v>1.006954591</v>
      </c>
      <c r="P437" s="134">
        <f t="shared" si="13"/>
        <v>1.194252361</v>
      </c>
      <c r="Q437" s="134">
        <f t="shared" si="14"/>
        <v>1.227770195</v>
      </c>
    </row>
    <row r="438" ht="15.0" customHeight="1">
      <c r="A438" s="13">
        <v>399.0</v>
      </c>
      <c r="B438" s="134">
        <f t="shared" ref="B438:D438" si="807">RAND()</f>
        <v>0.7773748951</v>
      </c>
      <c r="C438" s="134">
        <f t="shared" si="807"/>
        <v>0.6080409489</v>
      </c>
      <c r="D438" s="134">
        <f t="shared" si="807"/>
        <v>0.3342628736</v>
      </c>
      <c r="F438" s="134">
        <f t="shared" ref="F438:H438" si="808">RAND()</f>
        <v>0.05486384809</v>
      </c>
      <c r="G438" s="134">
        <f t="shared" si="808"/>
        <v>0.895059548</v>
      </c>
      <c r="H438" s="134">
        <f t="shared" si="808"/>
        <v>0.5716484275</v>
      </c>
      <c r="J438" s="135">
        <f t="shared" si="8"/>
        <v>209450207.2</v>
      </c>
      <c r="K438" s="136">
        <f>IF(J438&gt;0,MIN(99,$B$12*Q438/(J438*12*(1-Inputs!$H$16))),99)</f>
        <v>2.901495694</v>
      </c>
      <c r="L438" s="134">
        <f t="shared" si="9"/>
        <v>1.100040142</v>
      </c>
      <c r="M438" s="134">
        <f t="shared" si="10"/>
        <v>1.043611487</v>
      </c>
      <c r="N438" s="134">
        <f t="shared" si="11"/>
        <v>0.9945346605</v>
      </c>
      <c r="O438" s="134">
        <f t="shared" si="12"/>
        <v>0.9851999124</v>
      </c>
      <c r="P438" s="134">
        <f t="shared" si="13"/>
        <v>1.554720683</v>
      </c>
      <c r="Q438" s="134">
        <f t="shared" si="14"/>
        <v>1.117046381</v>
      </c>
    </row>
    <row r="439" ht="15.0" customHeight="1">
      <c r="A439" s="13">
        <v>400.0</v>
      </c>
      <c r="B439" s="134">
        <f t="shared" ref="B439:D439" si="809">RAND()</f>
        <v>0.9863064536</v>
      </c>
      <c r="C439" s="134">
        <f t="shared" si="809"/>
        <v>0.1723786631</v>
      </c>
      <c r="D439" s="134">
        <f t="shared" si="809"/>
        <v>0.2291411148</v>
      </c>
      <c r="F439" s="134">
        <f t="shared" ref="F439:H439" si="810">RAND()</f>
        <v>0.430070481</v>
      </c>
      <c r="G439" s="134">
        <f t="shared" si="810"/>
        <v>0.4783387104</v>
      </c>
      <c r="H439" s="134">
        <f t="shared" si="810"/>
        <v>0.7390031515</v>
      </c>
      <c r="J439" s="135">
        <f t="shared" si="8"/>
        <v>326855502.1</v>
      </c>
      <c r="K439" s="136">
        <f>IF(J439&gt;0,MIN(99,$B$12*Q439/(J439*12*(1-Inputs!$H$16))),99)</f>
        <v>1.985875179</v>
      </c>
      <c r="L439" s="134">
        <f t="shared" si="9"/>
        <v>1.231608035</v>
      </c>
      <c r="M439" s="134">
        <f t="shared" si="10"/>
        <v>1.101799365</v>
      </c>
      <c r="N439" s="134">
        <f t="shared" si="11"/>
        <v>0.9849687396</v>
      </c>
      <c r="O439" s="134">
        <f t="shared" si="12"/>
        <v>1.016716074</v>
      </c>
      <c r="P439" s="134">
        <f t="shared" si="13"/>
        <v>1.175954487</v>
      </c>
      <c r="Q439" s="134">
        <f t="shared" si="14"/>
        <v>1.193098306</v>
      </c>
    </row>
    <row r="440" ht="15.0" customHeight="1">
      <c r="A440" s="13">
        <v>401.0</v>
      </c>
      <c r="B440" s="134">
        <f t="shared" ref="B440:D440" si="811">RAND()</f>
        <v>0.8594672797</v>
      </c>
      <c r="C440" s="134">
        <f t="shared" si="811"/>
        <v>0.6441743708</v>
      </c>
      <c r="D440" s="134">
        <f t="shared" si="811"/>
        <v>0.9740342255</v>
      </c>
      <c r="F440" s="134">
        <f t="shared" ref="F440:H440" si="812">RAND()</f>
        <v>0.9295358815</v>
      </c>
      <c r="G440" s="134">
        <f t="shared" si="812"/>
        <v>0.572795625</v>
      </c>
      <c r="H440" s="134">
        <f t="shared" si="812"/>
        <v>0.7342591096</v>
      </c>
      <c r="J440" s="135">
        <f t="shared" si="8"/>
        <v>214857091.9</v>
      </c>
      <c r="K440" s="136">
        <f>IF(J440&gt;0,MIN(99,$B$12*Q440/(J440*12*(1-Inputs!$H$16))),99)</f>
        <v>3.014852914</v>
      </c>
      <c r="L440" s="134">
        <f t="shared" si="9"/>
        <v>1.13599191</v>
      </c>
      <c r="M440" s="134">
        <f t="shared" si="10"/>
        <v>1.059511697</v>
      </c>
      <c r="N440" s="134">
        <f t="shared" si="11"/>
        <v>1.0715335</v>
      </c>
      <c r="O440" s="134">
        <f t="shared" si="12"/>
        <v>1.078388795</v>
      </c>
      <c r="P440" s="134">
        <f t="shared" si="13"/>
        <v>1.24123743</v>
      </c>
      <c r="Q440" s="134">
        <f t="shared" si="14"/>
        <v>1.190650513</v>
      </c>
    </row>
    <row r="441" ht="15.0" customHeight="1">
      <c r="A441" s="13">
        <v>402.0</v>
      </c>
      <c r="B441" s="134">
        <f t="shared" ref="B441:D441" si="813">RAND()</f>
        <v>0.07197203684</v>
      </c>
      <c r="C441" s="134">
        <f t="shared" si="813"/>
        <v>0.1266136674</v>
      </c>
      <c r="D441" s="134">
        <f t="shared" si="813"/>
        <v>0.8540449083</v>
      </c>
      <c r="F441" s="134">
        <f t="shared" ref="F441:H441" si="814">RAND()</f>
        <v>0.3468895692</v>
      </c>
      <c r="G441" s="134">
        <f t="shared" si="814"/>
        <v>0.3281181197</v>
      </c>
      <c r="H441" s="134">
        <f t="shared" si="814"/>
        <v>0.7122936536</v>
      </c>
      <c r="J441" s="135">
        <f t="shared" si="8"/>
        <v>48583685.07</v>
      </c>
      <c r="K441" s="136">
        <f>IF(J441&gt;0,MIN(99,$B$12*Q441/(J441*12*(1-Inputs!$H$16))),99)</f>
        <v>13.20908674</v>
      </c>
      <c r="L441" s="134">
        <f t="shared" si="9"/>
        <v>0.8649825213</v>
      </c>
      <c r="M441" s="134">
        <f t="shared" si="10"/>
        <v>0.9389582689</v>
      </c>
      <c r="N441" s="134">
        <f t="shared" si="11"/>
        <v>1.045687526</v>
      </c>
      <c r="O441" s="134">
        <f t="shared" si="12"/>
        <v>1.010011167</v>
      </c>
      <c r="P441" s="134">
        <f t="shared" si="13"/>
        <v>1.083313352</v>
      </c>
      <c r="Q441" s="134">
        <f t="shared" si="14"/>
        <v>1.179591749</v>
      </c>
    </row>
    <row r="442" ht="15.0" customHeight="1">
      <c r="A442" s="13">
        <v>403.0</v>
      </c>
      <c r="B442" s="134">
        <f t="shared" ref="B442:D442" si="815">RAND()</f>
        <v>0.4717151467</v>
      </c>
      <c r="C442" s="134">
        <f t="shared" si="815"/>
        <v>0.6405437519</v>
      </c>
      <c r="D442" s="134">
        <f t="shared" si="815"/>
        <v>0.1528410797</v>
      </c>
      <c r="F442" s="134">
        <f t="shared" ref="F442:H442" si="816">RAND()</f>
        <v>0.4833814314</v>
      </c>
      <c r="G442" s="134">
        <f t="shared" si="816"/>
        <v>0.3245666128</v>
      </c>
      <c r="H442" s="134">
        <f t="shared" si="816"/>
        <v>0.3067981611</v>
      </c>
      <c r="J442" s="135">
        <f t="shared" si="8"/>
        <v>155218466.2</v>
      </c>
      <c r="K442" s="136">
        <f>IF(J442&gt;0,MIN(99,$B$12*Q442/(J442*12*(1-Inputs!$H$16))),99)</f>
        <v>3.584658233</v>
      </c>
      <c r="L442" s="134">
        <f t="shared" si="9"/>
        <v>1.005483456</v>
      </c>
      <c r="M442" s="134">
        <f t="shared" si="10"/>
        <v>1.001792372</v>
      </c>
      <c r="N442" s="134">
        <f t="shared" si="11"/>
        <v>0.9765308978</v>
      </c>
      <c r="O442" s="134">
        <f t="shared" si="12"/>
        <v>1.02127393</v>
      </c>
      <c r="P442" s="134">
        <f t="shared" si="13"/>
        <v>1.081256009</v>
      </c>
      <c r="Q442" s="134">
        <f t="shared" si="14"/>
        <v>1.022726772</v>
      </c>
    </row>
    <row r="443" ht="15.0" customHeight="1">
      <c r="A443" s="13">
        <v>404.0</v>
      </c>
      <c r="B443" s="134">
        <f t="shared" ref="B443:D443" si="817">RAND()</f>
        <v>0.1642412954</v>
      </c>
      <c r="C443" s="134">
        <f t="shared" si="817"/>
        <v>0.1444884873</v>
      </c>
      <c r="D443" s="134">
        <f t="shared" si="817"/>
        <v>0.6136297472</v>
      </c>
      <c r="F443" s="134">
        <f t="shared" ref="F443:H443" si="818">RAND()</f>
        <v>0.9891688643</v>
      </c>
      <c r="G443" s="134">
        <f t="shared" si="818"/>
        <v>0.7597542785</v>
      </c>
      <c r="H443" s="134">
        <f t="shared" si="818"/>
        <v>0.2770922613</v>
      </c>
      <c r="J443" s="135">
        <f t="shared" si="8"/>
        <v>56761993.89</v>
      </c>
      <c r="K443" s="136">
        <f>IF(J443&gt;0,MIN(99,$B$12*Q443/(J443*12*(1-Inputs!$H$16))),99)</f>
        <v>9.712823771</v>
      </c>
      <c r="L443" s="134">
        <f t="shared" si="9"/>
        <v>0.9109306652</v>
      </c>
      <c r="M443" s="134">
        <f t="shared" si="10"/>
        <v>0.9595149542</v>
      </c>
      <c r="N443" s="134">
        <f t="shared" si="11"/>
        <v>1.017660107</v>
      </c>
      <c r="O443" s="134">
        <f t="shared" si="12"/>
        <v>1.0987216</v>
      </c>
      <c r="P443" s="134">
        <f t="shared" si="13"/>
        <v>1.396674645</v>
      </c>
      <c r="Q443" s="134">
        <f t="shared" si="14"/>
        <v>1.013378376</v>
      </c>
    </row>
    <row r="444" ht="15.0" customHeight="1">
      <c r="A444" s="13">
        <v>405.0</v>
      </c>
      <c r="B444" s="134">
        <f t="shared" ref="B444:D444" si="819">RAND()</f>
        <v>0.7829757749</v>
      </c>
      <c r="C444" s="134">
        <f t="shared" si="819"/>
        <v>0.9766523723</v>
      </c>
      <c r="D444" s="134">
        <f t="shared" si="819"/>
        <v>0.7977633686</v>
      </c>
      <c r="F444" s="134">
        <f t="shared" ref="F444:H444" si="820">RAND()</f>
        <v>0.7683718014</v>
      </c>
      <c r="G444" s="134">
        <f t="shared" si="820"/>
        <v>0.8549560434</v>
      </c>
      <c r="H444" s="134">
        <f t="shared" si="820"/>
        <v>0.9166415218</v>
      </c>
      <c r="J444" s="135">
        <f t="shared" si="8"/>
        <v>191923832.3</v>
      </c>
      <c r="K444" s="136">
        <f>IF(J444&gt;0,MIN(99,$B$12*Q444/(J444*12*(1-Inputs!$H$16))),99)</f>
        <v>3.715545557</v>
      </c>
      <c r="L444" s="134">
        <f t="shared" si="9"/>
        <v>1.102255012</v>
      </c>
      <c r="M444" s="134">
        <f t="shared" si="10"/>
        <v>1.044591047</v>
      </c>
      <c r="N444" s="134">
        <f t="shared" si="11"/>
        <v>1.037770391</v>
      </c>
      <c r="O444" s="134">
        <f t="shared" si="12"/>
        <v>1.051195715</v>
      </c>
      <c r="P444" s="134">
        <f t="shared" si="13"/>
        <v>1.500612242</v>
      </c>
      <c r="Q444" s="134">
        <f t="shared" si="14"/>
        <v>1.310750339</v>
      </c>
    </row>
    <row r="445" ht="15.0" customHeight="1">
      <c r="A445" s="13">
        <v>406.0</v>
      </c>
      <c r="B445" s="134">
        <f t="shared" ref="B445:D445" si="821">RAND()</f>
        <v>0.2250976645</v>
      </c>
      <c r="C445" s="134">
        <f t="shared" si="821"/>
        <v>0.5981433301</v>
      </c>
      <c r="D445" s="134">
        <f t="shared" si="821"/>
        <v>0.554118177</v>
      </c>
      <c r="F445" s="134">
        <f t="shared" ref="F445:H445" si="822">RAND()</f>
        <v>0.9647702362</v>
      </c>
      <c r="G445" s="134">
        <f t="shared" si="822"/>
        <v>0.6624940743</v>
      </c>
      <c r="H445" s="134">
        <f t="shared" si="822"/>
        <v>0.9778035144</v>
      </c>
      <c r="J445" s="135">
        <f t="shared" si="8"/>
        <v>78277881.76</v>
      </c>
      <c r="K445" s="136">
        <f>IF(J445&gt;0,MIN(99,$B$12*Q445/(J445*12*(1-Inputs!$H$16))),99)</f>
        <v>9.624188836</v>
      </c>
      <c r="L445" s="134">
        <f t="shared" si="9"/>
        <v>0.9341335516</v>
      </c>
      <c r="M445" s="134">
        <f t="shared" si="10"/>
        <v>0.9698956659</v>
      </c>
      <c r="N445" s="134">
        <f t="shared" si="11"/>
        <v>1.012259645</v>
      </c>
      <c r="O445" s="134">
        <f t="shared" si="12"/>
        <v>1.088185507</v>
      </c>
      <c r="P445" s="134">
        <f t="shared" si="13"/>
        <v>1.310327497</v>
      </c>
      <c r="Q445" s="134">
        <f t="shared" si="14"/>
        <v>1.384750982</v>
      </c>
    </row>
    <row r="446" ht="15.0" customHeight="1">
      <c r="A446" s="13">
        <v>407.0</v>
      </c>
      <c r="B446" s="134">
        <f t="shared" ref="B446:D446" si="823">RAND()</f>
        <v>0.6790158725</v>
      </c>
      <c r="C446" s="134">
        <f t="shared" si="823"/>
        <v>0.406304582</v>
      </c>
      <c r="D446" s="134">
        <f t="shared" si="823"/>
        <v>0.9860297973</v>
      </c>
      <c r="F446" s="134">
        <f t="shared" ref="F446:H446" si="824">RAND()</f>
        <v>0.6184339985</v>
      </c>
      <c r="G446" s="134">
        <f t="shared" si="824"/>
        <v>0.9704988854</v>
      </c>
      <c r="H446" s="134">
        <f t="shared" si="824"/>
        <v>0.5407571655</v>
      </c>
      <c r="J446" s="135">
        <f t="shared" si="8"/>
        <v>150450151.8</v>
      </c>
      <c r="K446" s="136">
        <f>IF(J446&gt;0,MIN(99,$B$12*Q446/(J446*12*(1-Inputs!$H$16))),99)</f>
        <v>3.994930008</v>
      </c>
      <c r="L446" s="134">
        <f t="shared" si="9"/>
        <v>1.064915927</v>
      </c>
      <c r="M446" s="134">
        <f t="shared" si="10"/>
        <v>1.028077276</v>
      </c>
      <c r="N446" s="134">
        <f t="shared" si="11"/>
        <v>1.076557968</v>
      </c>
      <c r="O446" s="134">
        <f t="shared" si="12"/>
        <v>1.034005905</v>
      </c>
      <c r="P446" s="134">
        <f t="shared" si="13"/>
        <v>1.699437425</v>
      </c>
      <c r="Q446" s="134">
        <f t="shared" si="14"/>
        <v>1.104765965</v>
      </c>
    </row>
    <row r="447" ht="15.0" customHeight="1">
      <c r="A447" s="13">
        <v>408.0</v>
      </c>
      <c r="B447" s="134">
        <f t="shared" ref="B447:D447" si="825">RAND()</f>
        <v>0.5909892963</v>
      </c>
      <c r="C447" s="134">
        <f t="shared" si="825"/>
        <v>0.9250549473</v>
      </c>
      <c r="D447" s="134">
        <f t="shared" si="825"/>
        <v>0.663514894</v>
      </c>
      <c r="F447" s="134">
        <f t="shared" ref="F447:H447" si="826">RAND()</f>
        <v>0.3309901666</v>
      </c>
      <c r="G447" s="134">
        <f t="shared" si="826"/>
        <v>0.405800133</v>
      </c>
      <c r="H447" s="134">
        <f t="shared" si="826"/>
        <v>0.5436686389</v>
      </c>
      <c r="J447" s="135">
        <f t="shared" si="8"/>
        <v>168715581.1</v>
      </c>
      <c r="K447" s="136">
        <f>IF(J447&gt;0,MIN(99,$B$12*Q447/(J447*12*(1-Inputs!$H$16))),99)</f>
        <v>3.566106438</v>
      </c>
      <c r="L447" s="134">
        <f t="shared" si="9"/>
        <v>1.037852426</v>
      </c>
      <c r="M447" s="134">
        <f t="shared" si="10"/>
        <v>1.016108036</v>
      </c>
      <c r="N447" s="134">
        <f t="shared" si="11"/>
        <v>1.022517278</v>
      </c>
      <c r="O447" s="134">
        <f t="shared" si="12"/>
        <v>1.008779223</v>
      </c>
      <c r="P447" s="134">
        <f t="shared" si="13"/>
        <v>1.129756603</v>
      </c>
      <c r="Q447" s="134">
        <f t="shared" si="14"/>
        <v>1.10590539</v>
      </c>
    </row>
    <row r="448" ht="15.0" customHeight="1">
      <c r="A448" s="13">
        <v>409.0</v>
      </c>
      <c r="B448" s="134">
        <f t="shared" ref="B448:D448" si="827">RAND()</f>
        <v>0.07750975532</v>
      </c>
      <c r="C448" s="134">
        <f t="shared" si="827"/>
        <v>0.818309637</v>
      </c>
      <c r="D448" s="134">
        <f t="shared" si="827"/>
        <v>0.08719184142</v>
      </c>
      <c r="F448" s="134">
        <f t="shared" ref="F448:H448" si="828">RAND()</f>
        <v>0.983126722</v>
      </c>
      <c r="G448" s="134">
        <f t="shared" si="828"/>
        <v>0.0547838306</v>
      </c>
      <c r="H448" s="134">
        <f t="shared" si="828"/>
        <v>0.4776759132</v>
      </c>
      <c r="J448" s="135">
        <f t="shared" si="8"/>
        <v>57340514.57</v>
      </c>
      <c r="K448" s="136">
        <f>IF(J448&gt;0,MIN(99,$B$12*Q448/(J448*12*(1-Inputs!$H$16))),99)</f>
        <v>10.25556894</v>
      </c>
      <c r="L448" s="134">
        <f t="shared" si="9"/>
        <v>0.8683801235</v>
      </c>
      <c r="M448" s="134">
        <f t="shared" si="10"/>
        <v>0.9404783182</v>
      </c>
      <c r="N448" s="134">
        <f t="shared" si="11"/>
        <v>0.9673305756</v>
      </c>
      <c r="O448" s="134">
        <f t="shared" si="12"/>
        <v>1.095467853</v>
      </c>
      <c r="P448" s="134">
        <f t="shared" si="13"/>
        <v>0.9178394096</v>
      </c>
      <c r="Q448" s="134">
        <f t="shared" si="14"/>
        <v>1.080910723</v>
      </c>
    </row>
    <row r="449" ht="15.0" customHeight="1">
      <c r="A449" s="13">
        <v>410.0</v>
      </c>
      <c r="B449" s="134">
        <f t="shared" ref="B449:D449" si="829">RAND()</f>
        <v>0.8239986769</v>
      </c>
      <c r="C449" s="134">
        <f t="shared" si="829"/>
        <v>0.1599282365</v>
      </c>
      <c r="D449" s="134">
        <f t="shared" si="829"/>
        <v>0.8961139109</v>
      </c>
      <c r="F449" s="134">
        <f t="shared" ref="F449:H449" si="830">RAND()</f>
        <v>0.8466715146</v>
      </c>
      <c r="G449" s="134">
        <f t="shared" si="830"/>
        <v>0.8677771421</v>
      </c>
      <c r="H449" s="134">
        <f t="shared" si="830"/>
        <v>0.9465620202</v>
      </c>
      <c r="J449" s="135">
        <f t="shared" si="8"/>
        <v>198951591.7</v>
      </c>
      <c r="K449" s="136">
        <f>IF(J449&gt;0,MIN(99,$B$12*Q449/(J449*12*(1-Inputs!$H$16))),99)</f>
        <v>3.667642711</v>
      </c>
      <c r="L449" s="134">
        <f t="shared" si="9"/>
        <v>1.119435923</v>
      </c>
      <c r="M449" s="134">
        <f t="shared" si="10"/>
        <v>1.052189563</v>
      </c>
      <c r="N449" s="134">
        <f t="shared" si="11"/>
        <v>1.052675719</v>
      </c>
      <c r="O449" s="134">
        <f t="shared" si="12"/>
        <v>1.062498193</v>
      </c>
      <c r="P449" s="134">
        <f t="shared" si="13"/>
        <v>1.516988732</v>
      </c>
      <c r="Q449" s="134">
        <f t="shared" si="14"/>
        <v>1.341228956</v>
      </c>
    </row>
    <row r="450" ht="15.0" customHeight="1">
      <c r="A450" s="13">
        <v>411.0</v>
      </c>
      <c r="B450" s="134">
        <f t="shared" ref="B450:D450" si="831">RAND()</f>
        <v>0.2850844668</v>
      </c>
      <c r="C450" s="134">
        <f t="shared" si="831"/>
        <v>0.5928109691</v>
      </c>
      <c r="D450" s="134">
        <f t="shared" si="831"/>
        <v>0.8148161972</v>
      </c>
      <c r="F450" s="134">
        <f t="shared" ref="F450:H450" si="832">RAND()</f>
        <v>0.4208240529</v>
      </c>
      <c r="G450" s="134">
        <f t="shared" si="832"/>
        <v>0.314930474</v>
      </c>
      <c r="H450" s="134">
        <f t="shared" si="832"/>
        <v>0.7403627164</v>
      </c>
      <c r="J450" s="135">
        <f t="shared" si="8"/>
        <v>107016499.6</v>
      </c>
      <c r="K450" s="136">
        <f>IF(J450&gt;0,MIN(99,$B$12*Q450/(J450*12*(1-Inputs!$H$16))),99)</f>
        <v>6.06895293</v>
      </c>
      <c r="L450" s="134">
        <f t="shared" si="9"/>
        <v>0.9540865783</v>
      </c>
      <c r="M450" s="134">
        <f t="shared" si="10"/>
        <v>0.9788224267</v>
      </c>
      <c r="N450" s="134">
        <f t="shared" si="11"/>
        <v>1.040037588</v>
      </c>
      <c r="O450" s="134">
        <f t="shared" si="12"/>
        <v>1.015947589</v>
      </c>
      <c r="P450" s="134">
        <f t="shared" si="13"/>
        <v>1.075701005</v>
      </c>
      <c r="Q450" s="134">
        <f t="shared" si="14"/>
        <v>1.193803897</v>
      </c>
    </row>
    <row r="451" ht="15.0" customHeight="1">
      <c r="A451" s="13">
        <v>412.0</v>
      </c>
      <c r="B451" s="134">
        <f t="shared" ref="B451:D451" si="833">RAND()</f>
        <v>0.2114847367</v>
      </c>
      <c r="C451" s="134">
        <f t="shared" si="833"/>
        <v>0.4014346178</v>
      </c>
      <c r="D451" s="134">
        <f t="shared" si="833"/>
        <v>0.6575453902</v>
      </c>
      <c r="F451" s="134">
        <f t="shared" ref="F451:H451" si="834">RAND()</f>
        <v>0.9068980746</v>
      </c>
      <c r="G451" s="134">
        <f t="shared" si="834"/>
        <v>0.7716054232</v>
      </c>
      <c r="H451" s="134">
        <f t="shared" si="834"/>
        <v>0.7526317956</v>
      </c>
      <c r="J451" s="135">
        <f t="shared" si="8"/>
        <v>71837666.74</v>
      </c>
      <c r="K451" s="136">
        <f>IF(J451&gt;0,MIN(99,$B$12*Q451/(J451*12*(1-Inputs!$H$16))),99)</f>
        <v>9.089782302</v>
      </c>
      <c r="L451" s="134">
        <f t="shared" si="9"/>
        <v>0.9292466625</v>
      </c>
      <c r="M451" s="134">
        <f t="shared" si="10"/>
        <v>0.9677093264</v>
      </c>
      <c r="N451" s="134">
        <f t="shared" si="11"/>
        <v>1.021917893</v>
      </c>
      <c r="O451" s="134">
        <f t="shared" si="12"/>
        <v>1.073389911</v>
      </c>
      <c r="P451" s="134">
        <f t="shared" si="13"/>
        <v>1.408316001</v>
      </c>
      <c r="Q451" s="134">
        <f t="shared" si="14"/>
        <v>1.200256818</v>
      </c>
    </row>
    <row r="452" ht="15.0" customHeight="1">
      <c r="A452" s="13">
        <v>413.0</v>
      </c>
      <c r="B452" s="134">
        <f t="shared" ref="B452:D452" si="835">RAND()</f>
        <v>0.8778112854</v>
      </c>
      <c r="C452" s="134">
        <f t="shared" si="835"/>
        <v>0.6680172365</v>
      </c>
      <c r="D452" s="134">
        <f t="shared" si="835"/>
        <v>0.960263715</v>
      </c>
      <c r="F452" s="134">
        <f t="shared" ref="F452:H452" si="836">RAND()</f>
        <v>0.01868074612</v>
      </c>
      <c r="G452" s="134">
        <f t="shared" si="836"/>
        <v>0.2108340355</v>
      </c>
      <c r="H452" s="134">
        <f t="shared" si="836"/>
        <v>0.8874143305</v>
      </c>
      <c r="J452" s="135">
        <f t="shared" si="8"/>
        <v>248271973</v>
      </c>
      <c r="K452" s="136">
        <f>IF(J452&gt;0,MIN(99,$B$12*Q452/(J452*12*(1-Inputs!$H$16))),99)</f>
        <v>2.817927591</v>
      </c>
      <c r="L452" s="134">
        <f t="shared" si="9"/>
        <v>1.145381528</v>
      </c>
      <c r="M452" s="134">
        <f t="shared" si="10"/>
        <v>1.063664397</v>
      </c>
      <c r="N452" s="134">
        <f t="shared" si="11"/>
        <v>1.067063944</v>
      </c>
      <c r="O452" s="134">
        <f t="shared" si="12"/>
        <v>0.9788218063</v>
      </c>
      <c r="P452" s="134">
        <f t="shared" si="13"/>
        <v>1.018017456</v>
      </c>
      <c r="Q452" s="134">
        <f t="shared" si="14"/>
        <v>1.285955695</v>
      </c>
    </row>
    <row r="453" ht="15.0" customHeight="1">
      <c r="A453" s="13">
        <v>414.0</v>
      </c>
      <c r="B453" s="134">
        <f t="shared" ref="B453:D453" si="837">RAND()</f>
        <v>0.3445969927</v>
      </c>
      <c r="C453" s="134">
        <f t="shared" si="837"/>
        <v>0.5941017892</v>
      </c>
      <c r="D453" s="134">
        <f t="shared" si="837"/>
        <v>0.1440487721</v>
      </c>
      <c r="F453" s="134">
        <f t="shared" ref="F453:H453" si="838">RAND()</f>
        <v>0.9433169681</v>
      </c>
      <c r="G453" s="134">
        <f t="shared" si="838"/>
        <v>0.1908616177</v>
      </c>
      <c r="H453" s="134">
        <f t="shared" si="838"/>
        <v>0.707476401</v>
      </c>
      <c r="J453" s="135">
        <f t="shared" si="8"/>
        <v>124264871.4</v>
      </c>
      <c r="K453" s="136">
        <f>IF(J453&gt;0,MIN(99,$B$12*Q453/(J453*12*(1-Inputs!$H$16))),99)</f>
        <v>5.153972272</v>
      </c>
      <c r="L453" s="134">
        <f t="shared" si="9"/>
        <v>0.9718937827</v>
      </c>
      <c r="M453" s="134">
        <f t="shared" si="10"/>
        <v>0.9867891707</v>
      </c>
      <c r="N453" s="134">
        <f t="shared" si="11"/>
        <v>0.975433455</v>
      </c>
      <c r="O453" s="134">
        <f t="shared" si="12"/>
        <v>1.081837123</v>
      </c>
      <c r="P453" s="134">
        <f t="shared" si="13"/>
        <v>1.007394687</v>
      </c>
      <c r="Q453" s="134">
        <f t="shared" si="14"/>
        <v>1.177223529</v>
      </c>
    </row>
    <row r="454" ht="15.0" customHeight="1">
      <c r="A454" s="13">
        <v>415.0</v>
      </c>
      <c r="B454" s="134">
        <f t="shared" ref="B454:D454" si="839">RAND()</f>
        <v>0.6189573101</v>
      </c>
      <c r="C454" s="134">
        <f t="shared" si="839"/>
        <v>0.3290278358</v>
      </c>
      <c r="D454" s="134">
        <f t="shared" si="839"/>
        <v>0.4831653137</v>
      </c>
      <c r="F454" s="134">
        <f t="shared" ref="F454:H454" si="840">RAND()</f>
        <v>0.05444586744</v>
      </c>
      <c r="G454" s="134">
        <f t="shared" si="840"/>
        <v>0.8127410379</v>
      </c>
      <c r="H454" s="134">
        <f t="shared" si="840"/>
        <v>0.07118242185</v>
      </c>
      <c r="J454" s="135">
        <f t="shared" si="8"/>
        <v>170180451</v>
      </c>
      <c r="K454" s="136">
        <f>IF(J454&gt;0,MIN(99,$B$12*Q454/(J454*12*(1-Inputs!$H$16))),99)</f>
        <v>2.994626685</v>
      </c>
      <c r="L454" s="134">
        <f t="shared" si="9"/>
        <v>1.04610402</v>
      </c>
      <c r="M454" s="134">
        <f t="shared" si="10"/>
        <v>1.019757427</v>
      </c>
      <c r="N454" s="134">
        <f t="shared" si="11"/>
        <v>1.006272841</v>
      </c>
      <c r="O454" s="134">
        <f t="shared" si="12"/>
        <v>0.9851414651</v>
      </c>
      <c r="P454" s="134">
        <f t="shared" si="13"/>
        <v>1.451271055</v>
      </c>
      <c r="Q454" s="134">
        <f t="shared" si="14"/>
        <v>0.9367438313</v>
      </c>
    </row>
    <row r="455" ht="15.0" customHeight="1">
      <c r="A455" s="13">
        <v>416.0</v>
      </c>
      <c r="B455" s="134">
        <f t="shared" ref="B455:D455" si="841">RAND()</f>
        <v>0.587991933</v>
      </c>
      <c r="C455" s="134">
        <f t="shared" si="841"/>
        <v>0.2852956621</v>
      </c>
      <c r="D455" s="134">
        <f t="shared" si="841"/>
        <v>0.87262494</v>
      </c>
      <c r="F455" s="134">
        <f t="shared" ref="F455:H455" si="842">RAND()</f>
        <v>0.4450553658</v>
      </c>
      <c r="G455" s="134">
        <f t="shared" si="842"/>
        <v>0.6511084937</v>
      </c>
      <c r="H455" s="134">
        <f t="shared" si="842"/>
        <v>0.02125542379</v>
      </c>
      <c r="J455" s="135">
        <f t="shared" si="8"/>
        <v>154252718.5</v>
      </c>
      <c r="K455" s="136">
        <f>IF(J455&gt;0,MIN(99,$B$12*Q455/(J455*12*(1-Inputs!$H$16))),99)</f>
        <v>3.179097191</v>
      </c>
      <c r="L455" s="134">
        <f t="shared" si="9"/>
        <v>1.036985065</v>
      </c>
      <c r="M455" s="134">
        <f t="shared" si="10"/>
        <v>1.015724432</v>
      </c>
      <c r="N455" s="134">
        <f t="shared" si="11"/>
        <v>1.048629459</v>
      </c>
      <c r="O455" s="134">
        <f t="shared" si="12"/>
        <v>1.017974851</v>
      </c>
      <c r="P455" s="134">
        <f t="shared" si="13"/>
        <v>1.301086674</v>
      </c>
      <c r="Q455" s="134">
        <f t="shared" si="14"/>
        <v>0.9013741797</v>
      </c>
    </row>
    <row r="456" ht="15.0" customHeight="1">
      <c r="A456" s="13">
        <v>417.0</v>
      </c>
      <c r="B456" s="134">
        <f t="shared" ref="B456:D456" si="843">RAND()</f>
        <v>0.7747374768</v>
      </c>
      <c r="C456" s="134">
        <f t="shared" si="843"/>
        <v>0.9614058034</v>
      </c>
      <c r="D456" s="134">
        <f t="shared" si="843"/>
        <v>0.6388239264</v>
      </c>
      <c r="F456" s="134">
        <f t="shared" ref="F456:H456" si="844">RAND()</f>
        <v>0.8860952815</v>
      </c>
      <c r="G456" s="134">
        <f t="shared" si="844"/>
        <v>0.5595305371</v>
      </c>
      <c r="H456" s="134">
        <f t="shared" si="844"/>
        <v>0.7547646637</v>
      </c>
      <c r="J456" s="135">
        <f t="shared" si="8"/>
        <v>200783133.2</v>
      </c>
      <c r="K456" s="136">
        <f>IF(J456&gt;0,MIN(99,$B$12*Q456/(J456*12*(1-Inputs!$H$16))),99)</f>
        <v>3.255292663</v>
      </c>
      <c r="L456" s="134">
        <f t="shared" si="9"/>
        <v>1.099006827</v>
      </c>
      <c r="M456" s="134">
        <f t="shared" si="10"/>
        <v>1.043154488</v>
      </c>
      <c r="N456" s="134">
        <f t="shared" si="11"/>
        <v>1.020071243</v>
      </c>
      <c r="O456" s="134">
        <f t="shared" si="12"/>
        <v>1.06931125</v>
      </c>
      <c r="P456" s="134">
        <f t="shared" si="13"/>
        <v>1.231661677</v>
      </c>
      <c r="Q456" s="134">
        <f t="shared" si="14"/>
        <v>1.201394799</v>
      </c>
    </row>
    <row r="457" ht="15.0" customHeight="1">
      <c r="A457" s="13">
        <v>418.0</v>
      </c>
      <c r="B457" s="134">
        <f t="shared" ref="B457:D457" si="845">RAND()</f>
        <v>0.3152504443</v>
      </c>
      <c r="C457" s="134">
        <f t="shared" si="845"/>
        <v>0.5278901734</v>
      </c>
      <c r="D457" s="134">
        <f t="shared" si="845"/>
        <v>0.7134866912</v>
      </c>
      <c r="F457" s="134">
        <f t="shared" ref="F457:H457" si="846">RAND()</f>
        <v>0.2097003602</v>
      </c>
      <c r="G457" s="134">
        <f t="shared" si="846"/>
        <v>0.2049990091</v>
      </c>
      <c r="H457" s="134">
        <f t="shared" si="846"/>
        <v>0.280983146</v>
      </c>
      <c r="J457" s="135">
        <f t="shared" si="8"/>
        <v>120831040.6</v>
      </c>
      <c r="K457" s="136">
        <f>IF(J457&gt;0,MIN(99,$B$12*Q457/(J457*12*(1-Inputs!$H$16))),99)</f>
        <v>4.568191819</v>
      </c>
      <c r="L457" s="134">
        <f t="shared" si="9"/>
        <v>0.9633233257</v>
      </c>
      <c r="M457" s="134">
        <f t="shared" si="10"/>
        <v>0.9829548441</v>
      </c>
      <c r="N457" s="134">
        <f t="shared" si="11"/>
        <v>1.02775944</v>
      </c>
      <c r="O457" s="134">
        <f t="shared" si="12"/>
        <v>0.9998256684</v>
      </c>
      <c r="P457" s="134">
        <f t="shared" si="13"/>
        <v>1.014900207</v>
      </c>
      <c r="Q457" s="134">
        <f t="shared" si="14"/>
        <v>1.014591755</v>
      </c>
    </row>
    <row r="458" ht="15.0" customHeight="1">
      <c r="A458" s="13">
        <v>419.0</v>
      </c>
      <c r="B458" s="134">
        <f t="shared" ref="B458:D458" si="847">RAND()</f>
        <v>0.8668518637</v>
      </c>
      <c r="C458" s="134">
        <f t="shared" si="847"/>
        <v>0.9062591351</v>
      </c>
      <c r="D458" s="134">
        <f t="shared" si="847"/>
        <v>0.5735696581</v>
      </c>
      <c r="F458" s="134">
        <f t="shared" ref="F458:H458" si="848">RAND()</f>
        <v>0.8033638177</v>
      </c>
      <c r="G458" s="134">
        <f t="shared" si="848"/>
        <v>0.2761259767</v>
      </c>
      <c r="H458" s="134">
        <f t="shared" si="848"/>
        <v>0.7144223693</v>
      </c>
      <c r="J458" s="135">
        <f t="shared" si="8"/>
        <v>242655033.5</v>
      </c>
      <c r="K458" s="136">
        <f>IF(J458&gt;0,MIN(99,$B$12*Q458/(J458*12*(1-Inputs!$H$16))),99)</f>
        <v>2.647045378</v>
      </c>
      <c r="L458" s="134">
        <f t="shared" si="9"/>
        <v>1.139693427</v>
      </c>
      <c r="M458" s="134">
        <f t="shared" si="10"/>
        <v>1.061148748</v>
      </c>
      <c r="N458" s="134">
        <f t="shared" si="11"/>
        <v>1.013982793</v>
      </c>
      <c r="O458" s="134">
        <f t="shared" si="12"/>
        <v>1.055963473</v>
      </c>
      <c r="P458" s="134">
        <f t="shared" si="13"/>
        <v>1.053717101</v>
      </c>
      <c r="Q458" s="134">
        <f t="shared" si="14"/>
        <v>1.180644565</v>
      </c>
    </row>
    <row r="459" ht="15.0" customHeight="1">
      <c r="A459" s="13">
        <v>420.0</v>
      </c>
      <c r="B459" s="134">
        <f t="shared" ref="B459:D459" si="849">RAND()</f>
        <v>0.770063691</v>
      </c>
      <c r="C459" s="134">
        <f t="shared" si="849"/>
        <v>0.8965566701</v>
      </c>
      <c r="D459" s="134">
        <f t="shared" si="849"/>
        <v>0.6109549502</v>
      </c>
      <c r="F459" s="134">
        <f t="shared" ref="F459:H459" si="850">RAND()</f>
        <v>0.6515572529</v>
      </c>
      <c r="G459" s="134">
        <f t="shared" si="850"/>
        <v>0.6845289577</v>
      </c>
      <c r="H459" s="134">
        <f t="shared" si="850"/>
        <v>0.6179097239</v>
      </c>
      <c r="J459" s="135">
        <f t="shared" si="8"/>
        <v>201682384.4</v>
      </c>
      <c r="K459" s="136">
        <f>IF(J459&gt;0,MIN(99,$B$12*Q459/(J459*12*(1-Inputs!$H$16))),99)</f>
        <v>3.065176947</v>
      </c>
      <c r="L459" s="134">
        <f t="shared" si="9"/>
        <v>1.097190432</v>
      </c>
      <c r="M459" s="134">
        <f t="shared" si="10"/>
        <v>1.04235116</v>
      </c>
      <c r="N459" s="134">
        <f t="shared" si="11"/>
        <v>1.017408801</v>
      </c>
      <c r="O459" s="134">
        <f t="shared" si="12"/>
        <v>1.037460672</v>
      </c>
      <c r="P459" s="134">
        <f t="shared" si="13"/>
        <v>1.3286655</v>
      </c>
      <c r="Q459" s="134">
        <f t="shared" si="14"/>
        <v>1.136297364</v>
      </c>
    </row>
    <row r="460" ht="15.0" customHeight="1">
      <c r="A460" s="13">
        <v>421.0</v>
      </c>
      <c r="B460" s="134">
        <f t="shared" ref="B460:D460" si="851">RAND()</f>
        <v>0.4419777415</v>
      </c>
      <c r="C460" s="134">
        <f t="shared" si="851"/>
        <v>0.4555727967</v>
      </c>
      <c r="D460" s="134">
        <f t="shared" si="851"/>
        <v>0.9722966982</v>
      </c>
      <c r="F460" s="134">
        <f t="shared" ref="F460:H460" si="852">RAND()</f>
        <v>0.8703070074</v>
      </c>
      <c r="G460" s="134">
        <f t="shared" si="852"/>
        <v>0.6359816315</v>
      </c>
      <c r="H460" s="134">
        <f t="shared" si="852"/>
        <v>0.194596819</v>
      </c>
      <c r="J460" s="135">
        <f t="shared" si="8"/>
        <v>114187424.5</v>
      </c>
      <c r="K460" s="136">
        <f>IF(J460&gt;0,MIN(99,$B$12*Q460/(J460*12*(1-Inputs!$H$16))),99)</f>
        <v>4.705849341</v>
      </c>
      <c r="L460" s="134">
        <f t="shared" si="9"/>
        <v>0.9979854164</v>
      </c>
      <c r="M460" s="134">
        <f t="shared" si="10"/>
        <v>0.9984622755</v>
      </c>
      <c r="N460" s="134">
        <f t="shared" si="11"/>
        <v>1.07091291</v>
      </c>
      <c r="O460" s="134">
        <f t="shared" si="12"/>
        <v>1.066459809</v>
      </c>
      <c r="P460" s="134">
        <f t="shared" si="13"/>
        <v>1.289039524</v>
      </c>
      <c r="Q460" s="134">
        <f t="shared" si="14"/>
        <v>0.9876993723</v>
      </c>
    </row>
    <row r="461" ht="15.0" customHeight="1">
      <c r="A461" s="13">
        <v>422.0</v>
      </c>
      <c r="B461" s="134">
        <f t="shared" ref="B461:D461" si="853">RAND()</f>
        <v>0.206014196</v>
      </c>
      <c r="C461" s="134">
        <f t="shared" si="853"/>
        <v>0.3659128485</v>
      </c>
      <c r="D461" s="134">
        <f t="shared" si="853"/>
        <v>0.4624304602</v>
      </c>
      <c r="F461" s="134">
        <f t="shared" ref="F461:H461" si="854">RAND()</f>
        <v>0.2966825365</v>
      </c>
      <c r="G461" s="134">
        <f t="shared" si="854"/>
        <v>0.170777219</v>
      </c>
      <c r="H461" s="134">
        <f t="shared" si="854"/>
        <v>0.6446484603</v>
      </c>
      <c r="J461" s="135">
        <f t="shared" si="8"/>
        <v>100718186.5</v>
      </c>
      <c r="K461" s="136">
        <f>IF(J461&gt;0,MIN(99,$B$12*Q461/(J461*12*(1-Inputs!$H$16))),99)</f>
        <v>6.200833612</v>
      </c>
      <c r="L461" s="134">
        <f t="shared" si="9"/>
        <v>0.9272386188</v>
      </c>
      <c r="M461" s="134">
        <f t="shared" si="10"/>
        <v>0.9668109501</v>
      </c>
      <c r="N461" s="134">
        <f t="shared" si="11"/>
        <v>1.004602145</v>
      </c>
      <c r="O461" s="134">
        <f t="shared" si="12"/>
        <v>1.006169865</v>
      </c>
      <c r="P461" s="134">
        <f t="shared" si="13"/>
        <v>0.9968105418</v>
      </c>
      <c r="Q461" s="134">
        <f t="shared" si="14"/>
        <v>1.14795921</v>
      </c>
    </row>
    <row r="462" ht="15.0" customHeight="1">
      <c r="A462" s="13">
        <v>423.0</v>
      </c>
      <c r="B462" s="134">
        <f t="shared" ref="B462:D462" si="855">RAND()</f>
        <v>0.1409660056</v>
      </c>
      <c r="C462" s="134">
        <f t="shared" si="855"/>
        <v>0.5467401009</v>
      </c>
      <c r="D462" s="134">
        <f t="shared" si="855"/>
        <v>0.8208688255</v>
      </c>
      <c r="F462" s="134">
        <f t="shared" ref="F462:H462" si="856">RAND()</f>
        <v>0.3653565</v>
      </c>
      <c r="G462" s="134">
        <f t="shared" si="856"/>
        <v>0.07142476029</v>
      </c>
      <c r="H462" s="134">
        <f t="shared" si="856"/>
        <v>0.2796613986</v>
      </c>
      <c r="J462" s="135">
        <f t="shared" si="8"/>
        <v>77816395.01</v>
      </c>
      <c r="K462" s="136">
        <f>IF(J462&gt;0,MIN(99,$B$12*Q462/(J462*12*(1-Inputs!$H$16))),99)</f>
        <v>7.090471405</v>
      </c>
      <c r="L462" s="134">
        <f t="shared" si="9"/>
        <v>0.9009312337</v>
      </c>
      <c r="M462" s="134">
        <f t="shared" si="10"/>
        <v>0.9550413205</v>
      </c>
      <c r="N462" s="134">
        <f t="shared" si="11"/>
        <v>1.040867246</v>
      </c>
      <c r="O462" s="134">
        <f t="shared" si="12"/>
        <v>1.011461031</v>
      </c>
      <c r="P462" s="134">
        <f t="shared" si="13"/>
        <v>0.932468474</v>
      </c>
      <c r="Q462" s="134">
        <f t="shared" si="14"/>
        <v>1.014179198</v>
      </c>
    </row>
    <row r="463" ht="15.0" customHeight="1">
      <c r="A463" s="13">
        <v>424.0</v>
      </c>
      <c r="B463" s="134">
        <f t="shared" ref="B463:D463" si="857">RAND()</f>
        <v>0.3321414266</v>
      </c>
      <c r="C463" s="134">
        <f t="shared" si="857"/>
        <v>0.1489638398</v>
      </c>
      <c r="D463" s="134">
        <f t="shared" si="857"/>
        <v>0.7167187052</v>
      </c>
      <c r="F463" s="134">
        <f t="shared" ref="F463:H463" si="858">RAND()</f>
        <v>0.1929147935</v>
      </c>
      <c r="G463" s="134">
        <f t="shared" si="858"/>
        <v>0.5929053947</v>
      </c>
      <c r="H463" s="134">
        <f t="shared" si="858"/>
        <v>0.5864704862</v>
      </c>
      <c r="J463" s="135">
        <f t="shared" si="8"/>
        <v>115272237.6</v>
      </c>
      <c r="K463" s="136">
        <f>IF(J463&gt;0,MIN(99,$B$12*Q463/(J463*12*(1-Inputs!$H$16))),99)</f>
        <v>5.300582846</v>
      </c>
      <c r="L463" s="134">
        <f t="shared" si="9"/>
        <v>0.9683026397</v>
      </c>
      <c r="M463" s="134">
        <f t="shared" si="10"/>
        <v>0.9851825334</v>
      </c>
      <c r="N463" s="134">
        <f t="shared" si="11"/>
        <v>1.028113678</v>
      </c>
      <c r="O463" s="134">
        <f t="shared" si="12"/>
        <v>0.9986023983</v>
      </c>
      <c r="P463" s="134">
        <f t="shared" si="13"/>
        <v>1.256042352</v>
      </c>
      <c r="Q463" s="134">
        <f t="shared" si="14"/>
        <v>1.123095873</v>
      </c>
    </row>
    <row r="464" ht="15.0" customHeight="1">
      <c r="A464" s="13">
        <v>425.0</v>
      </c>
      <c r="B464" s="134">
        <f t="shared" ref="B464:D464" si="859">RAND()</f>
        <v>0.02774120836</v>
      </c>
      <c r="C464" s="134">
        <f t="shared" si="859"/>
        <v>0.9796506385</v>
      </c>
      <c r="D464" s="134">
        <f t="shared" si="859"/>
        <v>0.5882726385</v>
      </c>
      <c r="F464" s="134">
        <f t="shared" ref="F464:H464" si="860">RAND()</f>
        <v>0.03593361679</v>
      </c>
      <c r="G464" s="134">
        <f t="shared" si="860"/>
        <v>0.5042674007</v>
      </c>
      <c r="H464" s="134">
        <f t="shared" si="860"/>
        <v>0.06583680607</v>
      </c>
      <c r="J464" s="135">
        <f t="shared" si="8"/>
        <v>33498007.98</v>
      </c>
      <c r="K464" s="136">
        <f>IF(J464&gt;0,MIN(99,$B$12*Q464/(J464*12*(1-Inputs!$H$16))),99)</f>
        <v>15.1651639</v>
      </c>
      <c r="L464" s="134">
        <f t="shared" si="9"/>
        <v>0.8308648901</v>
      </c>
      <c r="M464" s="134">
        <f t="shared" si="10"/>
        <v>0.9236944226</v>
      </c>
      <c r="N464" s="134">
        <f t="shared" si="11"/>
        <v>1.015311527</v>
      </c>
      <c r="O464" s="134">
        <f t="shared" si="12"/>
        <v>0.9822794262</v>
      </c>
      <c r="P464" s="134">
        <f t="shared" si="13"/>
        <v>1.193240692</v>
      </c>
      <c r="Q464" s="134">
        <f t="shared" si="14"/>
        <v>0.9337585066</v>
      </c>
    </row>
    <row r="465" ht="15.0" customHeight="1">
      <c r="A465" s="13">
        <v>426.0</v>
      </c>
      <c r="B465" s="134">
        <f t="shared" ref="B465:D465" si="861">RAND()</f>
        <v>0.9624875514</v>
      </c>
      <c r="C465" s="134">
        <f t="shared" si="861"/>
        <v>0.2418857282</v>
      </c>
      <c r="D465" s="134">
        <f t="shared" si="861"/>
        <v>0.6928390621</v>
      </c>
      <c r="F465" s="134">
        <f t="shared" ref="F465:H465" si="862">RAND()</f>
        <v>0.2108436198</v>
      </c>
      <c r="G465" s="134">
        <f t="shared" si="862"/>
        <v>0.4393903155</v>
      </c>
      <c r="H465" s="134">
        <f t="shared" si="862"/>
        <v>0.9415012742</v>
      </c>
      <c r="J465" s="135">
        <f t="shared" si="8"/>
        <v>296352815.8</v>
      </c>
      <c r="K465" s="136">
        <f>IF(J465&gt;0,MIN(99,$B$12*Q465/(J465*12*(1-Inputs!$H$16))),99)</f>
        <v>2.451810514</v>
      </c>
      <c r="L465" s="134">
        <f t="shared" si="9"/>
        <v>1.203181049</v>
      </c>
      <c r="M465" s="134">
        <f t="shared" si="10"/>
        <v>1.089227103</v>
      </c>
      <c r="N465" s="134">
        <f t="shared" si="11"/>
        <v>1.025542058</v>
      </c>
      <c r="O465" s="134">
        <f t="shared" si="12"/>
        <v>0.9999071719</v>
      </c>
      <c r="P465" s="134">
        <f t="shared" si="13"/>
        <v>1.150776544</v>
      </c>
      <c r="Q465" s="134">
        <f t="shared" si="14"/>
        <v>1.335563195</v>
      </c>
    </row>
    <row r="466" ht="15.0" customHeight="1">
      <c r="A466" s="13">
        <v>427.0</v>
      </c>
      <c r="B466" s="134">
        <f t="shared" ref="B466:D466" si="863">RAND()</f>
        <v>0.3689264844</v>
      </c>
      <c r="C466" s="134">
        <f t="shared" si="863"/>
        <v>0.8799023895</v>
      </c>
      <c r="D466" s="134">
        <f t="shared" si="863"/>
        <v>0.3434221947</v>
      </c>
      <c r="F466" s="134">
        <f t="shared" ref="F466:H466" si="864">RAND()</f>
        <v>0.5451504045</v>
      </c>
      <c r="G466" s="134">
        <f t="shared" si="864"/>
        <v>0.02063129914</v>
      </c>
      <c r="H466" s="134">
        <f t="shared" si="864"/>
        <v>0.1999166429</v>
      </c>
      <c r="J466" s="135">
        <f t="shared" si="8"/>
        <v>138953234</v>
      </c>
      <c r="K466" s="136">
        <f>IF(J466&gt;0,MIN(99,$B$12*Q466/(J466*12*(1-Inputs!$H$16))),99)</f>
        <v>3.873973851</v>
      </c>
      <c r="L466" s="134">
        <f t="shared" si="9"/>
        <v>0.9787258685</v>
      </c>
      <c r="M466" s="134">
        <f t="shared" si="10"/>
        <v>0.9898457694</v>
      </c>
      <c r="N466" s="134">
        <f t="shared" si="11"/>
        <v>0.9952912987</v>
      </c>
      <c r="O466" s="134">
        <f t="shared" si="12"/>
        <v>1.026860095</v>
      </c>
      <c r="P466" s="134">
        <f t="shared" si="13"/>
        <v>0.8779892956</v>
      </c>
      <c r="Q466" s="134">
        <f t="shared" si="14"/>
        <v>0.9894499369</v>
      </c>
    </row>
    <row r="467" ht="15.0" customHeight="1">
      <c r="A467" s="13">
        <v>428.0</v>
      </c>
      <c r="B467" s="134">
        <f t="shared" ref="B467:D467" si="865">RAND()</f>
        <v>0.4411319814</v>
      </c>
      <c r="C467" s="134">
        <f t="shared" si="865"/>
        <v>0.4844071944</v>
      </c>
      <c r="D467" s="134">
        <f t="shared" si="865"/>
        <v>0.3391729918</v>
      </c>
      <c r="F467" s="134">
        <f t="shared" ref="F467:H467" si="866">RAND()</f>
        <v>0.8515204838</v>
      </c>
      <c r="G467" s="134">
        <f t="shared" si="866"/>
        <v>0.3910961219</v>
      </c>
      <c r="H467" s="134">
        <f t="shared" si="866"/>
        <v>0.2835788329</v>
      </c>
      <c r="J467" s="135">
        <f t="shared" si="8"/>
        <v>137238076.7</v>
      </c>
      <c r="K467" s="136">
        <f>IF(J467&gt;0,MIN(99,$B$12*Q467/(J467*12*(1-Inputs!$H$16))),99)</f>
        <v>4.025273179</v>
      </c>
      <c r="L467" s="134">
        <f t="shared" si="9"/>
        <v>0.9977719639</v>
      </c>
      <c r="M467" s="134">
        <f t="shared" si="10"/>
        <v>0.9983667793</v>
      </c>
      <c r="N467" s="134">
        <f t="shared" si="11"/>
        <v>0.9949415493</v>
      </c>
      <c r="O467" s="134">
        <f t="shared" si="12"/>
        <v>1.063284579</v>
      </c>
      <c r="P467" s="134">
        <f t="shared" si="13"/>
        <v>1.120742537</v>
      </c>
      <c r="Q467" s="134">
        <f t="shared" si="14"/>
        <v>1.015403051</v>
      </c>
    </row>
    <row r="468" ht="15.0" customHeight="1">
      <c r="A468" s="13">
        <v>429.0</v>
      </c>
      <c r="B468" s="134">
        <f t="shared" ref="B468:D468" si="867">RAND()</f>
        <v>0.4347350375</v>
      </c>
      <c r="C468" s="134">
        <f t="shared" si="867"/>
        <v>0.5749480275</v>
      </c>
      <c r="D468" s="134">
        <f t="shared" si="867"/>
        <v>0.7191064946</v>
      </c>
      <c r="F468" s="134">
        <f t="shared" ref="F468:H468" si="868">RAND()</f>
        <v>0.7306848596</v>
      </c>
      <c r="G468" s="134">
        <f t="shared" si="868"/>
        <v>0.5920828201</v>
      </c>
      <c r="H468" s="134">
        <f t="shared" si="868"/>
        <v>0.9558234802</v>
      </c>
      <c r="J468" s="135">
        <f t="shared" si="8"/>
        <v>126639386.7</v>
      </c>
      <c r="K468" s="136">
        <f>IF(J468&gt;0,MIN(99,$B$12*Q468/(J468*12*(1-Inputs!$H$16))),99)</f>
        <v>5.809640301</v>
      </c>
      <c r="L468" s="134">
        <f t="shared" si="9"/>
        <v>0.9961508348</v>
      </c>
      <c r="M468" s="134">
        <f t="shared" si="10"/>
        <v>0.9976415042</v>
      </c>
      <c r="N468" s="134">
        <f t="shared" si="11"/>
        <v>1.028376686</v>
      </c>
      <c r="O468" s="134">
        <f t="shared" si="12"/>
        <v>1.046448462</v>
      </c>
      <c r="P468" s="134">
        <f t="shared" si="13"/>
        <v>1.255429689</v>
      </c>
      <c r="Q468" s="134">
        <f t="shared" si="14"/>
        <v>1.352341962</v>
      </c>
    </row>
    <row r="469" ht="15.0" customHeight="1">
      <c r="A469" s="13">
        <v>430.0</v>
      </c>
      <c r="B469" s="134">
        <f t="shared" ref="B469:D469" si="869">RAND()</f>
        <v>0.8361324962</v>
      </c>
      <c r="C469" s="134">
        <f t="shared" si="869"/>
        <v>0.1826283755</v>
      </c>
      <c r="D469" s="134">
        <f t="shared" si="869"/>
        <v>0.7216879064</v>
      </c>
      <c r="F469" s="134">
        <f t="shared" ref="F469:H469" si="870">RAND()</f>
        <v>0.5925229162</v>
      </c>
      <c r="G469" s="134">
        <f t="shared" si="870"/>
        <v>0.4641474636</v>
      </c>
      <c r="H469" s="134">
        <f t="shared" si="870"/>
        <v>0.478062948</v>
      </c>
      <c r="J469" s="135">
        <f t="shared" si="8"/>
        <v>227373356.6</v>
      </c>
      <c r="K469" s="136">
        <f>IF(J469&gt;0,MIN(99,$B$12*Q469/(J469*12*(1-Inputs!$H$16))),99)</f>
        <v>2.586656455</v>
      </c>
      <c r="L469" s="134">
        <f t="shared" si="9"/>
        <v>1.124894098</v>
      </c>
      <c r="M469" s="134">
        <f t="shared" si="10"/>
        <v>1.054603523</v>
      </c>
      <c r="N469" s="134">
        <f t="shared" si="11"/>
        <v>1.028662282</v>
      </c>
      <c r="O469" s="134">
        <f t="shared" si="12"/>
        <v>1.031406754</v>
      </c>
      <c r="P469" s="134">
        <f t="shared" si="13"/>
        <v>1.166675178</v>
      </c>
      <c r="Q469" s="134">
        <f t="shared" si="14"/>
        <v>1.081052552</v>
      </c>
    </row>
    <row r="470" ht="15.0" customHeight="1">
      <c r="A470" s="13">
        <v>431.0</v>
      </c>
      <c r="B470" s="134">
        <f t="shared" ref="B470:D470" si="871">RAND()</f>
        <v>0.2800400256</v>
      </c>
      <c r="C470" s="134">
        <f t="shared" si="871"/>
        <v>0.2091065514</v>
      </c>
      <c r="D470" s="134">
        <f t="shared" si="871"/>
        <v>0.7060699912</v>
      </c>
      <c r="F470" s="134">
        <f t="shared" ref="F470:H470" si="872">RAND()</f>
        <v>0.4184188773</v>
      </c>
      <c r="G470" s="134">
        <f t="shared" si="872"/>
        <v>0.2603029191</v>
      </c>
      <c r="H470" s="134">
        <f t="shared" si="872"/>
        <v>0.6683971456</v>
      </c>
      <c r="J470" s="135">
        <f t="shared" si="8"/>
        <v>109816645.1</v>
      </c>
      <c r="K470" s="136">
        <f>IF(J470&gt;0,MIN(99,$B$12*Q470/(J470*12*(1-Inputs!$H$16))),99)</f>
        <v>5.740250733</v>
      </c>
      <c r="L470" s="134">
        <f t="shared" si="9"/>
        <v>0.9524950785</v>
      </c>
      <c r="M470" s="134">
        <f t="shared" si="10"/>
        <v>0.9781104075</v>
      </c>
      <c r="N470" s="134">
        <f t="shared" si="11"/>
        <v>1.026954027</v>
      </c>
      <c r="O470" s="134">
        <f t="shared" si="12"/>
        <v>1.015748698</v>
      </c>
      <c r="P470" s="134">
        <f t="shared" si="13"/>
        <v>1.044922458</v>
      </c>
      <c r="Q470" s="134">
        <f t="shared" si="14"/>
        <v>1.158690686</v>
      </c>
    </row>
    <row r="471" ht="15.0" customHeight="1">
      <c r="A471" s="13">
        <v>432.0</v>
      </c>
      <c r="B471" s="134">
        <f t="shared" ref="B471:D471" si="873">RAND()</f>
        <v>0.9032107801</v>
      </c>
      <c r="C471" s="134">
        <f t="shared" si="873"/>
        <v>0.4024906285</v>
      </c>
      <c r="D471" s="134">
        <f t="shared" si="873"/>
        <v>0.4109276764</v>
      </c>
      <c r="F471" s="134">
        <f t="shared" ref="F471:H471" si="874">RAND()</f>
        <v>0.2701422985</v>
      </c>
      <c r="G471" s="134">
        <f t="shared" si="874"/>
        <v>0.06755497095</v>
      </c>
      <c r="H471" s="134">
        <f t="shared" si="874"/>
        <v>0.5143284412</v>
      </c>
      <c r="J471" s="135">
        <f t="shared" si="8"/>
        <v>275115956.7</v>
      </c>
      <c r="K471" s="136">
        <f>IF(J471&gt;0,MIN(99,$B$12*Q471/(J471*12*(1-Inputs!$H$16))),99)</f>
        <v>2.164535652</v>
      </c>
      <c r="L471" s="134">
        <f t="shared" si="9"/>
        <v>1.159637451</v>
      </c>
      <c r="M471" s="134">
        <f t="shared" si="10"/>
        <v>1.069969293</v>
      </c>
      <c r="N471" s="134">
        <f t="shared" si="11"/>
        <v>1.000586733</v>
      </c>
      <c r="O471" s="134">
        <f t="shared" si="12"/>
        <v>1.004194662</v>
      </c>
      <c r="P471" s="134">
        <f t="shared" si="13"/>
        <v>0.9292333784</v>
      </c>
      <c r="Q471" s="134">
        <f t="shared" si="14"/>
        <v>1.094583771</v>
      </c>
    </row>
    <row r="472" ht="15.0" customHeight="1">
      <c r="A472" s="13">
        <v>433.0</v>
      </c>
      <c r="B472" s="134">
        <f t="shared" ref="B472:D472" si="875">RAND()</f>
        <v>0.237732541</v>
      </c>
      <c r="C472" s="134">
        <f t="shared" si="875"/>
        <v>0.9868529928</v>
      </c>
      <c r="D472" s="134">
        <f t="shared" si="875"/>
        <v>0.004605670219</v>
      </c>
      <c r="F472" s="134">
        <f t="shared" ref="F472:H472" si="876">RAND()</f>
        <v>0.8493489451</v>
      </c>
      <c r="G472" s="134">
        <f t="shared" si="876"/>
        <v>0.480597333</v>
      </c>
      <c r="H472" s="134">
        <f t="shared" si="876"/>
        <v>0.9746789012</v>
      </c>
      <c r="J472" s="135">
        <f t="shared" si="8"/>
        <v>103969631.1</v>
      </c>
      <c r="K472" s="136">
        <f>IF(J472&gt;0,MIN(99,$B$12*Q472/(J472*12*(1-Inputs!$H$16))),99)</f>
        <v>7.217870065</v>
      </c>
      <c r="L472" s="134">
        <f t="shared" si="9"/>
        <v>0.9385387136</v>
      </c>
      <c r="M472" s="134">
        <f t="shared" si="10"/>
        <v>0.9718664861</v>
      </c>
      <c r="N472" s="134">
        <f t="shared" si="11"/>
        <v>0.9454596053</v>
      </c>
      <c r="O472" s="134">
        <f t="shared" si="12"/>
        <v>1.062930844</v>
      </c>
      <c r="P472" s="134">
        <f t="shared" si="13"/>
        <v>1.177442935</v>
      </c>
      <c r="Q472" s="134">
        <f t="shared" si="14"/>
        <v>1.379380378</v>
      </c>
    </row>
    <row r="473" ht="15.0" customHeight="1">
      <c r="A473" s="13">
        <v>434.0</v>
      </c>
      <c r="B473" s="134">
        <f t="shared" ref="B473:D473" si="877">RAND()</f>
        <v>0.3904887161</v>
      </c>
      <c r="C473" s="134">
        <f t="shared" si="877"/>
        <v>0.7173159323</v>
      </c>
      <c r="D473" s="134">
        <f t="shared" si="877"/>
        <v>0.733028199</v>
      </c>
      <c r="F473" s="134">
        <f t="shared" ref="F473:H473" si="878">RAND()</f>
        <v>0.9270186633</v>
      </c>
      <c r="G473" s="134">
        <f t="shared" si="878"/>
        <v>0.4637087071</v>
      </c>
      <c r="H473" s="134">
        <f t="shared" si="878"/>
        <v>0.4090770454</v>
      </c>
      <c r="J473" s="135">
        <f t="shared" si="8"/>
        <v>116342847.3</v>
      </c>
      <c r="K473" s="136">
        <f>IF(J473&gt;0,MIN(99,$B$12*Q473/(J473*12*(1-Inputs!$H$16))),99)</f>
        <v>4.940636377</v>
      </c>
      <c r="L473" s="134">
        <f t="shared" si="9"/>
        <v>0.9845948009</v>
      </c>
      <c r="M473" s="134">
        <f t="shared" si="10"/>
        <v>0.992471464</v>
      </c>
      <c r="N473" s="134">
        <f t="shared" si="11"/>
        <v>1.0299329</v>
      </c>
      <c r="O473" s="134">
        <f t="shared" si="12"/>
        <v>1.077796645</v>
      </c>
      <c r="P473" s="134">
        <f t="shared" si="13"/>
        <v>1.166390256</v>
      </c>
      <c r="Q473" s="134">
        <f t="shared" si="14"/>
        <v>1.056552449</v>
      </c>
    </row>
    <row r="474" ht="15.0" customHeight="1">
      <c r="A474" s="13">
        <v>435.0</v>
      </c>
      <c r="B474" s="134">
        <f t="shared" ref="B474:D474" si="879">RAND()</f>
        <v>0.1561022506</v>
      </c>
      <c r="C474" s="134">
        <f t="shared" si="879"/>
        <v>0.3557376485</v>
      </c>
      <c r="D474" s="134">
        <f t="shared" si="879"/>
        <v>0.8459185353</v>
      </c>
      <c r="F474" s="134">
        <f t="shared" ref="F474:H474" si="880">RAND()</f>
        <v>0.3667230902</v>
      </c>
      <c r="G474" s="134">
        <f t="shared" si="880"/>
        <v>0.9521853274</v>
      </c>
      <c r="H474" s="134">
        <f t="shared" si="880"/>
        <v>0.6304035859</v>
      </c>
      <c r="J474" s="135">
        <f t="shared" si="8"/>
        <v>54083638.08</v>
      </c>
      <c r="K474" s="136">
        <f>IF(J474&gt;0,MIN(99,$B$12*Q474/(J474*12*(1-Inputs!$H$16))),99)</f>
        <v>11.48458451</v>
      </c>
      <c r="L474" s="134">
        <f t="shared" si="9"/>
        <v>0.9075198219</v>
      </c>
      <c r="M474" s="134">
        <f t="shared" si="10"/>
        <v>0.9579889811</v>
      </c>
      <c r="N474" s="134">
        <f t="shared" si="11"/>
        <v>1.044460007</v>
      </c>
      <c r="O474" s="134">
        <f t="shared" si="12"/>
        <v>1.011569157</v>
      </c>
      <c r="P474" s="134">
        <f t="shared" si="13"/>
        <v>1.654832895</v>
      </c>
      <c r="Q474" s="134">
        <f t="shared" si="14"/>
        <v>1.141693864</v>
      </c>
    </row>
    <row r="475" ht="15.0" customHeight="1">
      <c r="A475" s="13">
        <v>436.0</v>
      </c>
      <c r="B475" s="134">
        <f t="shared" ref="B475:D475" si="881">RAND()</f>
        <v>0.7572641535</v>
      </c>
      <c r="C475" s="134">
        <f t="shared" si="881"/>
        <v>0.6625349694</v>
      </c>
      <c r="D475" s="134">
        <f t="shared" si="881"/>
        <v>0.5533578712</v>
      </c>
      <c r="F475" s="134">
        <f t="shared" ref="F475:H475" si="882">RAND()</f>
        <v>0.7571562</v>
      </c>
      <c r="G475" s="134">
        <f t="shared" si="882"/>
        <v>0.08735775216</v>
      </c>
      <c r="H475" s="134">
        <f t="shared" si="882"/>
        <v>0.6326223314</v>
      </c>
      <c r="J475" s="135">
        <f t="shared" si="8"/>
        <v>211646969</v>
      </c>
      <c r="K475" s="136">
        <f>IF(J475&gt;0,MIN(99,$B$12*Q475/(J475*12*(1-Inputs!$H$16))),99)</f>
        <v>2.937224454</v>
      </c>
      <c r="L475" s="134">
        <f t="shared" si="9"/>
        <v>1.092308514</v>
      </c>
      <c r="M475" s="134">
        <f t="shared" si="10"/>
        <v>1.040192059</v>
      </c>
      <c r="N475" s="134">
        <f t="shared" si="11"/>
        <v>1.012193063</v>
      </c>
      <c r="O475" s="134">
        <f t="shared" si="12"/>
        <v>1.049744989</v>
      </c>
      <c r="P475" s="134">
        <f t="shared" si="13"/>
        <v>0.9449445532</v>
      </c>
      <c r="Q475" s="134">
        <f t="shared" si="14"/>
        <v>1.142661698</v>
      </c>
    </row>
    <row r="476" ht="15.0" customHeight="1">
      <c r="A476" s="13">
        <v>437.0</v>
      </c>
      <c r="B476" s="134">
        <f t="shared" ref="B476:D476" si="883">RAND()</f>
        <v>0.3952552781</v>
      </c>
      <c r="C476" s="134">
        <f t="shared" si="883"/>
        <v>0.1904132025</v>
      </c>
      <c r="D476" s="134">
        <f t="shared" si="883"/>
        <v>0.6031149149</v>
      </c>
      <c r="F476" s="134">
        <f t="shared" ref="F476:H476" si="884">RAND()</f>
        <v>0.9660507599</v>
      </c>
      <c r="G476" s="134">
        <f t="shared" si="884"/>
        <v>0.6576180528</v>
      </c>
      <c r="H476" s="134">
        <f t="shared" si="884"/>
        <v>0.3931704182</v>
      </c>
      <c r="J476" s="135">
        <f t="shared" si="8"/>
        <v>112951291.4</v>
      </c>
      <c r="K476" s="136">
        <f>IF(J476&gt;0,MIN(99,$B$12*Q476/(J476*12*(1-Inputs!$H$16))),99)</f>
        <v>5.062771627</v>
      </c>
      <c r="L476" s="134">
        <f t="shared" si="9"/>
        <v>0.9858701467</v>
      </c>
      <c r="M476" s="134">
        <f t="shared" si="10"/>
        <v>0.9930420395</v>
      </c>
      <c r="N476" s="134">
        <f t="shared" si="11"/>
        <v>1.016677139</v>
      </c>
      <c r="O476" s="134">
        <f t="shared" si="12"/>
        <v>1.088619275</v>
      </c>
      <c r="P476" s="134">
        <f t="shared" si="13"/>
        <v>1.306351207</v>
      </c>
      <c r="Q476" s="134">
        <f t="shared" si="14"/>
        <v>1.051109641</v>
      </c>
    </row>
    <row r="477" ht="15.0" customHeight="1">
      <c r="A477" s="13">
        <v>438.0</v>
      </c>
      <c r="B477" s="134">
        <f t="shared" ref="B477:D477" si="885">RAND()</f>
        <v>0.8214996223</v>
      </c>
      <c r="C477" s="134">
        <f t="shared" si="885"/>
        <v>0.2362057906</v>
      </c>
      <c r="D477" s="134">
        <f t="shared" si="885"/>
        <v>0.5062909392</v>
      </c>
      <c r="F477" s="134">
        <f t="shared" ref="F477:H477" si="886">RAND()</f>
        <v>0.7002087003</v>
      </c>
      <c r="G477" s="134">
        <f t="shared" si="886"/>
        <v>0.2893238994</v>
      </c>
      <c r="H477" s="134">
        <f t="shared" si="886"/>
        <v>0.3272307977</v>
      </c>
      <c r="J477" s="135">
        <f t="shared" si="8"/>
        <v>229318139.4</v>
      </c>
      <c r="K477" s="136">
        <f>IF(J477&gt;0,MIN(99,$B$12*Q477/(J477*12*(1-Inputs!$H$16))),99)</f>
        <v>2.441878028</v>
      </c>
      <c r="L477" s="134">
        <f t="shared" si="9"/>
        <v>1.118335384</v>
      </c>
      <c r="M477" s="134">
        <f t="shared" si="10"/>
        <v>1.051702833</v>
      </c>
      <c r="N477" s="134">
        <f t="shared" si="11"/>
        <v>1.008176211</v>
      </c>
      <c r="O477" s="134">
        <f t="shared" si="12"/>
        <v>1.042848009</v>
      </c>
      <c r="P477" s="134">
        <f t="shared" si="13"/>
        <v>1.06112646</v>
      </c>
      <c r="Q477" s="134">
        <f t="shared" si="14"/>
        <v>1.029273657</v>
      </c>
    </row>
    <row r="478" ht="15.0" customHeight="1">
      <c r="A478" s="13">
        <v>439.0</v>
      </c>
      <c r="B478" s="134">
        <f t="shared" ref="B478:D478" si="887">RAND()</f>
        <v>0.687371336</v>
      </c>
      <c r="C478" s="134">
        <f t="shared" si="887"/>
        <v>0.8529109162</v>
      </c>
      <c r="D478" s="134">
        <f t="shared" si="887"/>
        <v>0.1898378792</v>
      </c>
      <c r="F478" s="134">
        <f t="shared" ref="F478:H478" si="888">RAND()</f>
        <v>0.9939236135</v>
      </c>
      <c r="G478" s="134">
        <f t="shared" si="888"/>
        <v>0.6627227746</v>
      </c>
      <c r="H478" s="134">
        <f t="shared" si="888"/>
        <v>0.5791840568</v>
      </c>
      <c r="J478" s="135">
        <f t="shared" si="8"/>
        <v>177793002.8</v>
      </c>
      <c r="K478" s="136">
        <f>IF(J478&gt;0,MIN(99,$B$12*Q478/(J478*12*(1-Inputs!$H$16))),99)</f>
        <v>3.427496441</v>
      </c>
      <c r="L478" s="134">
        <f t="shared" si="9"/>
        <v>1.067668282</v>
      </c>
      <c r="M478" s="134">
        <f t="shared" si="10"/>
        <v>1.029294546</v>
      </c>
      <c r="N478" s="134">
        <f t="shared" si="11"/>
        <v>0.9808350246</v>
      </c>
      <c r="O478" s="134">
        <f t="shared" si="12"/>
        <v>1.102012783</v>
      </c>
      <c r="P478" s="134">
        <f t="shared" si="13"/>
        <v>1.3105147</v>
      </c>
      <c r="Q478" s="134">
        <f t="shared" si="14"/>
        <v>1.120108669</v>
      </c>
    </row>
    <row r="479" ht="15.0" customHeight="1">
      <c r="A479" s="13">
        <v>440.0</v>
      </c>
      <c r="B479" s="134">
        <f t="shared" ref="B479:D479" si="889">RAND()</f>
        <v>0.1317988011</v>
      </c>
      <c r="C479" s="134">
        <f t="shared" si="889"/>
        <v>0.1971070462</v>
      </c>
      <c r="D479" s="134">
        <f t="shared" si="889"/>
        <v>0.8955075837</v>
      </c>
      <c r="F479" s="134">
        <f t="shared" ref="F479:H479" si="890">RAND()</f>
        <v>0.2111415956</v>
      </c>
      <c r="G479" s="134">
        <f t="shared" si="890"/>
        <v>0.4743694824</v>
      </c>
      <c r="H479" s="134">
        <f t="shared" si="890"/>
        <v>0.1843540633</v>
      </c>
      <c r="J479" s="135">
        <f t="shared" si="8"/>
        <v>65696902.1</v>
      </c>
      <c r="K479" s="136">
        <f>IF(J479&gt;0,MIN(99,$B$12*Q479/(J479*12*(1-Inputs!$H$16))),99)</f>
        <v>8.150729987</v>
      </c>
      <c r="L479" s="134">
        <f t="shared" si="9"/>
        <v>0.8967676686</v>
      </c>
      <c r="M479" s="134">
        <f t="shared" si="10"/>
        <v>0.9531785881</v>
      </c>
      <c r="N479" s="134">
        <f t="shared" si="11"/>
        <v>1.052565828</v>
      </c>
      <c r="O479" s="134">
        <f t="shared" si="12"/>
        <v>0.9999283784</v>
      </c>
      <c r="P479" s="134">
        <f t="shared" si="13"/>
        <v>1.173346525</v>
      </c>
      <c r="Q479" s="134">
        <f t="shared" si="14"/>
        <v>0.984260097</v>
      </c>
    </row>
    <row r="480" ht="15.0" customHeight="1">
      <c r="A480" s="13">
        <v>441.0</v>
      </c>
      <c r="B480" s="134">
        <f t="shared" ref="B480:D480" si="891">RAND()</f>
        <v>0.1003704543</v>
      </c>
      <c r="C480" s="134">
        <f t="shared" si="891"/>
        <v>0.1324849208</v>
      </c>
      <c r="D480" s="134">
        <f t="shared" si="891"/>
        <v>0.7567798278</v>
      </c>
      <c r="F480" s="134">
        <f t="shared" ref="F480:H480" si="892">RAND()</f>
        <v>0.5684550015</v>
      </c>
      <c r="G480" s="134">
        <f t="shared" si="892"/>
        <v>0.6806200635</v>
      </c>
      <c r="H480" s="134">
        <f t="shared" si="892"/>
        <v>0.9085185137</v>
      </c>
      <c r="J480" s="135">
        <f t="shared" si="8"/>
        <v>48978301.65</v>
      </c>
      <c r="K480" s="136">
        <f>IF(J480&gt;0,MIN(99,$B$12*Q480/(J480*12*(1-Inputs!$H$16))),99)</f>
        <v>14.47871634</v>
      </c>
      <c r="L480" s="134">
        <f t="shared" si="9"/>
        <v>0.8812622986</v>
      </c>
      <c r="M480" s="134">
        <f t="shared" si="10"/>
        <v>0.9462416591</v>
      </c>
      <c r="N480" s="134">
        <f t="shared" si="11"/>
        <v>1.03268474</v>
      </c>
      <c r="O480" s="134">
        <f t="shared" si="12"/>
        <v>1.029065576</v>
      </c>
      <c r="P480" s="134">
        <f t="shared" si="13"/>
        <v>1.325366757</v>
      </c>
      <c r="Q480" s="134">
        <f t="shared" si="14"/>
        <v>1.303473669</v>
      </c>
    </row>
    <row r="481" ht="15.0" customHeight="1">
      <c r="A481" s="13">
        <v>442.0</v>
      </c>
      <c r="B481" s="134">
        <f t="shared" ref="B481:D481" si="893">RAND()</f>
        <v>0.02020205386</v>
      </c>
      <c r="C481" s="134">
        <f t="shared" si="893"/>
        <v>0.5056073253</v>
      </c>
      <c r="D481" s="134">
        <f t="shared" si="893"/>
        <v>0.5311197018</v>
      </c>
      <c r="F481" s="134">
        <f t="shared" ref="F481:H481" si="894">RAND()</f>
        <v>0.2373919151</v>
      </c>
      <c r="G481" s="134">
        <f t="shared" si="894"/>
        <v>0.5883908123</v>
      </c>
      <c r="H481" s="134">
        <f t="shared" si="894"/>
        <v>0.3287004341</v>
      </c>
      <c r="J481" s="135">
        <f t="shared" si="8"/>
        <v>23891210.8</v>
      </c>
      <c r="K481" s="136">
        <f>IF(J481&gt;0,MIN(99,$B$12*Q481/(J481*12*(1-Inputs!$H$16))),99)</f>
        <v>23.44900751</v>
      </c>
      <c r="L481" s="134">
        <f t="shared" si="9"/>
        <v>0.8226731692</v>
      </c>
      <c r="M481" s="134">
        <f t="shared" si="10"/>
        <v>0.9200295384</v>
      </c>
      <c r="N481" s="134">
        <f t="shared" si="11"/>
        <v>1.01027008</v>
      </c>
      <c r="O481" s="134">
        <f t="shared" si="12"/>
        <v>1.001806146</v>
      </c>
      <c r="P481" s="134">
        <f t="shared" si="13"/>
        <v>1.252687417</v>
      </c>
      <c r="Q481" s="134">
        <f t="shared" si="14"/>
        <v>1.029748356</v>
      </c>
    </row>
    <row r="482" ht="15.0" customHeight="1">
      <c r="A482" s="13">
        <v>443.0</v>
      </c>
      <c r="B482" s="134">
        <f t="shared" ref="B482:D482" si="895">RAND()</f>
        <v>0.2284142429</v>
      </c>
      <c r="C482" s="134">
        <f t="shared" si="895"/>
        <v>0.5276369517</v>
      </c>
      <c r="D482" s="134">
        <f t="shared" si="895"/>
        <v>0.8716615803</v>
      </c>
      <c r="F482" s="134">
        <f t="shared" ref="F482:H482" si="896">RAND()</f>
        <v>0.8261930276</v>
      </c>
      <c r="G482" s="134">
        <f t="shared" si="896"/>
        <v>0.4327242937</v>
      </c>
      <c r="H482" s="134">
        <f t="shared" si="896"/>
        <v>0.421157261</v>
      </c>
      <c r="J482" s="135">
        <f t="shared" si="8"/>
        <v>82781187.92</v>
      </c>
      <c r="K482" s="136">
        <f>IF(J482&gt;0,MIN(99,$B$12*Q482/(J482*12*(1-Inputs!$H$16))),99)</f>
        <v>6.971188046</v>
      </c>
      <c r="L482" s="134">
        <f t="shared" si="9"/>
        <v>0.935301598</v>
      </c>
      <c r="M482" s="134">
        <f t="shared" si="10"/>
        <v>0.9704182368</v>
      </c>
      <c r="N482" s="134">
        <f t="shared" si="11"/>
        <v>1.048471847</v>
      </c>
      <c r="O482" s="134">
        <f t="shared" si="12"/>
        <v>1.059306765</v>
      </c>
      <c r="P482" s="134">
        <f t="shared" si="13"/>
        <v>1.146556038</v>
      </c>
      <c r="Q482" s="134">
        <f t="shared" si="14"/>
        <v>1.060735084</v>
      </c>
    </row>
    <row r="483" ht="15.0" customHeight="1">
      <c r="A483" s="13">
        <v>444.0</v>
      </c>
      <c r="B483" s="134">
        <f t="shared" ref="B483:D483" si="897">RAND()</f>
        <v>0.7628092007</v>
      </c>
      <c r="C483" s="134">
        <f t="shared" si="897"/>
        <v>0.2693314304</v>
      </c>
      <c r="D483" s="134">
        <f t="shared" si="897"/>
        <v>0.5985069226</v>
      </c>
      <c r="F483" s="134">
        <f t="shared" ref="F483:H483" si="898">RAND()</f>
        <v>0.3416277834</v>
      </c>
      <c r="G483" s="134">
        <f t="shared" si="898"/>
        <v>0.1591061684</v>
      </c>
      <c r="H483" s="134">
        <f t="shared" si="898"/>
        <v>0.4147335231</v>
      </c>
      <c r="J483" s="135">
        <f t="shared" si="8"/>
        <v>217265492.6</v>
      </c>
      <c r="K483" s="136">
        <f>IF(J483&gt;0,MIN(99,$B$12*Q483/(J483*12*(1-Inputs!$H$16))),99)</f>
        <v>2.650537232</v>
      </c>
      <c r="L483" s="134">
        <f t="shared" si="9"/>
        <v>1.094407268</v>
      </c>
      <c r="M483" s="134">
        <f t="shared" si="10"/>
        <v>1.041120264</v>
      </c>
      <c r="N483" s="134">
        <f t="shared" si="11"/>
        <v>1.016250473</v>
      </c>
      <c r="O483" s="134">
        <f t="shared" si="12"/>
        <v>1.009601821</v>
      </c>
      <c r="P483" s="134">
        <f t="shared" si="13"/>
        <v>0.990477226</v>
      </c>
      <c r="Q483" s="134">
        <f t="shared" si="14"/>
        <v>1.058505563</v>
      </c>
    </row>
    <row r="484" ht="15.0" customHeight="1">
      <c r="A484" s="13">
        <v>445.0</v>
      </c>
      <c r="B484" s="134">
        <f t="shared" ref="B484:D484" si="899">RAND()</f>
        <v>0.08533154965</v>
      </c>
      <c r="C484" s="134">
        <f t="shared" si="899"/>
        <v>0.1555696894</v>
      </c>
      <c r="D484" s="134">
        <f t="shared" si="899"/>
        <v>0.5514982972</v>
      </c>
      <c r="F484" s="134">
        <f t="shared" ref="F484:H484" si="900">RAND()</f>
        <v>0.5348138609</v>
      </c>
      <c r="G484" s="134">
        <f t="shared" si="900"/>
        <v>0.4159344568</v>
      </c>
      <c r="H484" s="134">
        <f t="shared" si="900"/>
        <v>0.8548315074</v>
      </c>
      <c r="J484" s="135">
        <f t="shared" si="8"/>
        <v>55279600.35</v>
      </c>
      <c r="K484" s="136">
        <f>IF(J484&gt;0,MIN(99,$B$12*Q484/(J484*12*(1-Inputs!$H$16))),99)</f>
        <v>12.41889051</v>
      </c>
      <c r="L484" s="134">
        <f t="shared" si="9"/>
        <v>0.8729785657</v>
      </c>
      <c r="M484" s="134">
        <f t="shared" si="10"/>
        <v>0.9425356097</v>
      </c>
      <c r="N484" s="134">
        <f t="shared" si="11"/>
        <v>1.012030453</v>
      </c>
      <c r="O484" s="134">
        <f t="shared" si="12"/>
        <v>1.025899992</v>
      </c>
      <c r="P484" s="134">
        <f t="shared" si="13"/>
        <v>1.136034376</v>
      </c>
      <c r="Q484" s="134">
        <f t="shared" si="14"/>
        <v>1.261874529</v>
      </c>
    </row>
    <row r="485" ht="15.0" customHeight="1">
      <c r="A485" s="13">
        <v>446.0</v>
      </c>
      <c r="B485" s="134">
        <f t="shared" ref="B485:D485" si="901">RAND()</f>
        <v>0.127322248</v>
      </c>
      <c r="C485" s="134">
        <f t="shared" si="901"/>
        <v>0.8796530114</v>
      </c>
      <c r="D485" s="134">
        <f t="shared" si="901"/>
        <v>0.9653061661</v>
      </c>
      <c r="F485" s="134">
        <f t="shared" ref="F485:H485" si="902">RAND()</f>
        <v>0.7229396308</v>
      </c>
      <c r="G485" s="134">
        <f t="shared" si="902"/>
        <v>0.927936909</v>
      </c>
      <c r="H485" s="134">
        <f t="shared" si="902"/>
        <v>0.5091398911</v>
      </c>
      <c r="J485" s="135">
        <f t="shared" si="8"/>
        <v>37265136.93</v>
      </c>
      <c r="K485" s="136">
        <f>IF(J485&gt;0,MIN(99,$B$12*Q485/(J485*12*(1-Inputs!$H$16))),99)</f>
        <v>15.95133316</v>
      </c>
      <c r="L485" s="134">
        <f t="shared" si="9"/>
        <v>0.8946818821</v>
      </c>
      <c r="M485" s="134">
        <f t="shared" si="10"/>
        <v>0.9522454305</v>
      </c>
      <c r="N485" s="134">
        <f t="shared" si="11"/>
        <v>1.06859396</v>
      </c>
      <c r="O485" s="134">
        <f t="shared" si="12"/>
        <v>1.045514912</v>
      </c>
      <c r="P485" s="134">
        <f t="shared" si="13"/>
        <v>1.607496137</v>
      </c>
      <c r="Q485" s="134">
        <f t="shared" si="14"/>
        <v>1.092617591</v>
      </c>
    </row>
    <row r="486" ht="15.0" customHeight="1">
      <c r="A486" s="13">
        <v>447.0</v>
      </c>
      <c r="B486" s="134">
        <f t="shared" ref="B486:D486" si="903">RAND()</f>
        <v>0.9838855324</v>
      </c>
      <c r="C486" s="134">
        <f t="shared" si="903"/>
        <v>0.05814625725</v>
      </c>
      <c r="D486" s="134">
        <f t="shared" si="903"/>
        <v>0.8174290886</v>
      </c>
      <c r="F486" s="134">
        <f t="shared" ref="F486:H486" si="904">RAND()</f>
        <v>0.8706108041</v>
      </c>
      <c r="G486" s="134">
        <f t="shared" si="904"/>
        <v>0.04380811065</v>
      </c>
      <c r="H486" s="134">
        <f t="shared" si="904"/>
        <v>0.4737660624</v>
      </c>
      <c r="J486" s="135">
        <f t="shared" si="8"/>
        <v>310960044.9</v>
      </c>
      <c r="K486" s="136">
        <f>IF(J486&gt;0,MIN(99,$B$12*Q486/(J486*12*(1-Inputs!$H$16))),99)</f>
        <v>1.88860828</v>
      </c>
      <c r="L486" s="134">
        <f t="shared" si="9"/>
        <v>1.22792836</v>
      </c>
      <c r="M486" s="134">
        <f t="shared" si="10"/>
        <v>1.100171973</v>
      </c>
      <c r="N486" s="134">
        <f t="shared" si="11"/>
        <v>1.040394058</v>
      </c>
      <c r="O486" s="134">
        <f t="shared" si="12"/>
        <v>1.066512983</v>
      </c>
      <c r="P486" s="134">
        <f t="shared" si="13"/>
        <v>0.9069294869</v>
      </c>
      <c r="Q486" s="134">
        <f t="shared" si="14"/>
        <v>1.079480896</v>
      </c>
    </row>
    <row r="487" ht="15.0" customHeight="1">
      <c r="A487" s="13">
        <v>448.0</v>
      </c>
      <c r="B487" s="134">
        <f t="shared" ref="B487:D487" si="905">RAND()</f>
        <v>0.7820091871</v>
      </c>
      <c r="C487" s="134">
        <f t="shared" si="905"/>
        <v>0.4306566715</v>
      </c>
      <c r="D487" s="134">
        <f t="shared" si="905"/>
        <v>0.7144404526</v>
      </c>
      <c r="F487" s="134">
        <f t="shared" ref="F487:H487" si="906">RAND()</f>
        <v>0.01219416407</v>
      </c>
      <c r="G487" s="134">
        <f t="shared" si="906"/>
        <v>0.7407592224</v>
      </c>
      <c r="H487" s="134">
        <f t="shared" si="906"/>
        <v>0.2354905211</v>
      </c>
      <c r="J487" s="135">
        <f t="shared" si="8"/>
        <v>210956358.1</v>
      </c>
      <c r="K487" s="136">
        <f>IF(J487&gt;0,MIN(99,$B$12*Q487/(J487*12*(1-Inputs!$H$16))),99)</f>
        <v>2.580482508</v>
      </c>
      <c r="L487" s="134">
        <f t="shared" si="9"/>
        <v>1.101870751</v>
      </c>
      <c r="M487" s="134">
        <f t="shared" si="10"/>
        <v>1.044421102</v>
      </c>
      <c r="N487" s="134">
        <f t="shared" si="11"/>
        <v>1.027863766</v>
      </c>
      <c r="O487" s="134">
        <f t="shared" si="12"/>
        <v>0.9771055314</v>
      </c>
      <c r="P487" s="134">
        <f t="shared" si="13"/>
        <v>1.378599341</v>
      </c>
      <c r="Q487" s="134">
        <f t="shared" si="14"/>
        <v>1.000603506</v>
      </c>
    </row>
    <row r="488" ht="15.0" customHeight="1">
      <c r="A488" s="13">
        <v>449.0</v>
      </c>
      <c r="B488" s="134">
        <f t="shared" ref="B488:D488" si="907">RAND()</f>
        <v>0.4457662944</v>
      </c>
      <c r="C488" s="134">
        <f t="shared" si="907"/>
        <v>0.631933068</v>
      </c>
      <c r="D488" s="134">
        <f t="shared" si="907"/>
        <v>0.9880452978</v>
      </c>
      <c r="F488" s="134">
        <f t="shared" ref="F488:H488" si="908">RAND()</f>
        <v>0.6832355525</v>
      </c>
      <c r="G488" s="134">
        <f t="shared" si="908"/>
        <v>0.02136078011</v>
      </c>
      <c r="H488" s="134">
        <f t="shared" si="908"/>
        <v>0.9883245775</v>
      </c>
      <c r="J488" s="135">
        <f t="shared" si="8"/>
        <v>133162774.7</v>
      </c>
      <c r="K488" s="136">
        <f>IF(J488&gt;0,MIN(99,$B$12*Q488/(J488*12*(1-Inputs!$H$16))),99)</f>
        <v>5.746006898</v>
      </c>
      <c r="L488" s="134">
        <f t="shared" si="9"/>
        <v>0.9989390723</v>
      </c>
      <c r="M488" s="134">
        <f t="shared" si="10"/>
        <v>0.9988889305</v>
      </c>
      <c r="N488" s="134">
        <f t="shared" si="11"/>
        <v>1.077594379</v>
      </c>
      <c r="O488" s="134">
        <f t="shared" si="12"/>
        <v>1.040922013</v>
      </c>
      <c r="P488" s="134">
        <f t="shared" si="13"/>
        <v>0.8790986749</v>
      </c>
      <c r="Q488" s="134">
        <f t="shared" si="14"/>
        <v>1.406427858</v>
      </c>
    </row>
    <row r="489" ht="15.0" customHeight="1">
      <c r="A489" s="13">
        <v>450.0</v>
      </c>
      <c r="B489" s="134">
        <f t="shared" ref="B489:D489" si="909">RAND()</f>
        <v>0.6818593861</v>
      </c>
      <c r="C489" s="134">
        <f t="shared" si="909"/>
        <v>0.9144675147</v>
      </c>
      <c r="D489" s="134">
        <f t="shared" si="909"/>
        <v>0.8699403415</v>
      </c>
      <c r="F489" s="134">
        <f t="shared" ref="F489:H489" si="910">RAND()</f>
        <v>0.68838531</v>
      </c>
      <c r="G489" s="134">
        <f t="shared" si="910"/>
        <v>0.1441685597</v>
      </c>
      <c r="H489" s="134">
        <f t="shared" si="910"/>
        <v>0.2597730234</v>
      </c>
      <c r="J489" s="135">
        <f t="shared" si="8"/>
        <v>183485660.4</v>
      </c>
      <c r="K489" s="136">
        <f>IF(J489&gt;0,MIN(99,$B$12*Q489/(J489*12*(1-Inputs!$H$16))),99)</f>
        <v>2.988801343</v>
      </c>
      <c r="L489" s="134">
        <f t="shared" si="9"/>
        <v>1.065848537</v>
      </c>
      <c r="M489" s="134">
        <f t="shared" si="10"/>
        <v>1.028489736</v>
      </c>
      <c r="N489" s="134">
        <f t="shared" si="11"/>
        <v>1.048191705</v>
      </c>
      <c r="O489" s="134">
        <f t="shared" si="12"/>
        <v>1.041500799</v>
      </c>
      <c r="P489" s="134">
        <f t="shared" si="13"/>
        <v>0.9820219416</v>
      </c>
      <c r="Q489" s="134">
        <f t="shared" si="14"/>
        <v>1.008016545</v>
      </c>
    </row>
    <row r="490" ht="15.0" customHeight="1">
      <c r="A490" s="13">
        <v>451.0</v>
      </c>
      <c r="B490" s="134">
        <f t="shared" ref="B490:D490" si="911">RAND()</f>
        <v>0.1709003184</v>
      </c>
      <c r="C490" s="134">
        <f t="shared" si="911"/>
        <v>0.922175685</v>
      </c>
      <c r="D490" s="134">
        <f t="shared" si="911"/>
        <v>0.60861392</v>
      </c>
      <c r="F490" s="134">
        <f t="shared" ref="F490:H490" si="912">RAND()</f>
        <v>0.5614240799</v>
      </c>
      <c r="G490" s="134">
        <f t="shared" si="912"/>
        <v>0.7548483137</v>
      </c>
      <c r="H490" s="134">
        <f t="shared" si="912"/>
        <v>0.7383259391</v>
      </c>
      <c r="J490" s="135">
        <f t="shared" si="8"/>
        <v>70567455.32</v>
      </c>
      <c r="K490" s="136">
        <f>IF(J490&gt;0,MIN(99,$B$12*Q490/(J490*12*(1-Inputs!$H$16))),99)</f>
        <v>9.195505059</v>
      </c>
      <c r="L490" s="134">
        <f t="shared" si="9"/>
        <v>0.9136588829</v>
      </c>
      <c r="M490" s="134">
        <f t="shared" si="10"/>
        <v>0.9607355283</v>
      </c>
      <c r="N490" s="134">
        <f t="shared" si="11"/>
        <v>1.017189561</v>
      </c>
      <c r="O490" s="134">
        <f t="shared" si="12"/>
        <v>1.028394049</v>
      </c>
      <c r="P490" s="134">
        <f t="shared" si="13"/>
        <v>1.391939758</v>
      </c>
      <c r="Q490" s="134">
        <f t="shared" si="14"/>
        <v>1.19274753</v>
      </c>
    </row>
    <row r="491" ht="15.0" customHeight="1">
      <c r="A491" s="13">
        <v>452.0</v>
      </c>
      <c r="B491" s="134">
        <f t="shared" ref="B491:D491" si="913">RAND()</f>
        <v>0.1279966647</v>
      </c>
      <c r="C491" s="134">
        <f t="shared" si="913"/>
        <v>0.3914106568</v>
      </c>
      <c r="D491" s="134">
        <f t="shared" si="913"/>
        <v>0.3767667821</v>
      </c>
      <c r="F491" s="134">
        <f t="shared" ref="F491:H491" si="914">RAND()</f>
        <v>0.7127902282</v>
      </c>
      <c r="G491" s="134">
        <f t="shared" si="914"/>
        <v>0.8050146171</v>
      </c>
      <c r="H491" s="134">
        <f t="shared" si="914"/>
        <v>0.05335411544</v>
      </c>
      <c r="J491" s="135">
        <f t="shared" si="8"/>
        <v>57489545.6</v>
      </c>
      <c r="K491" s="136">
        <f>IF(J491&gt;0,MIN(99,$B$12*Q491/(J491*12*(1-Inputs!$H$16))),99)</f>
        <v>8.765621963</v>
      </c>
      <c r="L491" s="134">
        <f t="shared" si="9"/>
        <v>0.8949984366</v>
      </c>
      <c r="M491" s="134">
        <f t="shared" si="10"/>
        <v>0.9523870535</v>
      </c>
      <c r="N491" s="134">
        <f t="shared" si="11"/>
        <v>0.9979639829</v>
      </c>
      <c r="O491" s="134">
        <f t="shared" si="12"/>
        <v>1.044311118</v>
      </c>
      <c r="P491" s="134">
        <f t="shared" si="13"/>
        <v>1.442867591</v>
      </c>
      <c r="Q491" s="134">
        <f t="shared" si="14"/>
        <v>0.9262753228</v>
      </c>
    </row>
    <row r="492" ht="15.0" customHeight="1">
      <c r="A492" s="13">
        <v>453.0</v>
      </c>
      <c r="B492" s="134">
        <f t="shared" ref="B492:D492" si="915">RAND()</f>
        <v>0.5823430709</v>
      </c>
      <c r="C492" s="134">
        <f t="shared" si="915"/>
        <v>0.1813272775</v>
      </c>
      <c r="D492" s="134">
        <f t="shared" si="915"/>
        <v>0.6380833237</v>
      </c>
      <c r="F492" s="134">
        <f t="shared" ref="F492:H492" si="916">RAND()</f>
        <v>0.6922764262</v>
      </c>
      <c r="G492" s="134">
        <f t="shared" si="916"/>
        <v>0.1216971849</v>
      </c>
      <c r="H492" s="134">
        <f t="shared" si="916"/>
        <v>0.5722069741</v>
      </c>
      <c r="J492" s="135">
        <f t="shared" si="8"/>
        <v>168027844.7</v>
      </c>
      <c r="K492" s="136">
        <f>IF(J492&gt;0,MIN(99,$B$12*Q492/(J492*12*(1-Inputs!$H$16))),99)</f>
        <v>3.617506706</v>
      </c>
      <c r="L492" s="134">
        <f t="shared" si="9"/>
        <v>1.035358961</v>
      </c>
      <c r="M492" s="134">
        <f t="shared" si="10"/>
        <v>1.015005263</v>
      </c>
      <c r="N492" s="134">
        <f t="shared" si="11"/>
        <v>1.019999187</v>
      </c>
      <c r="O492" s="134">
        <f t="shared" si="12"/>
        <v>1.041941303</v>
      </c>
      <c r="P492" s="134">
        <f t="shared" si="13"/>
        <v>0.9684287719</v>
      </c>
      <c r="Q492" s="134">
        <f t="shared" si="14"/>
        <v>1.117272432</v>
      </c>
    </row>
    <row r="493" ht="15.0" customHeight="1">
      <c r="A493" s="13">
        <v>454.0</v>
      </c>
      <c r="B493" s="134">
        <f t="shared" ref="B493:D493" si="917">RAND()</f>
        <v>0.8495267797</v>
      </c>
      <c r="C493" s="134">
        <f t="shared" si="917"/>
        <v>0.2866209984</v>
      </c>
      <c r="D493" s="134">
        <f t="shared" si="917"/>
        <v>0.1646776266</v>
      </c>
      <c r="F493" s="134">
        <f t="shared" ref="F493:H493" si="918">RAND()</f>
        <v>0.07786945696</v>
      </c>
      <c r="G493" s="134">
        <f t="shared" si="918"/>
        <v>0.8180209654</v>
      </c>
      <c r="H493" s="134">
        <f t="shared" si="918"/>
        <v>0.1795372346</v>
      </c>
      <c r="J493" s="135">
        <f t="shared" si="8"/>
        <v>240826368.8</v>
      </c>
      <c r="K493" s="136">
        <f>IF(J493&gt;0,MIN(99,$B$12*Q493/(J493*12*(1-Inputs!$H$16))),99)</f>
        <v>2.219772829</v>
      </c>
      <c r="L493" s="134">
        <f t="shared" si="9"/>
        <v>1.131159575</v>
      </c>
      <c r="M493" s="134">
        <f t="shared" si="10"/>
        <v>1.057374524</v>
      </c>
      <c r="N493" s="134">
        <f t="shared" si="11"/>
        <v>0.9779596105</v>
      </c>
      <c r="O493" s="134">
        <f t="shared" si="12"/>
        <v>0.9881303349</v>
      </c>
      <c r="P493" s="134">
        <f t="shared" si="13"/>
        <v>1.457113764</v>
      </c>
      <c r="Q493" s="134">
        <f t="shared" si="14"/>
        <v>0.9826097062</v>
      </c>
    </row>
    <row r="494" ht="15.0" customHeight="1">
      <c r="A494" s="13">
        <v>455.0</v>
      </c>
      <c r="B494" s="134">
        <f t="shared" ref="B494:D494" si="919">RAND()</f>
        <v>0.00251399603</v>
      </c>
      <c r="C494" s="134">
        <f t="shared" si="919"/>
        <v>0.262369878</v>
      </c>
      <c r="D494" s="134">
        <f t="shared" si="919"/>
        <v>0.4561315262</v>
      </c>
      <c r="F494" s="134">
        <f t="shared" ref="F494:H494" si="920">RAND()</f>
        <v>0.3584088977</v>
      </c>
      <c r="G494" s="134">
        <f t="shared" si="920"/>
        <v>0.8294991318</v>
      </c>
      <c r="H494" s="134">
        <f t="shared" si="920"/>
        <v>0.9505842032</v>
      </c>
      <c r="J494" s="135">
        <f t="shared" si="8"/>
        <v>-3291824.021</v>
      </c>
      <c r="K494" s="136">
        <f>IF(J494&gt;0,MIN(99,$B$12*Q494/(J494*12*(1-Inputs!$H$16))),99)</f>
        <v>99</v>
      </c>
      <c r="L494" s="134">
        <f t="shared" si="9"/>
        <v>0.7918173884</v>
      </c>
      <c r="M494" s="134">
        <f t="shared" si="10"/>
        <v>0.9062250074</v>
      </c>
      <c r="N494" s="134">
        <f t="shared" si="11"/>
        <v>1.004101019</v>
      </c>
      <c r="O494" s="134">
        <f t="shared" si="12"/>
        <v>1.010913121</v>
      </c>
      <c r="P494" s="134">
        <f t="shared" si="13"/>
        <v>1.470115198</v>
      </c>
      <c r="Q494" s="134">
        <f t="shared" si="14"/>
        <v>1.345926314</v>
      </c>
    </row>
    <row r="495" ht="15.0" customHeight="1">
      <c r="A495" s="13">
        <v>456.0</v>
      </c>
      <c r="B495" s="134">
        <f t="shared" ref="B495:D495" si="921">RAND()</f>
        <v>0.2073354122</v>
      </c>
      <c r="C495" s="134">
        <f t="shared" si="921"/>
        <v>0.003394715356</v>
      </c>
      <c r="D495" s="134">
        <f t="shared" si="921"/>
        <v>0.2188047034</v>
      </c>
      <c r="F495" s="134">
        <f t="shared" ref="F495:H495" si="922">RAND()</f>
        <v>0.8800563146</v>
      </c>
      <c r="G495" s="134">
        <f t="shared" si="922"/>
        <v>0.4637128972</v>
      </c>
      <c r="H495" s="134">
        <f t="shared" si="922"/>
        <v>0.1981193882</v>
      </c>
      <c r="J495" s="135">
        <f t="shared" si="8"/>
        <v>88415010.87</v>
      </c>
      <c r="K495" s="136">
        <f>IF(J495&gt;0,MIN(99,$B$12*Q495/(J495*12*(1-Inputs!$H$16))),99)</f>
        <v>6.084723289</v>
      </c>
      <c r="L495" s="134">
        <f t="shared" si="9"/>
        <v>0.9277260092</v>
      </c>
      <c r="M495" s="134">
        <f t="shared" si="10"/>
        <v>0.9670290031</v>
      </c>
      <c r="N495" s="134">
        <f t="shared" si="11"/>
        <v>0.9839184356</v>
      </c>
      <c r="O495" s="134">
        <f t="shared" si="12"/>
        <v>1.068198572</v>
      </c>
      <c r="P495" s="134">
        <f t="shared" si="13"/>
        <v>1.166392977</v>
      </c>
      <c r="Q495" s="134">
        <f t="shared" si="14"/>
        <v>0.988861159</v>
      </c>
    </row>
    <row r="496" ht="15.0" customHeight="1">
      <c r="A496" s="13">
        <v>457.0</v>
      </c>
      <c r="B496" s="134">
        <f t="shared" ref="B496:D496" si="923">RAND()</f>
        <v>0.1713231374</v>
      </c>
      <c r="C496" s="134">
        <f t="shared" si="923"/>
        <v>0.4716159555</v>
      </c>
      <c r="D496" s="134">
        <f t="shared" si="923"/>
        <v>0.09724705509</v>
      </c>
      <c r="F496" s="134">
        <f t="shared" ref="F496:H496" si="924">RAND()</f>
        <v>0.9429359715</v>
      </c>
      <c r="G496" s="134">
        <f t="shared" si="924"/>
        <v>0.1901584723</v>
      </c>
      <c r="H496" s="134">
        <f t="shared" si="924"/>
        <v>0.3620983791</v>
      </c>
      <c r="J496" s="135">
        <f t="shared" si="8"/>
        <v>85808601.2</v>
      </c>
      <c r="K496" s="136">
        <f>IF(J496&gt;0,MIN(99,$B$12*Q496/(J496*12*(1-Inputs!$H$16))),99)</f>
        <v>6.598082636</v>
      </c>
      <c r="L496" s="134">
        <f t="shared" si="9"/>
        <v>0.9138303028</v>
      </c>
      <c r="M496" s="134">
        <f t="shared" si="10"/>
        <v>0.9608122196</v>
      </c>
      <c r="N496" s="134">
        <f t="shared" si="11"/>
        <v>0.968923355</v>
      </c>
      <c r="O496" s="134">
        <f t="shared" si="12"/>
        <v>1.081736479</v>
      </c>
      <c r="P496" s="134">
        <f t="shared" si="13"/>
        <v>1.007023107</v>
      </c>
      <c r="Q496" s="134">
        <f t="shared" si="14"/>
        <v>1.040679631</v>
      </c>
    </row>
    <row r="497" ht="15.0" customHeight="1">
      <c r="A497" s="13">
        <v>458.0</v>
      </c>
      <c r="B497" s="134">
        <f t="shared" ref="B497:D497" si="925">RAND()</f>
        <v>0.6319603995</v>
      </c>
      <c r="C497" s="134">
        <f t="shared" si="925"/>
        <v>0.1452914688</v>
      </c>
      <c r="D497" s="134">
        <f t="shared" si="925"/>
        <v>0.7860630681</v>
      </c>
      <c r="F497" s="134">
        <f t="shared" ref="F497:H497" si="926">RAND()</f>
        <v>0.8523962127</v>
      </c>
      <c r="G497" s="134">
        <f t="shared" si="926"/>
        <v>0.4416800156</v>
      </c>
      <c r="H497" s="134">
        <f t="shared" si="926"/>
        <v>0.8967664446</v>
      </c>
      <c r="J497" s="135">
        <f t="shared" si="8"/>
        <v>164527280.9</v>
      </c>
      <c r="K497" s="136">
        <f>IF(J497&gt;0,MIN(99,$B$12*Q497/(J497*12*(1-Inputs!$H$16))),99)</f>
        <v>4.277191249</v>
      </c>
      <c r="L497" s="134">
        <f t="shared" si="9"/>
        <v>1.05004346</v>
      </c>
      <c r="M497" s="134">
        <f t="shared" si="10"/>
        <v>1.021499703</v>
      </c>
      <c r="N497" s="134">
        <f t="shared" si="11"/>
        <v>1.036269733</v>
      </c>
      <c r="O497" s="134">
        <f t="shared" si="12"/>
        <v>1.063427963</v>
      </c>
      <c r="P497" s="134">
        <f t="shared" si="13"/>
        <v>1.152232022</v>
      </c>
      <c r="Q497" s="134">
        <f t="shared" si="14"/>
        <v>1.293495944</v>
      </c>
    </row>
    <row r="498" ht="15.0" customHeight="1">
      <c r="A498" s="13">
        <v>459.0</v>
      </c>
      <c r="B498" s="134">
        <f t="shared" ref="B498:D498" si="927">RAND()</f>
        <v>0.4159234156</v>
      </c>
      <c r="C498" s="134">
        <f t="shared" si="927"/>
        <v>0.5865531961</v>
      </c>
      <c r="D498" s="134">
        <f t="shared" si="927"/>
        <v>0.3220226629</v>
      </c>
      <c r="F498" s="134">
        <f t="shared" ref="F498:H498" si="928">RAND()</f>
        <v>0.2783684258</v>
      </c>
      <c r="G498" s="134">
        <f t="shared" si="928"/>
        <v>0.504973812</v>
      </c>
      <c r="H498" s="134">
        <f t="shared" si="928"/>
        <v>0.5533079165</v>
      </c>
      <c r="J498" s="135">
        <f t="shared" si="8"/>
        <v>139960519.1</v>
      </c>
      <c r="K498" s="136">
        <f>IF(J498&gt;0,MIN(99,$B$12*Q498/(J498*12*(1-Inputs!$H$16))),99)</f>
        <v>4.313532849</v>
      </c>
      <c r="L498" s="134">
        <f t="shared" si="9"/>
        <v>0.9913131625</v>
      </c>
      <c r="M498" s="134">
        <f t="shared" si="10"/>
        <v>0.9954771838</v>
      </c>
      <c r="N498" s="134">
        <f t="shared" si="11"/>
        <v>0.9935071402</v>
      </c>
      <c r="O498" s="134">
        <f t="shared" si="12"/>
        <v>1.004802976</v>
      </c>
      <c r="P498" s="134">
        <f t="shared" si="13"/>
        <v>1.193717893</v>
      </c>
      <c r="Q498" s="134">
        <f t="shared" si="14"/>
        <v>1.109703959</v>
      </c>
    </row>
    <row r="499" ht="15.0" customHeight="1">
      <c r="A499" s="13">
        <v>460.0</v>
      </c>
      <c r="B499" s="134">
        <f t="shared" ref="B499:D499" si="929">RAND()</f>
        <v>0.2382016598</v>
      </c>
      <c r="C499" s="134">
        <f t="shared" si="929"/>
        <v>0.1719295479</v>
      </c>
      <c r="D499" s="134">
        <f t="shared" si="929"/>
        <v>0.3474648372</v>
      </c>
      <c r="F499" s="134">
        <f t="shared" ref="F499:H499" si="930">RAND()</f>
        <v>0.02758927641</v>
      </c>
      <c r="G499" s="134">
        <f t="shared" si="930"/>
        <v>0.838060253</v>
      </c>
      <c r="H499" s="134">
        <f t="shared" si="930"/>
        <v>0.5567774508</v>
      </c>
      <c r="J499" s="135">
        <f t="shared" si="8"/>
        <v>96232631.88</v>
      </c>
      <c r="K499" s="136">
        <f>IF(J499&gt;0,MIN(99,$B$12*Q499/(J499*12*(1-Inputs!$H$16))),99)</f>
        <v>6.281378491</v>
      </c>
      <c r="L499" s="134">
        <f t="shared" si="9"/>
        <v>0.93869999</v>
      </c>
      <c r="M499" s="134">
        <f t="shared" si="10"/>
        <v>0.9719386393</v>
      </c>
      <c r="N499" s="134">
        <f t="shared" si="11"/>
        <v>0.9956220433</v>
      </c>
      <c r="O499" s="134">
        <f t="shared" si="12"/>
        <v>0.980745492</v>
      </c>
      <c r="P499" s="134">
        <f t="shared" si="13"/>
        <v>1.480099966</v>
      </c>
      <c r="Q499" s="134">
        <f t="shared" si="14"/>
        <v>1.111081222</v>
      </c>
    </row>
    <row r="500" ht="15.0" customHeight="1">
      <c r="A500" s="13">
        <v>461.0</v>
      </c>
      <c r="B500" s="134">
        <f t="shared" ref="B500:D500" si="931">RAND()</f>
        <v>0.1701328383</v>
      </c>
      <c r="C500" s="134">
        <f t="shared" si="931"/>
        <v>0.008825316194</v>
      </c>
      <c r="D500" s="134">
        <f t="shared" si="931"/>
        <v>0.1672178368</v>
      </c>
      <c r="F500" s="134">
        <f t="shared" ref="F500:H500" si="932">RAND()</f>
        <v>0.8643606759</v>
      </c>
      <c r="G500" s="134">
        <f t="shared" si="932"/>
        <v>0.4933784964</v>
      </c>
      <c r="H500" s="134">
        <f t="shared" si="932"/>
        <v>0.7500609503</v>
      </c>
      <c r="J500" s="135">
        <f t="shared" si="8"/>
        <v>79613683.3</v>
      </c>
      <c r="K500" s="136">
        <f>IF(J500&gt;0,MIN(99,$B$12*Q500/(J500*12*(1-Inputs!$H$16))),99)</f>
        <v>8.192637512</v>
      </c>
      <c r="L500" s="134">
        <f t="shared" si="9"/>
        <v>0.9133471876</v>
      </c>
      <c r="M500" s="134">
        <f t="shared" si="10"/>
        <v>0.9605960793</v>
      </c>
      <c r="N500" s="134">
        <f t="shared" si="11"/>
        <v>0.9782594586</v>
      </c>
      <c r="O500" s="134">
        <f t="shared" si="12"/>
        <v>1.065431274</v>
      </c>
      <c r="P500" s="134">
        <f t="shared" si="13"/>
        <v>1.185927476</v>
      </c>
      <c r="Q500" s="134">
        <f t="shared" si="14"/>
        <v>1.198891657</v>
      </c>
    </row>
    <row r="501" ht="15.0" customHeight="1">
      <c r="A501" s="13">
        <v>462.0</v>
      </c>
      <c r="B501" s="134">
        <f t="shared" ref="B501:D501" si="933">RAND()</f>
        <v>0.4038931273</v>
      </c>
      <c r="C501" s="134">
        <f t="shared" si="933"/>
        <v>0.2863504383</v>
      </c>
      <c r="D501" s="134">
        <f t="shared" si="933"/>
        <v>0.6031426193</v>
      </c>
      <c r="F501" s="134">
        <f t="shared" ref="F501:H501" si="934">RAND()</f>
        <v>0.9781472332</v>
      </c>
      <c r="G501" s="134">
        <f t="shared" si="934"/>
        <v>0.537337848</v>
      </c>
      <c r="H501" s="134">
        <f t="shared" si="934"/>
        <v>0.6026899652</v>
      </c>
      <c r="J501" s="135">
        <f t="shared" si="8"/>
        <v>117206528.8</v>
      </c>
      <c r="K501" s="136">
        <f>IF(J501&gt;0,MIN(99,$B$12*Q501/(J501*12*(1-Inputs!$H$16))),99)</f>
        <v>5.244416371</v>
      </c>
      <c r="L501" s="134">
        <f t="shared" si="9"/>
        <v>0.9881618559</v>
      </c>
      <c r="M501" s="134">
        <f t="shared" si="10"/>
        <v>0.9940673245</v>
      </c>
      <c r="N501" s="134">
        <f t="shared" si="11"/>
        <v>1.016679712</v>
      </c>
      <c r="O501" s="134">
        <f t="shared" si="12"/>
        <v>1.093208812</v>
      </c>
      <c r="P501" s="134">
        <f t="shared" si="13"/>
        <v>1.21595821</v>
      </c>
      <c r="Q501" s="134">
        <f t="shared" si="14"/>
        <v>1.12984131</v>
      </c>
    </row>
    <row r="502" ht="15.0" customHeight="1">
      <c r="A502" s="13">
        <v>463.0</v>
      </c>
      <c r="B502" s="134">
        <f t="shared" ref="B502:D502" si="935">RAND()</f>
        <v>0.8293555326</v>
      </c>
      <c r="C502" s="134">
        <f t="shared" si="935"/>
        <v>0.8934786149</v>
      </c>
      <c r="D502" s="134">
        <f t="shared" si="935"/>
        <v>0.2110596967</v>
      </c>
      <c r="F502" s="134">
        <f t="shared" ref="F502:H502" si="936">RAND()</f>
        <v>0.9386560944</v>
      </c>
      <c r="G502" s="134">
        <f t="shared" si="936"/>
        <v>0.6626066211</v>
      </c>
      <c r="H502" s="134">
        <f t="shared" si="936"/>
        <v>0.6580694403</v>
      </c>
      <c r="J502" s="135">
        <f t="shared" si="8"/>
        <v>222348779.5</v>
      </c>
      <c r="K502" s="136">
        <f>IF(J502&gt;0,MIN(99,$B$12*Q502/(J502*12*(1-Inputs!$H$16))),99)</f>
        <v>2.823542632</v>
      </c>
      <c r="L502" s="134">
        <f t="shared" si="9"/>
        <v>1.121821626</v>
      </c>
      <c r="M502" s="134">
        <f t="shared" si="10"/>
        <v>1.053244676</v>
      </c>
      <c r="N502" s="134">
        <f t="shared" si="11"/>
        <v>0.9831150894</v>
      </c>
      <c r="O502" s="134">
        <f t="shared" si="12"/>
        <v>1.080628198</v>
      </c>
      <c r="P502" s="134">
        <f t="shared" si="13"/>
        <v>1.310419615</v>
      </c>
      <c r="Q502" s="134">
        <f t="shared" si="14"/>
        <v>1.153978136</v>
      </c>
    </row>
    <row r="503" ht="15.0" customHeight="1">
      <c r="A503" s="13">
        <v>464.0</v>
      </c>
      <c r="B503" s="134">
        <f t="shared" ref="B503:D503" si="937">RAND()</f>
        <v>0.04615714405</v>
      </c>
      <c r="C503" s="134">
        <f t="shared" si="937"/>
        <v>0.6641805716</v>
      </c>
      <c r="D503" s="134">
        <f t="shared" si="937"/>
        <v>0.1613195223</v>
      </c>
      <c r="F503" s="134">
        <f t="shared" ref="F503:H503" si="938">RAND()</f>
        <v>0.4225119496</v>
      </c>
      <c r="G503" s="134">
        <f t="shared" si="938"/>
        <v>0.7940149454</v>
      </c>
      <c r="H503" s="134">
        <f t="shared" si="938"/>
        <v>0.4195986816</v>
      </c>
      <c r="J503" s="135">
        <f t="shared" si="8"/>
        <v>35736194.46</v>
      </c>
      <c r="K503" s="136">
        <f>IF(J503&gt;0,MIN(99,$B$12*Q503/(J503*12*(1-Inputs!$H$16))),99)</f>
        <v>16.14017174</v>
      </c>
      <c r="L503" s="134">
        <f t="shared" si="9"/>
        <v>0.8470602436</v>
      </c>
      <c r="M503" s="134">
        <f t="shared" si="10"/>
        <v>0.9309400425</v>
      </c>
      <c r="N503" s="134">
        <f t="shared" si="11"/>
        <v>0.9775596454</v>
      </c>
      <c r="O503" s="134">
        <f t="shared" si="12"/>
        <v>1.016087412</v>
      </c>
      <c r="P503" s="134">
        <f t="shared" si="13"/>
        <v>1.431186248</v>
      </c>
      <c r="Q503" s="134">
        <f t="shared" si="14"/>
        <v>1.060193007</v>
      </c>
    </row>
    <row r="504" ht="15.0" customHeight="1">
      <c r="A504" s="13">
        <v>465.0</v>
      </c>
      <c r="B504" s="134">
        <f t="shared" ref="B504:D504" si="939">RAND()</f>
        <v>0.7400659771</v>
      </c>
      <c r="C504" s="134">
        <f t="shared" si="939"/>
        <v>0.5116232273</v>
      </c>
      <c r="D504" s="134">
        <f t="shared" si="939"/>
        <v>0.1996793498</v>
      </c>
      <c r="F504" s="134">
        <f t="shared" ref="F504:H504" si="940">RAND()</f>
        <v>0.1790393261</v>
      </c>
      <c r="G504" s="134">
        <f t="shared" si="940"/>
        <v>0.0836698331</v>
      </c>
      <c r="H504" s="134">
        <f t="shared" si="940"/>
        <v>0.7638116278</v>
      </c>
      <c r="J504" s="135">
        <f t="shared" si="8"/>
        <v>222725334.9</v>
      </c>
      <c r="K504" s="136">
        <f>IF(J504&gt;0,MIN(99,$B$12*Q504/(J504*12*(1-Inputs!$H$16))),99)</f>
        <v>2.946518652</v>
      </c>
      <c r="L504" s="134">
        <f t="shared" si="9"/>
        <v>1.085947287</v>
      </c>
      <c r="M504" s="134">
        <f t="shared" si="10"/>
        <v>1.037378711</v>
      </c>
      <c r="N504" s="134">
        <f t="shared" si="11"/>
        <v>0.9819074334</v>
      </c>
      <c r="O504" s="134">
        <f t="shared" si="12"/>
        <v>0.9975503989</v>
      </c>
      <c r="P504" s="134">
        <f t="shared" si="13"/>
        <v>0.9421654352</v>
      </c>
      <c r="Q504" s="134">
        <f t="shared" si="14"/>
        <v>1.206277692</v>
      </c>
    </row>
    <row r="505" ht="15.0" customHeight="1">
      <c r="A505" s="13">
        <v>466.0</v>
      </c>
      <c r="B505" s="134">
        <f t="shared" ref="B505:D505" si="941">RAND()</f>
        <v>0.6030323171</v>
      </c>
      <c r="C505" s="134">
        <f t="shared" si="941"/>
        <v>0.8266250131</v>
      </c>
      <c r="D505" s="134">
        <f t="shared" si="941"/>
        <v>0.7471303351</v>
      </c>
      <c r="F505" s="134">
        <f t="shared" ref="F505:H505" si="942">RAND()</f>
        <v>0.5591367268</v>
      </c>
      <c r="G505" s="134">
        <f t="shared" si="942"/>
        <v>0.7169813749</v>
      </c>
      <c r="H505" s="134">
        <f t="shared" si="942"/>
        <v>0.6390626895</v>
      </c>
      <c r="J505" s="135">
        <f t="shared" si="8"/>
        <v>157430221</v>
      </c>
      <c r="K505" s="136">
        <f>IF(J505&gt;0,MIN(99,$B$12*Q505/(J505*12*(1-Inputs!$H$16))),99)</f>
        <v>3.958529141</v>
      </c>
      <c r="L505" s="134">
        <f t="shared" si="9"/>
        <v>1.04136983</v>
      </c>
      <c r="M505" s="134">
        <f t="shared" si="10"/>
        <v>1.01766366</v>
      </c>
      <c r="N505" s="134">
        <f t="shared" si="11"/>
        <v>1.031551235</v>
      </c>
      <c r="O505" s="134">
        <f t="shared" si="12"/>
        <v>1.028176744</v>
      </c>
      <c r="P505" s="134">
        <f t="shared" si="13"/>
        <v>1.356882242</v>
      </c>
      <c r="Q505" s="134">
        <f t="shared" si="14"/>
        <v>1.145487707</v>
      </c>
    </row>
    <row r="506" ht="15.0" customHeight="1">
      <c r="A506" s="13">
        <v>467.0</v>
      </c>
      <c r="B506" s="134">
        <f t="shared" ref="B506:D506" si="943">RAND()</f>
        <v>0.8532112265</v>
      </c>
      <c r="C506" s="134">
        <f t="shared" si="943"/>
        <v>0.7687618585</v>
      </c>
      <c r="D506" s="134">
        <f t="shared" si="943"/>
        <v>0.9211243516</v>
      </c>
      <c r="F506" s="134">
        <f t="shared" ref="F506:H506" si="944">RAND()</f>
        <v>0.2707131476</v>
      </c>
      <c r="G506" s="134">
        <f t="shared" si="944"/>
        <v>0.3523283227</v>
      </c>
      <c r="H506" s="134">
        <f t="shared" si="944"/>
        <v>0.2675005505</v>
      </c>
      <c r="J506" s="135">
        <f t="shared" si="8"/>
        <v>233722002.2</v>
      </c>
      <c r="K506" s="136">
        <f>IF(J506&gt;0,MIN(99,$B$12*Q506/(J506*12*(1-Inputs!$H$16))),99)</f>
        <v>2.351937157</v>
      </c>
      <c r="L506" s="134">
        <f t="shared" si="9"/>
        <v>1.132931508</v>
      </c>
      <c r="M506" s="134">
        <f t="shared" si="10"/>
        <v>1.058158188</v>
      </c>
      <c r="N506" s="134">
        <f t="shared" si="11"/>
        <v>1.057527279</v>
      </c>
      <c r="O506" s="134">
        <f t="shared" si="12"/>
        <v>1.004236765</v>
      </c>
      <c r="P506" s="134">
        <f t="shared" si="13"/>
        <v>1.097485366</v>
      </c>
      <c r="Q506" s="134">
        <f t="shared" si="14"/>
        <v>1.010401059</v>
      </c>
    </row>
    <row r="507" ht="15.0" customHeight="1">
      <c r="A507" s="13">
        <v>468.0</v>
      </c>
      <c r="B507" s="134">
        <f t="shared" ref="B507:D507" si="945">RAND()</f>
        <v>0.949774526</v>
      </c>
      <c r="C507" s="134">
        <f t="shared" si="945"/>
        <v>0.4612540139</v>
      </c>
      <c r="D507" s="134">
        <f t="shared" si="945"/>
        <v>0.795268247</v>
      </c>
      <c r="F507" s="134">
        <f t="shared" ref="F507:H507" si="946">RAND()</f>
        <v>0.3503692189</v>
      </c>
      <c r="G507" s="134">
        <f t="shared" si="946"/>
        <v>0.3566372584</v>
      </c>
      <c r="H507" s="134">
        <f t="shared" si="946"/>
        <v>0.4747229483</v>
      </c>
      <c r="J507" s="135">
        <f t="shared" si="8"/>
        <v>284281232.3</v>
      </c>
      <c r="K507" s="136">
        <f>IF(J507&gt;0,MIN(99,$B$12*Q507/(J507*12*(1-Inputs!$H$16))),99)</f>
        <v>2.066516386</v>
      </c>
      <c r="L507" s="134">
        <f t="shared" si="9"/>
        <v>1.191897637</v>
      </c>
      <c r="M507" s="134">
        <f t="shared" si="10"/>
        <v>1.084236845</v>
      </c>
      <c r="N507" s="134">
        <f t="shared" si="11"/>
        <v>1.037446803</v>
      </c>
      <c r="O507" s="134">
        <f t="shared" si="12"/>
        <v>1.010282776</v>
      </c>
      <c r="P507" s="134">
        <f t="shared" si="13"/>
        <v>1.100035306</v>
      </c>
      <c r="Q507" s="134">
        <f t="shared" si="14"/>
        <v>1.079830336</v>
      </c>
    </row>
    <row r="508" ht="15.0" customHeight="1">
      <c r="A508" s="13">
        <v>469.0</v>
      </c>
      <c r="B508" s="134">
        <f t="shared" ref="B508:D508" si="947">RAND()</f>
        <v>0.6254542856</v>
      </c>
      <c r="C508" s="134">
        <f t="shared" si="947"/>
        <v>0.4349539967</v>
      </c>
      <c r="D508" s="134">
        <f t="shared" si="947"/>
        <v>0.3172732433</v>
      </c>
      <c r="F508" s="134">
        <f t="shared" ref="F508:H508" si="948">RAND()</f>
        <v>0.03799830916</v>
      </c>
      <c r="G508" s="134">
        <f t="shared" si="948"/>
        <v>0.229440728</v>
      </c>
      <c r="H508" s="134">
        <f t="shared" si="948"/>
        <v>0.8374040636</v>
      </c>
      <c r="J508" s="135">
        <f t="shared" si="8"/>
        <v>190996520.3</v>
      </c>
      <c r="K508" s="136">
        <f>IF(J508&gt;0,MIN(99,$B$12*Q508/(J508*12*(1-Inputs!$H$16))),99)</f>
        <v>3.560843983</v>
      </c>
      <c r="L508" s="134">
        <f t="shared" si="9"/>
        <v>1.048063807</v>
      </c>
      <c r="M508" s="134">
        <f t="shared" si="10"/>
        <v>1.020624172</v>
      </c>
      <c r="N508" s="134">
        <f t="shared" si="11"/>
        <v>0.9931031957</v>
      </c>
      <c r="O508" s="134">
        <f t="shared" si="12"/>
        <v>0.9826305163</v>
      </c>
      <c r="P508" s="134">
        <f t="shared" si="13"/>
        <v>1.02803546</v>
      </c>
      <c r="Q508" s="134">
        <f t="shared" si="14"/>
        <v>1.250106122</v>
      </c>
    </row>
    <row r="509" ht="15.0" customHeight="1">
      <c r="A509" s="13">
        <v>470.0</v>
      </c>
      <c r="B509" s="134">
        <f t="shared" ref="B509:D509" si="949">RAND()</f>
        <v>0.9061672364</v>
      </c>
      <c r="C509" s="134">
        <f t="shared" si="949"/>
        <v>0.3778786125</v>
      </c>
      <c r="D509" s="134">
        <f t="shared" si="949"/>
        <v>0.145689114</v>
      </c>
      <c r="F509" s="134">
        <f t="shared" ref="F509:H509" si="950">RAND()</f>
        <v>0.8207816025</v>
      </c>
      <c r="G509" s="134">
        <f t="shared" si="950"/>
        <v>0.4308036853</v>
      </c>
      <c r="H509" s="134">
        <f t="shared" si="950"/>
        <v>0.05353175644</v>
      </c>
      <c r="J509" s="135">
        <f t="shared" si="8"/>
        <v>265544472.2</v>
      </c>
      <c r="K509" s="136">
        <f>IF(J509&gt;0,MIN(99,$B$12*Q509/(J509*12*(1-Inputs!$H$16))),99)</f>
        <v>1.89795975</v>
      </c>
      <c r="L509" s="134">
        <f t="shared" si="9"/>
        <v>1.161413007</v>
      </c>
      <c r="M509" s="134">
        <f t="shared" si="10"/>
        <v>1.070754559</v>
      </c>
      <c r="N509" s="134">
        <f t="shared" si="11"/>
        <v>0.9756406898</v>
      </c>
      <c r="O509" s="134">
        <f t="shared" si="12"/>
        <v>1.05849532</v>
      </c>
      <c r="P509" s="134">
        <f t="shared" si="13"/>
        <v>1.145344637</v>
      </c>
      <c r="Q509" s="134">
        <f t="shared" si="14"/>
        <v>0.9263876241</v>
      </c>
    </row>
    <row r="510" ht="15.0" customHeight="1">
      <c r="A510" s="13">
        <v>471.0</v>
      </c>
      <c r="B510" s="134">
        <f t="shared" ref="B510:D510" si="951">RAND()</f>
        <v>0.8038832892</v>
      </c>
      <c r="C510" s="134">
        <f t="shared" si="951"/>
        <v>0.2310607757</v>
      </c>
      <c r="D510" s="134">
        <f t="shared" si="951"/>
        <v>0.08905795019</v>
      </c>
      <c r="F510" s="134">
        <f t="shared" ref="F510:H510" si="952">RAND()</f>
        <v>0.9219613449</v>
      </c>
      <c r="G510" s="134">
        <f t="shared" si="952"/>
        <v>0.4960364499</v>
      </c>
      <c r="H510" s="134">
        <f t="shared" si="952"/>
        <v>0.51463726</v>
      </c>
      <c r="J510" s="135">
        <f t="shared" si="8"/>
        <v>222758180.2</v>
      </c>
      <c r="K510" s="136">
        <f>IF(J510&gt;0,MIN(99,$B$12*Q510/(J510*12*(1-Inputs!$H$16))),99)</f>
        <v>2.673581471</v>
      </c>
      <c r="L510" s="134">
        <f t="shared" si="9"/>
        <v>1.110786579</v>
      </c>
      <c r="M510" s="134">
        <f t="shared" si="10"/>
        <v>1.04836426</v>
      </c>
      <c r="N510" s="134">
        <f t="shared" si="11"/>
        <v>0.9676328544</v>
      </c>
      <c r="O510" s="134">
        <f t="shared" si="12"/>
        <v>1.076637062</v>
      </c>
      <c r="P510" s="134">
        <f t="shared" si="13"/>
        <v>1.187705304</v>
      </c>
      <c r="Q510" s="134">
        <f t="shared" si="14"/>
        <v>1.094701127</v>
      </c>
    </row>
    <row r="511" ht="15.0" customHeight="1">
      <c r="A511" s="13">
        <v>472.0</v>
      </c>
      <c r="B511" s="134">
        <f t="shared" ref="B511:D511" si="953">RAND()</f>
        <v>0.7732549589</v>
      </c>
      <c r="C511" s="134">
        <f t="shared" si="953"/>
        <v>0.51346934</v>
      </c>
      <c r="D511" s="134">
        <f t="shared" si="953"/>
        <v>0.9984698352</v>
      </c>
      <c r="F511" s="134">
        <f t="shared" ref="F511:H511" si="954">RAND()</f>
        <v>0.8472870686</v>
      </c>
      <c r="G511" s="134">
        <f t="shared" si="954"/>
        <v>0.8796058092</v>
      </c>
      <c r="H511" s="134">
        <f t="shared" si="954"/>
        <v>0.3497251791</v>
      </c>
      <c r="J511" s="135">
        <f t="shared" si="8"/>
        <v>174549062</v>
      </c>
      <c r="K511" s="136">
        <f>IF(J511&gt;0,MIN(99,$B$12*Q511/(J511*12*(1-Inputs!$H$16))),99)</f>
        <v>3.230903843</v>
      </c>
      <c r="L511" s="134">
        <f t="shared" si="9"/>
        <v>1.098428646</v>
      </c>
      <c r="M511" s="134">
        <f t="shared" si="10"/>
        <v>1.042898779</v>
      </c>
      <c r="N511" s="134">
        <f t="shared" si="11"/>
        <v>1.085810298</v>
      </c>
      <c r="O511" s="134">
        <f t="shared" si="12"/>
        <v>1.062597325</v>
      </c>
      <c r="P511" s="134">
        <f t="shared" si="13"/>
        <v>1.532817677</v>
      </c>
      <c r="Q511" s="134">
        <f t="shared" si="14"/>
        <v>1.036597205</v>
      </c>
    </row>
    <row r="512" ht="15.0" customHeight="1">
      <c r="A512" s="13">
        <v>473.0</v>
      </c>
      <c r="B512" s="134">
        <f t="shared" ref="B512:D512" si="955">RAND()</f>
        <v>0.9671187276</v>
      </c>
      <c r="C512" s="134">
        <f t="shared" si="955"/>
        <v>0.9585329492</v>
      </c>
      <c r="D512" s="134">
        <f t="shared" si="955"/>
        <v>0.2901496767</v>
      </c>
      <c r="F512" s="134">
        <f t="shared" ref="F512:H512" si="956">RAND()</f>
        <v>0.412483308</v>
      </c>
      <c r="G512" s="134">
        <f t="shared" si="956"/>
        <v>0.3631451598</v>
      </c>
      <c r="H512" s="134">
        <f t="shared" si="956"/>
        <v>0.2706477444</v>
      </c>
      <c r="J512" s="135">
        <f t="shared" si="8"/>
        <v>308362678.5</v>
      </c>
      <c r="K512" s="136">
        <f>IF(J512&gt;0,MIN(99,$B$12*Q512/(J512*12*(1-Inputs!$H$16))),99)</f>
        <v>1.784359136</v>
      </c>
      <c r="L512" s="134">
        <f t="shared" si="9"/>
        <v>1.207760317</v>
      </c>
      <c r="M512" s="134">
        <f t="shared" si="10"/>
        <v>1.091252353</v>
      </c>
      <c r="N512" s="134">
        <f t="shared" si="11"/>
        <v>0.9907359759</v>
      </c>
      <c r="O512" s="134">
        <f t="shared" si="12"/>
        <v>1.015259622</v>
      </c>
      <c r="P512" s="134">
        <f t="shared" si="13"/>
        <v>1.103902793</v>
      </c>
      <c r="Q512" s="134">
        <f t="shared" si="14"/>
        <v>1.011375804</v>
      </c>
    </row>
    <row r="513" ht="15.0" customHeight="1">
      <c r="A513" s="13">
        <v>474.0</v>
      </c>
      <c r="B513" s="134">
        <f t="shared" ref="B513:D513" si="957">RAND()</f>
        <v>0.7650720303</v>
      </c>
      <c r="C513" s="134">
        <f t="shared" si="957"/>
        <v>0.07259170613</v>
      </c>
      <c r="D513" s="134">
        <f t="shared" si="957"/>
        <v>0.2174220853</v>
      </c>
      <c r="F513" s="134">
        <f t="shared" ref="F513:H513" si="958">RAND()</f>
        <v>0.6284991435</v>
      </c>
      <c r="G513" s="134">
        <f t="shared" si="958"/>
        <v>0.9418657383</v>
      </c>
      <c r="H513" s="134">
        <f t="shared" si="958"/>
        <v>0.6388829957</v>
      </c>
      <c r="J513" s="135">
        <f t="shared" si="8"/>
        <v>197040212.3</v>
      </c>
      <c r="K513" s="136">
        <f>IF(J513&gt;0,MIN(99,$B$12*Q513/(J513*12*(1-Inputs!$H$16))),99)</f>
        <v>3.162547523</v>
      </c>
      <c r="L513" s="134">
        <f t="shared" si="9"/>
        <v>1.095270771</v>
      </c>
      <c r="M513" s="134">
        <f t="shared" si="10"/>
        <v>1.041502161</v>
      </c>
      <c r="N513" s="134">
        <f t="shared" si="11"/>
        <v>0.9837760797</v>
      </c>
      <c r="O513" s="134">
        <f t="shared" si="12"/>
        <v>1.035039263</v>
      </c>
      <c r="P513" s="134">
        <f t="shared" si="13"/>
        <v>1.633489705</v>
      </c>
      <c r="Q513" s="134">
        <f t="shared" si="14"/>
        <v>1.145408517</v>
      </c>
    </row>
    <row r="514" ht="15.0" customHeight="1">
      <c r="A514" s="13">
        <v>475.0</v>
      </c>
      <c r="B514" s="134">
        <f t="shared" ref="B514:D514" si="959">RAND()</f>
        <v>0.07276957611</v>
      </c>
      <c r="C514" s="134">
        <f t="shared" si="959"/>
        <v>0.6251609896</v>
      </c>
      <c r="D514" s="134">
        <f t="shared" si="959"/>
        <v>0.1977855526</v>
      </c>
      <c r="F514" s="134">
        <f t="shared" ref="F514:H514" si="960">RAND()</f>
        <v>0.5059942574</v>
      </c>
      <c r="G514" s="134">
        <f t="shared" si="960"/>
        <v>0.548943916</v>
      </c>
      <c r="H514" s="134">
        <f t="shared" si="960"/>
        <v>0.4425793353</v>
      </c>
      <c r="J514" s="135">
        <f t="shared" si="8"/>
        <v>53277927.35</v>
      </c>
      <c r="K514" s="136">
        <f>IF(J514&gt;0,MIN(99,$B$12*Q514/(J514*12*(1-Inputs!$H$16))),99)</f>
        <v>10.90841312</v>
      </c>
      <c r="L514" s="134">
        <f t="shared" si="9"/>
        <v>0.8654797066</v>
      </c>
      <c r="M514" s="134">
        <f t="shared" si="10"/>
        <v>0.9391807041</v>
      </c>
      <c r="N514" s="134">
        <f t="shared" si="11"/>
        <v>0.9817031588</v>
      </c>
      <c r="O514" s="134">
        <f t="shared" si="12"/>
        <v>1.023278056</v>
      </c>
      <c r="P514" s="134">
        <f t="shared" si="13"/>
        <v>1.224122456</v>
      </c>
      <c r="Q514" s="134">
        <f t="shared" si="14"/>
        <v>1.068261015</v>
      </c>
    </row>
    <row r="515" ht="15.0" customHeight="1">
      <c r="A515" s="13">
        <v>476.0</v>
      </c>
      <c r="B515" s="134">
        <f t="shared" ref="B515:D515" si="961">RAND()</f>
        <v>0.9538419362</v>
      </c>
      <c r="C515" s="134">
        <f t="shared" si="961"/>
        <v>0.5013776226</v>
      </c>
      <c r="D515" s="134">
        <f t="shared" si="961"/>
        <v>0.8078763652</v>
      </c>
      <c r="F515" s="134">
        <f t="shared" ref="F515:H515" si="962">RAND()</f>
        <v>0.14649581</v>
      </c>
      <c r="G515" s="134">
        <f t="shared" si="962"/>
        <v>0.2267659707</v>
      </c>
      <c r="H515" s="134">
        <f t="shared" si="962"/>
        <v>0.09178794438</v>
      </c>
      <c r="J515" s="135">
        <f t="shared" si="8"/>
        <v>291981529.2</v>
      </c>
      <c r="K515" s="136">
        <f>IF(J515&gt;0,MIN(99,$B$12*Q515/(J515*12*(1-Inputs!$H$16))),99)</f>
        <v>1.765104189</v>
      </c>
      <c r="L515" s="134">
        <f t="shared" si="9"/>
        <v>1.195333609</v>
      </c>
      <c r="M515" s="134">
        <f t="shared" si="10"/>
        <v>1.085756455</v>
      </c>
      <c r="N515" s="134">
        <f t="shared" si="11"/>
        <v>1.039102831</v>
      </c>
      <c r="O515" s="134">
        <f t="shared" si="12"/>
        <v>0.9949101365</v>
      </c>
      <c r="P515" s="134">
        <f t="shared" si="13"/>
        <v>1.026587961</v>
      </c>
      <c r="Q515" s="134">
        <f t="shared" si="14"/>
        <v>0.9473145453</v>
      </c>
    </row>
    <row r="516" ht="15.0" customHeight="1">
      <c r="A516" s="13">
        <v>477.0</v>
      </c>
      <c r="B516" s="134">
        <f t="shared" ref="B516:D516" si="963">RAND()</f>
        <v>0.7476429172</v>
      </c>
      <c r="C516" s="134">
        <f t="shared" si="963"/>
        <v>0.2881320215</v>
      </c>
      <c r="D516" s="134">
        <f t="shared" si="963"/>
        <v>0.6914341128</v>
      </c>
      <c r="F516" s="134">
        <f t="shared" ref="F516:H516" si="964">RAND()</f>
        <v>0.2658386907</v>
      </c>
      <c r="G516" s="134">
        <f t="shared" si="964"/>
        <v>0.09586919119</v>
      </c>
      <c r="H516" s="134">
        <f t="shared" si="964"/>
        <v>0.07675736524</v>
      </c>
      <c r="J516" s="135">
        <f t="shared" si="8"/>
        <v>213258566.7</v>
      </c>
      <c r="K516" s="136">
        <f>IF(J516&gt;0,MIN(99,$B$12*Q516/(J516*12*(1-Inputs!$H$16))),99)</f>
        <v>2.397357379</v>
      </c>
      <c r="L516" s="134">
        <f t="shared" si="9"/>
        <v>1.088723059</v>
      </c>
      <c r="M516" s="134">
        <f t="shared" si="10"/>
        <v>1.038606337</v>
      </c>
      <c r="N516" s="134">
        <f t="shared" si="11"/>
        <v>1.025393927</v>
      </c>
      <c r="O516" s="134">
        <f t="shared" si="12"/>
        <v>1.00387778</v>
      </c>
      <c r="P516" s="134">
        <f t="shared" si="13"/>
        <v>0.9511426591</v>
      </c>
      <c r="Q516" s="134">
        <f t="shared" si="14"/>
        <v>0.9397400742</v>
      </c>
    </row>
    <row r="517" ht="15.0" customHeight="1">
      <c r="A517" s="13">
        <v>478.0</v>
      </c>
      <c r="B517" s="134">
        <f t="shared" ref="B517:D517" si="965">RAND()</f>
        <v>0.7470590694</v>
      </c>
      <c r="C517" s="134">
        <f t="shared" si="965"/>
        <v>0.1774128151</v>
      </c>
      <c r="D517" s="134">
        <f t="shared" si="965"/>
        <v>0.8784607864</v>
      </c>
      <c r="F517" s="134">
        <f t="shared" ref="F517:H517" si="966">RAND()</f>
        <v>0.2342337231</v>
      </c>
      <c r="G517" s="134">
        <f t="shared" si="966"/>
        <v>0.8859262728</v>
      </c>
      <c r="H517" s="134">
        <f t="shared" si="966"/>
        <v>0.6061006159</v>
      </c>
      <c r="J517" s="135">
        <f t="shared" si="8"/>
        <v>185506759.2</v>
      </c>
      <c r="K517" s="136">
        <f>IF(J517&gt;0,MIN(99,$B$12*Q517/(J517*12*(1-Inputs!$H$16))),99)</f>
        <v>3.317728188</v>
      </c>
      <c r="L517" s="134">
        <f t="shared" si="9"/>
        <v>1.0885077</v>
      </c>
      <c r="M517" s="134">
        <f t="shared" si="10"/>
        <v>1.038511092</v>
      </c>
      <c r="N517" s="134">
        <f t="shared" si="11"/>
        <v>1.049597264</v>
      </c>
      <c r="O517" s="134">
        <f t="shared" si="12"/>
        <v>1.001578551</v>
      </c>
      <c r="P517" s="134">
        <f t="shared" si="13"/>
        <v>1.541595261</v>
      </c>
      <c r="Q517" s="134">
        <f t="shared" si="14"/>
        <v>1.131277168</v>
      </c>
    </row>
    <row r="518" ht="15.0" customHeight="1">
      <c r="A518" s="13">
        <v>479.0</v>
      </c>
      <c r="B518" s="134">
        <f t="shared" ref="B518:D518" si="967">RAND()</f>
        <v>0.8883534184</v>
      </c>
      <c r="C518" s="134">
        <f t="shared" si="967"/>
        <v>0.6564810906</v>
      </c>
      <c r="D518" s="134">
        <f t="shared" si="967"/>
        <v>0.3208678801</v>
      </c>
      <c r="F518" s="134">
        <f t="shared" ref="F518:H518" si="968">RAND()</f>
        <v>0.283860267</v>
      </c>
      <c r="G518" s="134">
        <f t="shared" si="968"/>
        <v>0.6333407609</v>
      </c>
      <c r="H518" s="134">
        <f t="shared" si="968"/>
        <v>0.8955400694</v>
      </c>
      <c r="J518" s="135">
        <f t="shared" si="8"/>
        <v>256405585</v>
      </c>
      <c r="K518" s="136">
        <f>IF(J518&gt;0,MIN(99,$B$12*Q518/(J518*12*(1-Inputs!$H$16))),99)</f>
        <v>2.742398978</v>
      </c>
      <c r="L518" s="134">
        <f t="shared" si="9"/>
        <v>1.151099213</v>
      </c>
      <c r="M518" s="134">
        <f t="shared" si="10"/>
        <v>1.066193129</v>
      </c>
      <c r="N518" s="134">
        <f t="shared" si="11"/>
        <v>0.9934091999</v>
      </c>
      <c r="O518" s="134">
        <f t="shared" si="12"/>
        <v>1.005211025</v>
      </c>
      <c r="P518" s="134">
        <f t="shared" si="13"/>
        <v>1.286962157</v>
      </c>
      <c r="Q518" s="134">
        <f t="shared" si="14"/>
        <v>1.29248824</v>
      </c>
    </row>
    <row r="519" ht="15.0" customHeight="1">
      <c r="A519" s="13">
        <v>480.0</v>
      </c>
      <c r="B519" s="134">
        <f t="shared" ref="B519:D519" si="969">RAND()</f>
        <v>0.173749253</v>
      </c>
      <c r="C519" s="134">
        <f t="shared" si="969"/>
        <v>0.4795092054</v>
      </c>
      <c r="D519" s="134">
        <f t="shared" si="969"/>
        <v>0.4666182059</v>
      </c>
      <c r="F519" s="134">
        <f t="shared" ref="F519:H519" si="970">RAND()</f>
        <v>0.9857323596</v>
      </c>
      <c r="G519" s="134">
        <f t="shared" si="970"/>
        <v>0.9344916637</v>
      </c>
      <c r="H519" s="134">
        <f t="shared" si="970"/>
        <v>0.5025274996</v>
      </c>
      <c r="J519" s="135">
        <f t="shared" si="8"/>
        <v>53732198.8</v>
      </c>
      <c r="K519" s="136">
        <f>IF(J519&gt;0,MIN(99,$B$12*Q519/(J519*12*(1-Inputs!$H$16))),99)</f>
        <v>11.037582</v>
      </c>
      <c r="L519" s="134">
        <f t="shared" si="9"/>
        <v>0.9148098386</v>
      </c>
      <c r="M519" s="134">
        <f t="shared" si="10"/>
        <v>0.961250453</v>
      </c>
      <c r="N519" s="134">
        <f t="shared" si="11"/>
        <v>1.004936937</v>
      </c>
      <c r="O519" s="134">
        <f t="shared" si="12"/>
        <v>1.096784494</v>
      </c>
      <c r="P519" s="134">
        <f t="shared" si="13"/>
        <v>1.619382364</v>
      </c>
      <c r="Q519" s="134">
        <f t="shared" si="14"/>
        <v>1.090126852</v>
      </c>
    </row>
    <row r="520" ht="15.0" customHeight="1">
      <c r="A520" s="13">
        <v>481.0</v>
      </c>
      <c r="B520" s="134">
        <f t="shared" ref="B520:D520" si="971">RAND()</f>
        <v>0.06698459119</v>
      </c>
      <c r="C520" s="134">
        <f t="shared" si="971"/>
        <v>0.4310636137</v>
      </c>
      <c r="D520" s="134">
        <f t="shared" si="971"/>
        <v>0.5809085735</v>
      </c>
      <c r="F520" s="134">
        <f t="shared" ref="F520:H520" si="972">RAND()</f>
        <v>0.9677739688</v>
      </c>
      <c r="G520" s="134">
        <f t="shared" si="972"/>
        <v>0.09863251949</v>
      </c>
      <c r="H520" s="134">
        <f t="shared" si="972"/>
        <v>0.4812024732</v>
      </c>
      <c r="J520" s="135">
        <f t="shared" si="8"/>
        <v>44058982.65</v>
      </c>
      <c r="K520" s="136">
        <f>IF(J520&gt;0,MIN(99,$B$12*Q520/(J520*12*(1-Inputs!$H$16))),99)</f>
        <v>13.36308041</v>
      </c>
      <c r="L520" s="134">
        <f t="shared" si="9"/>
        <v>0.8618087928</v>
      </c>
      <c r="M520" s="134">
        <f t="shared" si="10"/>
        <v>0.9375383783</v>
      </c>
      <c r="N520" s="134">
        <f t="shared" si="11"/>
        <v>1.014643109</v>
      </c>
      <c r="O520" s="134">
        <f t="shared" si="12"/>
        <v>1.089216124</v>
      </c>
      <c r="P520" s="134">
        <f t="shared" si="13"/>
        <v>0.9530952675</v>
      </c>
      <c r="Q520" s="134">
        <f t="shared" si="14"/>
        <v>1.082204979</v>
      </c>
    </row>
    <row r="521" ht="15.0" customHeight="1">
      <c r="A521" s="13">
        <v>482.0</v>
      </c>
      <c r="B521" s="134">
        <f t="shared" ref="B521:D521" si="973">RAND()</f>
        <v>0.7275764046</v>
      </c>
      <c r="C521" s="134">
        <f t="shared" si="973"/>
        <v>0.445189306</v>
      </c>
      <c r="D521" s="134">
        <f t="shared" si="973"/>
        <v>0.240574596</v>
      </c>
      <c r="F521" s="134">
        <f t="shared" ref="F521:H521" si="974">RAND()</f>
        <v>0.9838533608</v>
      </c>
      <c r="G521" s="134">
        <f t="shared" si="974"/>
        <v>0.6278955547</v>
      </c>
      <c r="H521" s="134">
        <f t="shared" si="974"/>
        <v>0.706211275</v>
      </c>
      <c r="J521" s="135">
        <f t="shared" si="8"/>
        <v>189069317.8</v>
      </c>
      <c r="K521" s="136">
        <f>IF(J521&gt;0,MIN(99,$B$12*Q521/(J521*12*(1-Inputs!$H$16))),99)</f>
        <v>3.385642391</v>
      </c>
      <c r="L521" s="134">
        <f t="shared" si="9"/>
        <v>1.081458675</v>
      </c>
      <c r="M521" s="134">
        <f t="shared" si="10"/>
        <v>1.035393555</v>
      </c>
      <c r="N521" s="134">
        <f t="shared" si="11"/>
        <v>0.9861032858</v>
      </c>
      <c r="O521" s="134">
        <f t="shared" si="12"/>
        <v>1.095824136</v>
      </c>
      <c r="P521" s="134">
        <f t="shared" si="13"/>
        <v>1.282702321</v>
      </c>
      <c r="Q521" s="134">
        <f t="shared" si="14"/>
        <v>1.176604817</v>
      </c>
    </row>
    <row r="522" ht="15.0" customHeight="1">
      <c r="A522" s="13">
        <v>483.0</v>
      </c>
      <c r="B522" s="134">
        <f t="shared" ref="B522:D522" si="975">RAND()</f>
        <v>0.7758253476</v>
      </c>
      <c r="C522" s="134">
        <f t="shared" si="975"/>
        <v>0.7406117466</v>
      </c>
      <c r="D522" s="134">
        <f t="shared" si="975"/>
        <v>0.7722360704</v>
      </c>
      <c r="F522" s="134">
        <f t="shared" ref="F522:H522" si="976">RAND()</f>
        <v>0.5633340875</v>
      </c>
      <c r="G522" s="134">
        <f t="shared" si="976"/>
        <v>0.6758051627</v>
      </c>
      <c r="H522" s="134">
        <f t="shared" si="976"/>
        <v>0.4214628738</v>
      </c>
      <c r="J522" s="135">
        <f t="shared" si="8"/>
        <v>201093683.2</v>
      </c>
      <c r="K522" s="136">
        <f>IF(J522&gt;0,MIN(99,$B$12*Q522/(J522*12*(1-Inputs!$H$16))),99)</f>
        <v>2.870011094</v>
      </c>
      <c r="L522" s="134">
        <f t="shared" si="9"/>
        <v>1.099432307</v>
      </c>
      <c r="M522" s="134">
        <f t="shared" si="10"/>
        <v>1.043342663</v>
      </c>
      <c r="N522" s="134">
        <f t="shared" si="11"/>
        <v>1.034548278</v>
      </c>
      <c r="O522" s="134">
        <f t="shared" si="12"/>
        <v>1.028575939</v>
      </c>
      <c r="P522" s="134">
        <f t="shared" si="13"/>
        <v>1.321331054</v>
      </c>
      <c r="Q522" s="134">
        <f t="shared" si="14"/>
        <v>1.060841462</v>
      </c>
    </row>
    <row r="523" ht="15.0" customHeight="1">
      <c r="A523" s="13">
        <v>484.0</v>
      </c>
      <c r="B523" s="134">
        <f t="shared" ref="B523:D523" si="977">RAND()</f>
        <v>0.9394852871</v>
      </c>
      <c r="C523" s="134">
        <f t="shared" si="977"/>
        <v>0.0854990154</v>
      </c>
      <c r="D523" s="134">
        <f t="shared" si="977"/>
        <v>0.6546534779</v>
      </c>
      <c r="F523" s="134">
        <f t="shared" ref="F523:H523" si="978">RAND()</f>
        <v>0.3527001238</v>
      </c>
      <c r="G523" s="134">
        <f t="shared" si="978"/>
        <v>0.5668045507</v>
      </c>
      <c r="H523" s="134">
        <f t="shared" si="978"/>
        <v>0.2991833639</v>
      </c>
      <c r="J523" s="135">
        <f t="shared" si="8"/>
        <v>276556189.7</v>
      </c>
      <c r="K523" s="136">
        <f>IF(J523&gt;0,MIN(99,$B$12*Q523/(J523*12*(1-Inputs!$H$16))),99)</f>
        <v>2.007155261</v>
      </c>
      <c r="L523" s="134">
        <f t="shared" si="9"/>
        <v>1.183781729</v>
      </c>
      <c r="M523" s="134">
        <f t="shared" si="10"/>
        <v>1.080647462</v>
      </c>
      <c r="N523" s="134">
        <f t="shared" si="11"/>
        <v>1.021629401</v>
      </c>
      <c r="O523" s="134">
        <f t="shared" si="12"/>
        <v>1.010465125</v>
      </c>
      <c r="P523" s="134">
        <f t="shared" si="13"/>
        <v>1.236894472</v>
      </c>
      <c r="Q523" s="134">
        <f t="shared" si="14"/>
        <v>1.020311619</v>
      </c>
    </row>
    <row r="524" ht="15.0" customHeight="1">
      <c r="A524" s="13">
        <v>485.0</v>
      </c>
      <c r="B524" s="134">
        <f t="shared" ref="B524:D524" si="979">RAND()</f>
        <v>0.229169291</v>
      </c>
      <c r="C524" s="134">
        <f t="shared" si="979"/>
        <v>0.7019968048</v>
      </c>
      <c r="D524" s="134">
        <f t="shared" si="979"/>
        <v>0.3734320441</v>
      </c>
      <c r="F524" s="134">
        <f t="shared" ref="F524:H524" si="980">RAND()</f>
        <v>0.1329322816</v>
      </c>
      <c r="G524" s="134">
        <f t="shared" si="980"/>
        <v>0.6827115794</v>
      </c>
      <c r="H524" s="134">
        <f t="shared" si="980"/>
        <v>0.6794539661</v>
      </c>
      <c r="J524" s="135">
        <f t="shared" si="8"/>
        <v>97303754.48</v>
      </c>
      <c r="K524" s="136">
        <f>IF(J524&gt;0,MIN(99,$B$12*Q524/(J524*12*(1-Inputs!$H$16))),99)</f>
        <v>6.507092753</v>
      </c>
      <c r="L524" s="134">
        <f t="shared" si="9"/>
        <v>0.9355663266</v>
      </c>
      <c r="M524" s="134">
        <f t="shared" si="10"/>
        <v>0.9705366734</v>
      </c>
      <c r="N524" s="134">
        <f t="shared" si="11"/>
        <v>0.9977021624</v>
      </c>
      <c r="O524" s="134">
        <f t="shared" si="12"/>
        <v>0.9937235411</v>
      </c>
      <c r="P524" s="134">
        <f t="shared" si="13"/>
        <v>1.327129275</v>
      </c>
      <c r="Q524" s="134">
        <f t="shared" si="14"/>
        <v>1.163818018</v>
      </c>
    </row>
    <row r="525" ht="15.0" customHeight="1">
      <c r="A525" s="13">
        <v>486.0</v>
      </c>
      <c r="B525" s="134">
        <f t="shared" ref="B525:D525" si="981">RAND()</f>
        <v>0.6160320122</v>
      </c>
      <c r="C525" s="134">
        <f t="shared" si="981"/>
        <v>0.8027764499</v>
      </c>
      <c r="D525" s="134">
        <f t="shared" si="981"/>
        <v>0.6390162882</v>
      </c>
      <c r="F525" s="134">
        <f t="shared" ref="F525:H525" si="982">RAND()</f>
        <v>0.7896457789</v>
      </c>
      <c r="G525" s="134">
        <f t="shared" si="982"/>
        <v>0.5101589867</v>
      </c>
      <c r="H525" s="134">
        <f t="shared" si="982"/>
        <v>0.3121744716</v>
      </c>
      <c r="J525" s="135">
        <f t="shared" si="8"/>
        <v>164524525</v>
      </c>
      <c r="K525" s="136">
        <f>IF(J525&gt;0,MIN(99,$B$12*Q525/(J525*12*(1-Inputs!$H$16))),99)</f>
        <v>3.387562996</v>
      </c>
      <c r="L525" s="134">
        <f t="shared" si="9"/>
        <v>1.045227072</v>
      </c>
      <c r="M525" s="134">
        <f t="shared" si="10"/>
        <v>1.019369584</v>
      </c>
      <c r="N525" s="134">
        <f t="shared" si="11"/>
        <v>1.02008997</v>
      </c>
      <c r="O525" s="134">
        <f t="shared" si="12"/>
        <v>1.054047455</v>
      </c>
      <c r="P525" s="134">
        <f t="shared" si="13"/>
        <v>1.197231106</v>
      </c>
      <c r="Q525" s="134">
        <f t="shared" si="14"/>
        <v>1.024439952</v>
      </c>
    </row>
    <row r="526" ht="15.0" customHeight="1">
      <c r="A526" s="13">
        <v>487.0</v>
      </c>
      <c r="B526" s="134">
        <f t="shared" ref="B526:D526" si="983">RAND()</f>
        <v>0.06657148541</v>
      </c>
      <c r="C526" s="134">
        <f t="shared" si="983"/>
        <v>0.2018546628</v>
      </c>
      <c r="D526" s="134">
        <f t="shared" si="983"/>
        <v>0.5017160681</v>
      </c>
      <c r="F526" s="134">
        <f t="shared" ref="F526:H526" si="984">RAND()</f>
        <v>0.08842315017</v>
      </c>
      <c r="G526" s="134">
        <f t="shared" si="984"/>
        <v>0.3767520439</v>
      </c>
      <c r="H526" s="134">
        <f t="shared" si="984"/>
        <v>0.6967338734</v>
      </c>
      <c r="J526" s="135">
        <f t="shared" si="8"/>
        <v>55827142.29</v>
      </c>
      <c r="K526" s="136">
        <f>IF(J526&gt;0,MIN(99,$B$12*Q526/(J526*12*(1-Inputs!$H$16))),99)</f>
        <v>11.42136577</v>
      </c>
      <c r="L526" s="134">
        <f t="shared" si="9"/>
        <v>0.8615406963</v>
      </c>
      <c r="M526" s="134">
        <f t="shared" si="10"/>
        <v>0.9374184349</v>
      </c>
      <c r="N526" s="134">
        <f t="shared" si="11"/>
        <v>1.007796192</v>
      </c>
      <c r="O526" s="134">
        <f t="shared" si="12"/>
        <v>0.9893274171</v>
      </c>
      <c r="P526" s="134">
        <f t="shared" si="13"/>
        <v>1.112053408</v>
      </c>
      <c r="Q526" s="134">
        <f t="shared" si="14"/>
        <v>1.172011624</v>
      </c>
    </row>
    <row r="527" ht="15.0" customHeight="1">
      <c r="A527" s="13">
        <v>488.0</v>
      </c>
      <c r="B527" s="134">
        <f t="shared" ref="B527:D527" si="985">RAND()</f>
        <v>0.05586975571</v>
      </c>
      <c r="C527" s="134">
        <f t="shared" si="985"/>
        <v>0.3341503826</v>
      </c>
      <c r="D527" s="134">
        <f t="shared" si="985"/>
        <v>0.2485095201</v>
      </c>
      <c r="F527" s="134">
        <f t="shared" ref="F527:H527" si="986">RAND()</f>
        <v>0.2076801128</v>
      </c>
      <c r="G527" s="134">
        <f t="shared" si="986"/>
        <v>0.249609549</v>
      </c>
      <c r="H527" s="134">
        <f t="shared" si="986"/>
        <v>0.6607957416</v>
      </c>
      <c r="J527" s="135">
        <f t="shared" si="8"/>
        <v>56135123.22</v>
      </c>
      <c r="K527" s="136">
        <f>IF(J527&gt;0,MIN(99,$B$12*Q527/(J527*12*(1-Inputs!$H$16))),99)</f>
        <v>11.19591821</v>
      </c>
      <c r="L527" s="134">
        <f t="shared" si="9"/>
        <v>0.8542801836</v>
      </c>
      <c r="M527" s="134">
        <f t="shared" si="10"/>
        <v>0.9341701629</v>
      </c>
      <c r="N527" s="134">
        <f t="shared" si="11"/>
        <v>0.9868748896</v>
      </c>
      <c r="O527" s="134">
        <f t="shared" si="12"/>
        <v>0.9996810988</v>
      </c>
      <c r="P527" s="134">
        <f t="shared" si="13"/>
        <v>1.039032125</v>
      </c>
      <c r="Q527" s="134">
        <f t="shared" si="14"/>
        <v>1.155215157</v>
      </c>
    </row>
    <row r="528" ht="15.0" customHeight="1">
      <c r="A528" s="13">
        <v>489.0</v>
      </c>
      <c r="B528" s="134">
        <f t="shared" ref="B528:D528" si="987">RAND()</f>
        <v>0.1842857617</v>
      </c>
      <c r="C528" s="134">
        <f t="shared" si="987"/>
        <v>0.09121669296</v>
      </c>
      <c r="D528" s="134">
        <f t="shared" si="987"/>
        <v>0.7371012568</v>
      </c>
      <c r="F528" s="134">
        <f t="shared" ref="F528:H528" si="988">RAND()</f>
        <v>0.5666527669</v>
      </c>
      <c r="G528" s="134">
        <f t="shared" si="988"/>
        <v>0.7247663279</v>
      </c>
      <c r="H528" s="134">
        <f t="shared" si="988"/>
        <v>0.5873004622</v>
      </c>
      <c r="J528" s="135">
        <f t="shared" si="8"/>
        <v>72452112.55</v>
      </c>
      <c r="K528" s="136">
        <f>IF(J528&gt;0,MIN(99,$B$12*Q528/(J528*12*(1-Inputs!$H$16))),99)</f>
        <v>8.435862618</v>
      </c>
      <c r="L528" s="134">
        <f t="shared" si="9"/>
        <v>0.918986625</v>
      </c>
      <c r="M528" s="134">
        <f t="shared" si="10"/>
        <v>0.9631191005</v>
      </c>
      <c r="N528" s="134">
        <f t="shared" si="11"/>
        <v>1.030395833</v>
      </c>
      <c r="O528" s="134">
        <f t="shared" si="12"/>
        <v>1.028892926</v>
      </c>
      <c r="P528" s="134">
        <f t="shared" si="13"/>
        <v>1.363888396</v>
      </c>
      <c r="Q528" s="134">
        <f t="shared" si="14"/>
        <v>1.123437801</v>
      </c>
    </row>
    <row r="529" ht="15.0" customHeight="1">
      <c r="A529" s="13">
        <v>490.0</v>
      </c>
      <c r="B529" s="134">
        <f t="shared" ref="B529:D529" si="989">RAND()</f>
        <v>0.9610672526</v>
      </c>
      <c r="C529" s="134">
        <f t="shared" si="989"/>
        <v>0.4493621581</v>
      </c>
      <c r="D529" s="134">
        <f t="shared" si="989"/>
        <v>0.9183564019</v>
      </c>
      <c r="F529" s="134">
        <f t="shared" ref="F529:H529" si="990">RAND()</f>
        <v>0.2746827454</v>
      </c>
      <c r="G529" s="134">
        <f t="shared" si="990"/>
        <v>0.003054505437</v>
      </c>
      <c r="H529" s="134">
        <f t="shared" si="990"/>
        <v>0.6996183578</v>
      </c>
      <c r="J529" s="135">
        <f t="shared" si="8"/>
        <v>298129900.8</v>
      </c>
      <c r="K529" s="136">
        <f>IF(J529&gt;0,MIN(99,$B$12*Q529/(J529*12*(1-Inputs!$H$16))),99)</f>
        <v>2.14127657</v>
      </c>
      <c r="L529" s="134">
        <f t="shared" si="9"/>
        <v>1.201834074</v>
      </c>
      <c r="M529" s="134">
        <f t="shared" si="10"/>
        <v>1.088631383</v>
      </c>
      <c r="N529" s="134">
        <f t="shared" si="11"/>
        <v>1.056955682</v>
      </c>
      <c r="O529" s="134">
        <f t="shared" si="12"/>
        <v>1.004529997</v>
      </c>
      <c r="P529" s="134">
        <f t="shared" si="13"/>
        <v>0.839044853</v>
      </c>
      <c r="Q529" s="134">
        <f t="shared" si="14"/>
        <v>1.173401885</v>
      </c>
    </row>
    <row r="530" ht="15.0" customHeight="1">
      <c r="A530" s="13">
        <v>491.0</v>
      </c>
      <c r="B530" s="134">
        <f t="shared" ref="B530:D530" si="991">RAND()</f>
        <v>0.1389555689</v>
      </c>
      <c r="C530" s="134">
        <f t="shared" si="991"/>
        <v>0.4963293523</v>
      </c>
      <c r="D530" s="134">
        <f t="shared" si="991"/>
        <v>0.03105054289</v>
      </c>
      <c r="F530" s="134">
        <f t="shared" ref="F530:H530" si="992">RAND()</f>
        <v>0.9579585947</v>
      </c>
      <c r="G530" s="134">
        <f t="shared" si="992"/>
        <v>0.4203083426</v>
      </c>
      <c r="H530" s="134">
        <f t="shared" si="992"/>
        <v>0.875120113</v>
      </c>
      <c r="J530" s="135">
        <f t="shared" si="8"/>
        <v>73460401.48</v>
      </c>
      <c r="K530" s="136">
        <f>IF(J530&gt;0,MIN(99,$B$12*Q530/(J530*12*(1-Inputs!$H$16))),99)</f>
        <v>9.453676374</v>
      </c>
      <c r="L530" s="134">
        <f t="shared" si="9"/>
        <v>0.9000300024</v>
      </c>
      <c r="M530" s="134">
        <f t="shared" si="10"/>
        <v>0.9546381197</v>
      </c>
      <c r="N530" s="134">
        <f t="shared" si="11"/>
        <v>0.9558794</v>
      </c>
      <c r="O530" s="134">
        <f t="shared" si="12"/>
        <v>1.086000243</v>
      </c>
      <c r="P530" s="134">
        <f t="shared" si="13"/>
        <v>1.138760624</v>
      </c>
      <c r="Q530" s="134">
        <f t="shared" si="14"/>
        <v>1.27650497</v>
      </c>
    </row>
    <row r="531" ht="15.0" customHeight="1">
      <c r="A531" s="13">
        <v>492.0</v>
      </c>
      <c r="B531" s="134">
        <f t="shared" ref="B531:D531" si="993">RAND()</f>
        <v>0.9977028961</v>
      </c>
      <c r="C531" s="134">
        <f t="shared" si="993"/>
        <v>0.8841641814</v>
      </c>
      <c r="D531" s="134">
        <f t="shared" si="993"/>
        <v>0.5076073846</v>
      </c>
      <c r="F531" s="134">
        <f t="shared" ref="F531:H531" si="994">RAND()</f>
        <v>0.215549927</v>
      </c>
      <c r="G531" s="134">
        <f t="shared" si="994"/>
        <v>0.6760693232</v>
      </c>
      <c r="H531" s="134">
        <f t="shared" si="994"/>
        <v>0.8361591475</v>
      </c>
      <c r="J531" s="135">
        <f t="shared" si="8"/>
        <v>339598195.9</v>
      </c>
      <c r="K531" s="136">
        <f>IF(J531&gt;0,MIN(99,$B$12*Q531/(J531*12*(1-Inputs!$H$16))),99)</f>
        <v>2.001379606</v>
      </c>
      <c r="L531" s="134">
        <f t="shared" si="9"/>
        <v>1.257227781</v>
      </c>
      <c r="M531" s="134">
        <f t="shared" si="10"/>
        <v>1.113130082</v>
      </c>
      <c r="N531" s="134">
        <f t="shared" si="11"/>
        <v>1.008285889</v>
      </c>
      <c r="O531" s="134">
        <f t="shared" si="12"/>
        <v>1.000241603</v>
      </c>
      <c r="P531" s="134">
        <f t="shared" si="13"/>
        <v>1.321551685</v>
      </c>
      <c r="Q531" s="134">
        <f t="shared" si="14"/>
        <v>1.249290178</v>
      </c>
    </row>
    <row r="532" ht="15.0" customHeight="1">
      <c r="A532" s="13">
        <v>493.0</v>
      </c>
      <c r="B532" s="134">
        <f t="shared" ref="B532:D532" si="995">RAND()</f>
        <v>0.2147297074</v>
      </c>
      <c r="C532" s="134">
        <f t="shared" si="995"/>
        <v>0.2846635616</v>
      </c>
      <c r="D532" s="134">
        <f t="shared" si="995"/>
        <v>0.3358793981</v>
      </c>
      <c r="F532" s="134">
        <f t="shared" ref="F532:H532" si="996">RAND()</f>
        <v>0.283045398</v>
      </c>
      <c r="G532" s="134">
        <f t="shared" si="996"/>
        <v>0.1772798837</v>
      </c>
      <c r="H532" s="134">
        <f t="shared" si="996"/>
        <v>0.2246343326</v>
      </c>
      <c r="J532" s="135">
        <f t="shared" si="8"/>
        <v>104884438.6</v>
      </c>
      <c r="K532" s="136">
        <f>IF(J532&gt;0,MIN(99,$B$12*Q532/(J532*12*(1-Inputs!$H$16))),99)</f>
        <v>5.173013037</v>
      </c>
      <c r="L532" s="134">
        <f t="shared" si="9"/>
        <v>0.9304255194</v>
      </c>
      <c r="M532" s="134">
        <f t="shared" si="10"/>
        <v>0.9682367338</v>
      </c>
      <c r="N532" s="134">
        <f t="shared" si="11"/>
        <v>0.9946689457</v>
      </c>
      <c r="O532" s="134">
        <f t="shared" si="12"/>
        <v>1.005150381</v>
      </c>
      <c r="P532" s="134">
        <f t="shared" si="13"/>
        <v>1.000245674</v>
      </c>
      <c r="Q532" s="134">
        <f t="shared" si="14"/>
        <v>0.9972937839</v>
      </c>
    </row>
    <row r="533" ht="15.0" customHeight="1">
      <c r="A533" s="13">
        <v>494.0</v>
      </c>
      <c r="B533" s="134">
        <f t="shared" ref="B533:D533" si="997">RAND()</f>
        <v>0.4777899256</v>
      </c>
      <c r="C533" s="134">
        <f t="shared" si="997"/>
        <v>0.9488342229</v>
      </c>
      <c r="D533" s="134">
        <f t="shared" si="997"/>
        <v>0.2258485746</v>
      </c>
      <c r="F533" s="134">
        <f t="shared" ref="F533:H533" si="998">RAND()</f>
        <v>0.6296107539</v>
      </c>
      <c r="G533" s="134">
        <f t="shared" si="998"/>
        <v>0.7140774381</v>
      </c>
      <c r="H533" s="134">
        <f t="shared" si="998"/>
        <v>0.5240108451</v>
      </c>
      <c r="J533" s="135">
        <f t="shared" si="8"/>
        <v>141946732.6</v>
      </c>
      <c r="K533" s="136">
        <f>IF(J533&gt;0,MIN(99,$B$12*Q533/(J533*12*(1-Inputs!$H$16))),99)</f>
        <v>4.209394774</v>
      </c>
      <c r="L533" s="134">
        <f t="shared" si="9"/>
        <v>1.00703753</v>
      </c>
      <c r="M533" s="134">
        <f t="shared" si="10"/>
        <v>1.002479685</v>
      </c>
      <c r="N533" s="134">
        <f t="shared" si="11"/>
        <v>0.9846367976</v>
      </c>
      <c r="O533" s="134">
        <f t="shared" si="12"/>
        <v>1.035154243</v>
      </c>
      <c r="P533" s="134">
        <f t="shared" si="13"/>
        <v>1.354293533</v>
      </c>
      <c r="Q533" s="134">
        <f t="shared" si="14"/>
        <v>1.098281174</v>
      </c>
    </row>
    <row r="534" ht="15.0" customHeight="1">
      <c r="A534" s="13">
        <v>495.0</v>
      </c>
      <c r="B534" s="134">
        <f t="shared" ref="B534:D534" si="999">RAND()</f>
        <v>0.6821732588</v>
      </c>
      <c r="C534" s="134">
        <f t="shared" si="999"/>
        <v>0.5580664729</v>
      </c>
      <c r="D534" s="134">
        <f t="shared" si="999"/>
        <v>0.9604786618</v>
      </c>
      <c r="F534" s="134">
        <f t="shared" ref="F534:H534" si="1000">RAND()</f>
        <v>0.1599706114</v>
      </c>
      <c r="G534" s="134">
        <f t="shared" si="1000"/>
        <v>0.1928564455</v>
      </c>
      <c r="H534" s="134">
        <f t="shared" si="1000"/>
        <v>0.4359152832</v>
      </c>
      <c r="J534" s="135">
        <f t="shared" si="8"/>
        <v>185808325.2</v>
      </c>
      <c r="K534" s="136">
        <f>IF(J534&gt;0,MIN(99,$B$12*Q534/(J534*12*(1-Inputs!$H$16))),99)</f>
        <v>3.120934624</v>
      </c>
      <c r="L534" s="134">
        <f t="shared" si="9"/>
        <v>1.065951735</v>
      </c>
      <c r="M534" s="134">
        <f t="shared" si="10"/>
        <v>1.028535377</v>
      </c>
      <c r="N534" s="134">
        <f t="shared" si="11"/>
        <v>1.067127111</v>
      </c>
      <c r="O534" s="134">
        <f t="shared" si="12"/>
        <v>0.9960357075</v>
      </c>
      <c r="P534" s="134">
        <f t="shared" si="13"/>
        <v>1.008449743</v>
      </c>
      <c r="Q534" s="134">
        <f t="shared" si="14"/>
        <v>1.065904563</v>
      </c>
    </row>
    <row r="535" ht="15.0" customHeight="1">
      <c r="A535" s="13">
        <v>496.0</v>
      </c>
      <c r="B535" s="134">
        <f t="shared" ref="B535:D535" si="1001">RAND()</f>
        <v>0.7689618304</v>
      </c>
      <c r="C535" s="134">
        <f t="shared" si="1001"/>
        <v>0.06467227791</v>
      </c>
      <c r="D535" s="134">
        <f t="shared" si="1001"/>
        <v>0.7965753356</v>
      </c>
      <c r="F535" s="134">
        <f t="shared" ref="F535:H535" si="1002">RAND()</f>
        <v>0.543881746</v>
      </c>
      <c r="G535" s="134">
        <f t="shared" si="1002"/>
        <v>0.7120544496</v>
      </c>
      <c r="H535" s="134">
        <f t="shared" si="1002"/>
        <v>0.139754425</v>
      </c>
      <c r="J535" s="135">
        <f t="shared" si="8"/>
        <v>197478463.4</v>
      </c>
      <c r="K535" s="136">
        <f>IF(J535&gt;0,MIN(99,$B$12*Q535/(J535*12*(1-Inputs!$H$16))),99)</f>
        <v>2.666862091</v>
      </c>
      <c r="L535" s="134">
        <f t="shared" si="9"/>
        <v>1.096764907</v>
      </c>
      <c r="M535" s="134">
        <f t="shared" si="10"/>
        <v>1.042162966</v>
      </c>
      <c r="N535" s="134">
        <f t="shared" si="11"/>
        <v>1.037616069</v>
      </c>
      <c r="O535" s="134">
        <f t="shared" si="12"/>
        <v>1.026741673</v>
      </c>
      <c r="P535" s="134">
        <f t="shared" si="13"/>
        <v>1.352497905</v>
      </c>
      <c r="Q535" s="134">
        <f t="shared" si="14"/>
        <v>0.9680299153</v>
      </c>
    </row>
    <row r="536" ht="15.0" customHeight="1">
      <c r="A536" s="13">
        <v>497.0</v>
      </c>
      <c r="B536" s="134">
        <f t="shared" ref="B536:D536" si="1003">RAND()</f>
        <v>0.8806190931</v>
      </c>
      <c r="C536" s="134">
        <f t="shared" si="1003"/>
        <v>0.5635662677</v>
      </c>
      <c r="D536" s="134">
        <f t="shared" si="1003"/>
        <v>0.982397569</v>
      </c>
      <c r="F536" s="134">
        <f t="shared" ref="F536:H536" si="1004">RAND()</f>
        <v>0.6239730733</v>
      </c>
      <c r="G536" s="134">
        <f t="shared" si="1004"/>
        <v>0.7807966896</v>
      </c>
      <c r="H536" s="134">
        <f t="shared" si="1004"/>
        <v>0.06208350759</v>
      </c>
      <c r="J536" s="135">
        <f t="shared" si="8"/>
        <v>223114200.9</v>
      </c>
      <c r="K536" s="136">
        <f>IF(J536&gt;0,MIN(99,$B$12*Q536/(J536*12*(1-Inputs!$H$16))),99)</f>
        <v>2.271584087</v>
      </c>
      <c r="L536" s="134">
        <f t="shared" si="9"/>
        <v>1.146879452</v>
      </c>
      <c r="M536" s="134">
        <f t="shared" si="10"/>
        <v>1.064326876</v>
      </c>
      <c r="N536" s="134">
        <f t="shared" si="11"/>
        <v>1.074863948</v>
      </c>
      <c r="O536" s="134">
        <f t="shared" si="12"/>
        <v>1.034572875</v>
      </c>
      <c r="P536" s="134">
        <f t="shared" si="13"/>
        <v>1.417554099</v>
      </c>
      <c r="Q536" s="134">
        <f t="shared" si="14"/>
        <v>0.9315893445</v>
      </c>
    </row>
    <row r="537" ht="15.0" customHeight="1">
      <c r="A537" s="13">
        <v>498.0</v>
      </c>
      <c r="B537" s="134">
        <f t="shared" ref="B537:D537" si="1005">RAND()</f>
        <v>0.2670173518</v>
      </c>
      <c r="C537" s="134">
        <f t="shared" si="1005"/>
        <v>0.4397555891</v>
      </c>
      <c r="D537" s="134">
        <f t="shared" si="1005"/>
        <v>0.9144077388</v>
      </c>
      <c r="F537" s="134">
        <f t="shared" ref="F537:H537" si="1006">RAND()</f>
        <v>0.3874645743</v>
      </c>
      <c r="G537" s="134">
        <f t="shared" si="1006"/>
        <v>0.1899254162</v>
      </c>
      <c r="H537" s="134">
        <f t="shared" si="1006"/>
        <v>0.2818935844</v>
      </c>
      <c r="J537" s="135">
        <f t="shared" si="8"/>
        <v>102882778.9</v>
      </c>
      <c r="K537" s="136">
        <f>IF(J537&gt;0,MIN(99,$B$12*Q537/(J537*12*(1-Inputs!$H$16))),99)</f>
        <v>5.366632779</v>
      </c>
      <c r="L537" s="134">
        <f t="shared" si="9"/>
        <v>0.9483189317</v>
      </c>
      <c r="M537" s="134">
        <f t="shared" si="10"/>
        <v>0.9762420462</v>
      </c>
      <c r="N537" s="134">
        <f t="shared" si="11"/>
        <v>1.056156778</v>
      </c>
      <c r="O537" s="134">
        <f t="shared" si="12"/>
        <v>1.013224799</v>
      </c>
      <c r="P537" s="134">
        <f t="shared" si="13"/>
        <v>1.006899983</v>
      </c>
      <c r="Q537" s="134">
        <f t="shared" si="14"/>
        <v>1.01487615</v>
      </c>
    </row>
    <row r="538" ht="15.0" customHeight="1">
      <c r="A538" s="13">
        <v>499.0</v>
      </c>
      <c r="B538" s="134">
        <f t="shared" ref="B538:D538" si="1007">RAND()</f>
        <v>0.1665587898</v>
      </c>
      <c r="C538" s="134">
        <f t="shared" si="1007"/>
        <v>0.5706088865</v>
      </c>
      <c r="D538" s="134">
        <f t="shared" si="1007"/>
        <v>0.592534734</v>
      </c>
      <c r="F538" s="134">
        <f t="shared" ref="F538:H538" si="1008">RAND()</f>
        <v>0.6376506171</v>
      </c>
      <c r="G538" s="134">
        <f t="shared" si="1008"/>
        <v>0.4201879062</v>
      </c>
      <c r="H538" s="134">
        <f t="shared" si="1008"/>
        <v>0.5603762564</v>
      </c>
      <c r="J538" s="135">
        <f t="shared" si="8"/>
        <v>77990530.15</v>
      </c>
      <c r="K538" s="136">
        <f>IF(J538&gt;0,MIN(99,$B$12*Q538/(J538*12*(1-Inputs!$H$16))),99)</f>
        <v>7.76060751</v>
      </c>
      <c r="L538" s="134">
        <f t="shared" si="9"/>
        <v>0.9118863172</v>
      </c>
      <c r="M538" s="134">
        <f t="shared" si="10"/>
        <v>0.9599425022</v>
      </c>
      <c r="N538" s="134">
        <f t="shared" si="11"/>
        <v>1.015701119</v>
      </c>
      <c r="O538" s="134">
        <f t="shared" si="12"/>
        <v>1.035991037</v>
      </c>
      <c r="P538" s="134">
        <f t="shared" si="13"/>
        <v>1.138685418</v>
      </c>
      <c r="Q538" s="134">
        <f t="shared" si="14"/>
        <v>1.112515508</v>
      </c>
    </row>
    <row r="539" ht="15.0" customHeight="1">
      <c r="A539" s="13">
        <v>500.0</v>
      </c>
      <c r="B539" s="134">
        <f t="shared" ref="B539:D539" si="1009">RAND()</f>
        <v>0.9575619286</v>
      </c>
      <c r="C539" s="134">
        <f t="shared" si="1009"/>
        <v>0.8793799851</v>
      </c>
      <c r="D539" s="134">
        <f t="shared" si="1009"/>
        <v>0.6961206383</v>
      </c>
      <c r="F539" s="134">
        <f t="shared" ref="F539:H539" si="1010">RAND()</f>
        <v>0.33945494</v>
      </c>
      <c r="G539" s="134">
        <f t="shared" si="1010"/>
        <v>0.09877010438</v>
      </c>
      <c r="H539" s="134">
        <f t="shared" si="1010"/>
        <v>0.8425259939</v>
      </c>
      <c r="J539" s="135">
        <f t="shared" si="8"/>
        <v>298400920.2</v>
      </c>
      <c r="K539" s="136">
        <f>IF(J539&gt;0,MIN(99,$B$12*Q539/(J539*12*(1-Inputs!$H$16))),99)</f>
        <v>2.285359229</v>
      </c>
      <c r="L539" s="134">
        <f t="shared" si="9"/>
        <v>1.198611291</v>
      </c>
      <c r="M539" s="134">
        <f t="shared" si="10"/>
        <v>1.087206059</v>
      </c>
      <c r="N539" s="134">
        <f t="shared" si="11"/>
        <v>1.025889376</v>
      </c>
      <c r="O539" s="134">
        <f t="shared" si="12"/>
        <v>1.00943326</v>
      </c>
      <c r="P539" s="134">
        <f t="shared" si="13"/>
        <v>0.9531917676</v>
      </c>
      <c r="Q539" s="134">
        <f t="shared" si="14"/>
        <v>1.253496468</v>
      </c>
    </row>
    <row r="540" ht="15.0" customHeight="1">
      <c r="A540" s="13">
        <v>501.0</v>
      </c>
      <c r="B540" s="134">
        <f t="shared" ref="B540:D540" si="1011">RAND()</f>
        <v>0.1465305848</v>
      </c>
      <c r="C540" s="134">
        <f t="shared" si="1011"/>
        <v>0.03120943626</v>
      </c>
      <c r="D540" s="134">
        <f t="shared" si="1011"/>
        <v>0.2988593507</v>
      </c>
      <c r="F540" s="134">
        <f t="shared" ref="F540:H540" si="1012">RAND()</f>
        <v>0.3522625441</v>
      </c>
      <c r="G540" s="134">
        <f t="shared" si="1012"/>
        <v>0.7516711707</v>
      </c>
      <c r="H540" s="134">
        <f t="shared" si="1012"/>
        <v>0.1295918434</v>
      </c>
      <c r="J540" s="135">
        <f t="shared" si="8"/>
        <v>71936361.07</v>
      </c>
      <c r="K540" s="136">
        <f>IF(J540&gt;0,MIN(99,$B$12*Q540/(J540*12*(1-Inputs!$H$16))),99)</f>
        <v>7.290410679</v>
      </c>
      <c r="L540" s="134">
        <f t="shared" si="9"/>
        <v>0.9033927209</v>
      </c>
      <c r="M540" s="134">
        <f t="shared" si="10"/>
        <v>0.9561425623</v>
      </c>
      <c r="N540" s="134">
        <f t="shared" si="11"/>
        <v>0.9915077351</v>
      </c>
      <c r="O540" s="134">
        <f t="shared" si="12"/>
        <v>1.010430868</v>
      </c>
      <c r="P540" s="134">
        <f t="shared" si="13"/>
        <v>1.388898646</v>
      </c>
      <c r="Q540" s="134">
        <f t="shared" si="14"/>
        <v>0.9639820336</v>
      </c>
    </row>
    <row r="541" ht="15.0" customHeight="1">
      <c r="A541" s="13">
        <v>502.0</v>
      </c>
      <c r="B541" s="134">
        <f t="shared" ref="B541:D541" si="1013">RAND()</f>
        <v>0.2553684975</v>
      </c>
      <c r="C541" s="134">
        <f t="shared" si="1013"/>
        <v>0.6578024938</v>
      </c>
      <c r="D541" s="134">
        <f t="shared" si="1013"/>
        <v>0.5410707449</v>
      </c>
      <c r="F541" s="134">
        <f t="shared" ref="F541:H541" si="1014">RAND()</f>
        <v>0.5183901353</v>
      </c>
      <c r="G541" s="134">
        <f t="shared" si="1014"/>
        <v>0.4542849256</v>
      </c>
      <c r="H541" s="134">
        <f t="shared" si="1014"/>
        <v>0.3650966298</v>
      </c>
      <c r="J541" s="135">
        <f t="shared" si="8"/>
        <v>101816764.2</v>
      </c>
      <c r="K541" s="136">
        <f>IF(J541&gt;0,MIN(99,$B$12*Q541/(J541*12*(1-Inputs!$H$16))),99)</f>
        <v>5.566015287</v>
      </c>
      <c r="L541" s="134">
        <f t="shared" si="9"/>
        <v>0.9444961828</v>
      </c>
      <c r="M541" s="134">
        <f t="shared" si="10"/>
        <v>0.9745317911</v>
      </c>
      <c r="N541" s="134">
        <f t="shared" si="11"/>
        <v>1.0111248</v>
      </c>
      <c r="O541" s="134">
        <f t="shared" si="12"/>
        <v>1.024396166</v>
      </c>
      <c r="P541" s="134">
        <f t="shared" si="13"/>
        <v>1.160298496</v>
      </c>
      <c r="Q541" s="134">
        <f t="shared" si="14"/>
        <v>1.041674821</v>
      </c>
    </row>
    <row r="542" ht="15.0" customHeight="1">
      <c r="A542" s="13">
        <v>503.0</v>
      </c>
      <c r="B542" s="134">
        <f t="shared" ref="B542:D542" si="1015">RAND()</f>
        <v>0.8765757396</v>
      </c>
      <c r="C542" s="134">
        <f t="shared" si="1015"/>
        <v>0.9519924881</v>
      </c>
      <c r="D542" s="134">
        <f t="shared" si="1015"/>
        <v>0.01757867446</v>
      </c>
      <c r="F542" s="134">
        <f t="shared" ref="F542:H542" si="1016">RAND()</f>
        <v>0.9130534979</v>
      </c>
      <c r="G542" s="134">
        <f t="shared" si="1016"/>
        <v>0.5560623482</v>
      </c>
      <c r="H542" s="134">
        <f t="shared" si="1016"/>
        <v>0.8008851297</v>
      </c>
      <c r="J542" s="135">
        <f t="shared" si="8"/>
        <v>252209888.1</v>
      </c>
      <c r="K542" s="136">
        <f>IF(J542&gt;0,MIN(99,$B$12*Q542/(J542*12*(1-Inputs!$H$16))),99)</f>
        <v>2.647487247</v>
      </c>
      <c r="L542" s="134">
        <f t="shared" si="9"/>
        <v>1.14472784</v>
      </c>
      <c r="M542" s="134">
        <f t="shared" si="10"/>
        <v>1.063375293</v>
      </c>
      <c r="N542" s="134">
        <f t="shared" si="11"/>
        <v>0.9516837438</v>
      </c>
      <c r="O542" s="134">
        <f t="shared" si="12"/>
        <v>1.074682513</v>
      </c>
      <c r="P542" s="134">
        <f t="shared" si="13"/>
        <v>1.229181939</v>
      </c>
      <c r="Q542" s="134">
        <f t="shared" si="14"/>
        <v>1.22733881</v>
      </c>
    </row>
    <row r="543" ht="15.0" customHeight="1">
      <c r="A543" s="13">
        <v>504.0</v>
      </c>
      <c r="B543" s="134">
        <f t="shared" ref="B543:D543" si="1017">RAND()</f>
        <v>0.3431359186</v>
      </c>
      <c r="C543" s="134">
        <f t="shared" si="1017"/>
        <v>0.6680349742</v>
      </c>
      <c r="D543" s="134">
        <f t="shared" si="1017"/>
        <v>0.6294434836</v>
      </c>
      <c r="F543" s="134">
        <f t="shared" ref="F543:H543" si="1018">RAND()</f>
        <v>0.5824320226</v>
      </c>
      <c r="G543" s="134">
        <f t="shared" si="1018"/>
        <v>0.6490743312</v>
      </c>
      <c r="H543" s="134">
        <f t="shared" si="1018"/>
        <v>0.1762844954</v>
      </c>
      <c r="J543" s="135">
        <f t="shared" si="8"/>
        <v>112379954.9</v>
      </c>
      <c r="K543" s="136">
        <f>IF(J543&gt;0,MIN(99,$B$12*Q543/(J543*12*(1-Inputs!$H$16))),99)</f>
        <v>4.751440543</v>
      </c>
      <c r="L543" s="134">
        <f t="shared" si="9"/>
        <v>0.9714759294</v>
      </c>
      <c r="M543" s="134">
        <f t="shared" si="10"/>
        <v>0.9866022278</v>
      </c>
      <c r="N543" s="134">
        <f t="shared" si="11"/>
        <v>1.019163976</v>
      </c>
      <c r="O543" s="134">
        <f t="shared" si="12"/>
        <v>1.030416978</v>
      </c>
      <c r="P543" s="134">
        <f t="shared" si="13"/>
        <v>1.299451658</v>
      </c>
      <c r="Q543" s="134">
        <f t="shared" si="14"/>
        <v>0.9814826659</v>
      </c>
    </row>
    <row r="544" ht="15.0" customHeight="1">
      <c r="A544" s="13">
        <v>505.0</v>
      </c>
      <c r="B544" s="134">
        <f t="shared" ref="B544:D544" si="1019">RAND()</f>
        <v>0.3001833998</v>
      </c>
      <c r="C544" s="134">
        <f t="shared" si="1019"/>
        <v>0.6153518058</v>
      </c>
      <c r="D544" s="134">
        <f t="shared" si="1019"/>
        <v>0.2974563869</v>
      </c>
      <c r="F544" s="134">
        <f t="shared" ref="F544:H544" si="1020">RAND()</f>
        <v>0.2184423952</v>
      </c>
      <c r="G544" s="134">
        <f t="shared" si="1020"/>
        <v>0.1575157606</v>
      </c>
      <c r="H544" s="134">
        <f t="shared" si="1020"/>
        <v>0.9370273823</v>
      </c>
      <c r="J544" s="135">
        <f t="shared" si="8"/>
        <v>126071737</v>
      </c>
      <c r="K544" s="136">
        <f>IF(J544&gt;0,MIN(99,$B$12*Q544/(J544*12*(1-Inputs!$H$16))),99)</f>
        <v>5.742645881</v>
      </c>
      <c r="L544" s="134">
        <f t="shared" si="9"/>
        <v>0.9587678766</v>
      </c>
      <c r="M544" s="134">
        <f t="shared" si="10"/>
        <v>0.9809167872</v>
      </c>
      <c r="N544" s="134">
        <f t="shared" si="11"/>
        <v>0.9913841866</v>
      </c>
      <c r="O544" s="134">
        <f t="shared" si="12"/>
        <v>1.000447528</v>
      </c>
      <c r="P544" s="134">
        <f t="shared" si="13"/>
        <v>0.9895964351</v>
      </c>
      <c r="Q544" s="134">
        <f t="shared" si="14"/>
        <v>1.330755453</v>
      </c>
    </row>
    <row r="545" ht="15.0" customHeight="1">
      <c r="A545" s="13">
        <v>506.0</v>
      </c>
      <c r="B545" s="134">
        <f t="shared" ref="B545:D545" si="1021">RAND()</f>
        <v>0.1750832916</v>
      </c>
      <c r="C545" s="134">
        <f t="shared" si="1021"/>
        <v>0.06805900401</v>
      </c>
      <c r="D545" s="134">
        <f t="shared" si="1021"/>
        <v>0.3618495096</v>
      </c>
      <c r="F545" s="134">
        <f t="shared" ref="F545:H545" si="1022">RAND()</f>
        <v>0.4737013739</v>
      </c>
      <c r="G545" s="134">
        <f t="shared" si="1022"/>
        <v>0.2643001022</v>
      </c>
      <c r="H545" s="134">
        <f t="shared" si="1022"/>
        <v>0.1693894873</v>
      </c>
      <c r="J545" s="135">
        <f t="shared" si="8"/>
        <v>90053567.2</v>
      </c>
      <c r="K545" s="136">
        <f>IF(J545&gt;0,MIN(99,$B$12*Q545/(J545*12*(1-Inputs!$H$16))),99)</f>
        <v>5.914790038</v>
      </c>
      <c r="L545" s="134">
        <f t="shared" si="9"/>
        <v>0.915345539</v>
      </c>
      <c r="M545" s="134">
        <f t="shared" si="10"/>
        <v>0.9614901193</v>
      </c>
      <c r="N545" s="134">
        <f t="shared" si="11"/>
        <v>0.9967835775</v>
      </c>
      <c r="O545" s="134">
        <f t="shared" si="12"/>
        <v>1.020429438</v>
      </c>
      <c r="P545" s="134">
        <f t="shared" si="13"/>
        <v>1.047135188</v>
      </c>
      <c r="Q545" s="134">
        <f t="shared" si="14"/>
        <v>0.9790587087</v>
      </c>
    </row>
    <row r="546" ht="15.0" customHeight="1">
      <c r="A546" s="13">
        <v>507.0</v>
      </c>
      <c r="B546" s="134">
        <f t="shared" ref="B546:D546" si="1023">RAND()</f>
        <v>0.3168249841</v>
      </c>
      <c r="C546" s="134">
        <f t="shared" si="1023"/>
        <v>0.107580765</v>
      </c>
      <c r="D546" s="134">
        <f t="shared" si="1023"/>
        <v>0.08467306568</v>
      </c>
      <c r="F546" s="134">
        <f t="shared" ref="F546:H546" si="1024">RAND()</f>
        <v>0.6862954022</v>
      </c>
      <c r="G546" s="134">
        <f t="shared" si="1024"/>
        <v>0.4590664102</v>
      </c>
      <c r="H546" s="134">
        <f t="shared" si="1024"/>
        <v>0.8238732977</v>
      </c>
      <c r="J546" s="135">
        <f t="shared" si="8"/>
        <v>121246257.3</v>
      </c>
      <c r="K546" s="136">
        <f>IF(J546&gt;0,MIN(99,$B$12*Q546/(J546*12*(1-Inputs!$H$16))),99)</f>
        <v>5.570245666</v>
      </c>
      <c r="L546" s="134">
        <f t="shared" si="9"/>
        <v>0.9637930367</v>
      </c>
      <c r="M546" s="134">
        <f t="shared" si="10"/>
        <v>0.9831649876</v>
      </c>
      <c r="N546" s="134">
        <f t="shared" si="11"/>
        <v>0.9669173981</v>
      </c>
      <c r="O546" s="134">
        <f t="shared" si="12"/>
        <v>1.04126534</v>
      </c>
      <c r="P546" s="134">
        <f t="shared" si="13"/>
        <v>1.163382732</v>
      </c>
      <c r="Q546" s="134">
        <f t="shared" si="14"/>
        <v>1.241398374</v>
      </c>
    </row>
    <row r="547" ht="15.0" customHeight="1">
      <c r="A547" s="13">
        <v>508.0</v>
      </c>
      <c r="B547" s="134">
        <f t="shared" ref="B547:D547" si="1025">RAND()</f>
        <v>0.5959469134</v>
      </c>
      <c r="C547" s="134">
        <f t="shared" si="1025"/>
        <v>0.0981051201</v>
      </c>
      <c r="D547" s="134">
        <f t="shared" si="1025"/>
        <v>0.9368404695</v>
      </c>
      <c r="F547" s="134">
        <f t="shared" ref="F547:H547" si="1026">RAND()</f>
        <v>0.635611749</v>
      </c>
      <c r="G547" s="134">
        <f t="shared" si="1026"/>
        <v>0.7646665833</v>
      </c>
      <c r="H547" s="134">
        <f t="shared" si="1026"/>
        <v>0.9136795157</v>
      </c>
      <c r="J547" s="135">
        <f t="shared" si="8"/>
        <v>146389891.5</v>
      </c>
      <c r="K547" s="136">
        <f>IF(J547&gt;0,MIN(99,$B$12*Q547/(J547*12*(1-Inputs!$H$16))),99)</f>
        <v>4.861242335</v>
      </c>
      <c r="L547" s="134">
        <f t="shared" si="9"/>
        <v>1.03929404</v>
      </c>
      <c r="M547" s="134">
        <f t="shared" si="10"/>
        <v>1.016745611</v>
      </c>
      <c r="N547" s="134">
        <f t="shared" si="11"/>
        <v>1.060982643</v>
      </c>
      <c r="O547" s="134">
        <f t="shared" si="12"/>
        <v>1.035777959</v>
      </c>
      <c r="P547" s="134">
        <f t="shared" si="13"/>
        <v>1.401464342</v>
      </c>
      <c r="Q547" s="134">
        <f t="shared" si="14"/>
        <v>1.308057519</v>
      </c>
    </row>
    <row r="548" ht="15.0" customHeight="1">
      <c r="A548" s="13">
        <v>509.0</v>
      </c>
      <c r="B548" s="134">
        <f t="shared" ref="B548:D548" si="1027">RAND()</f>
        <v>0.7434231076</v>
      </c>
      <c r="C548" s="134">
        <f t="shared" si="1027"/>
        <v>0.07703900427</v>
      </c>
      <c r="D548" s="134">
        <f t="shared" si="1027"/>
        <v>0.3864287242</v>
      </c>
      <c r="F548" s="134">
        <f t="shared" ref="F548:H548" si="1028">RAND()</f>
        <v>0.9075325134</v>
      </c>
      <c r="G548" s="134">
        <f t="shared" si="1028"/>
        <v>0.4122635253</v>
      </c>
      <c r="H548" s="134">
        <f t="shared" si="1028"/>
        <v>0.2891246259</v>
      </c>
      <c r="J548" s="135">
        <f t="shared" si="8"/>
        <v>199809172.9</v>
      </c>
      <c r="K548" s="136">
        <f>IF(J548&gt;0,MIN(99,$B$12*Q548/(J548*12*(1-Inputs!$H$16))),99)</f>
        <v>2.769474748</v>
      </c>
      <c r="L548" s="134">
        <f t="shared" si="9"/>
        <v>1.087172093</v>
      </c>
      <c r="M548" s="134">
        <f t="shared" si="10"/>
        <v>1.037920399</v>
      </c>
      <c r="N548" s="134">
        <f t="shared" si="11"/>
        <v>0.998716098</v>
      </c>
      <c r="O548" s="134">
        <f t="shared" si="12"/>
        <v>1.073521124</v>
      </c>
      <c r="P548" s="134">
        <f t="shared" si="13"/>
        <v>1.133754149</v>
      </c>
      <c r="Q548" s="134">
        <f t="shared" si="14"/>
        <v>1.017141357</v>
      </c>
    </row>
    <row r="549" ht="15.0" customHeight="1">
      <c r="A549" s="13">
        <v>510.0</v>
      </c>
      <c r="B549" s="134">
        <f t="shared" ref="B549:D549" si="1029">RAND()</f>
        <v>0.2237364349</v>
      </c>
      <c r="C549" s="134">
        <f t="shared" si="1029"/>
        <v>0.03835126897</v>
      </c>
      <c r="D549" s="134">
        <f t="shared" si="1029"/>
        <v>0.170174748</v>
      </c>
      <c r="F549" s="134">
        <f t="shared" ref="F549:H549" si="1030">RAND()</f>
        <v>0.06748550164</v>
      </c>
      <c r="G549" s="134">
        <f t="shared" si="1030"/>
        <v>0.1399535101</v>
      </c>
      <c r="H549" s="134">
        <f t="shared" si="1030"/>
        <v>0.6028144857</v>
      </c>
      <c r="J549" s="135">
        <f t="shared" si="8"/>
        <v>114120495.6</v>
      </c>
      <c r="K549" s="136">
        <f>IF(J549&gt;0,MIN(99,$B$12*Q549/(J549*12*(1-Inputs!$H$16))),99)</f>
        <v>5.386484661</v>
      </c>
      <c r="L549" s="134">
        <f t="shared" si="9"/>
        <v>0.9336516591</v>
      </c>
      <c r="M549" s="134">
        <f t="shared" si="10"/>
        <v>0.9696800726</v>
      </c>
      <c r="N549" s="134">
        <f t="shared" si="11"/>
        <v>0.97860564</v>
      </c>
      <c r="O549" s="134">
        <f t="shared" si="12"/>
        <v>0.9868703584</v>
      </c>
      <c r="P549" s="134">
        <f t="shared" si="13"/>
        <v>0.9795576303</v>
      </c>
      <c r="Q549" s="134">
        <f t="shared" si="14"/>
        <v>1.129893624</v>
      </c>
    </row>
    <row r="550" ht="15.0" customHeight="1">
      <c r="A550" s="13">
        <v>511.0</v>
      </c>
      <c r="B550" s="134">
        <f t="shared" ref="B550:D550" si="1031">RAND()</f>
        <v>0.5367549279</v>
      </c>
      <c r="C550" s="134">
        <f t="shared" si="1031"/>
        <v>0.5530786121</v>
      </c>
      <c r="D550" s="134">
        <f t="shared" si="1031"/>
        <v>0.04177251558</v>
      </c>
      <c r="F550" s="134">
        <f t="shared" ref="F550:H550" si="1032">RAND()</f>
        <v>0.5008532348</v>
      </c>
      <c r="G550" s="134">
        <f t="shared" si="1032"/>
        <v>0.8800208498</v>
      </c>
      <c r="H550" s="134">
        <f t="shared" si="1032"/>
        <v>0.3053952154</v>
      </c>
      <c r="J550" s="135">
        <f t="shared" si="8"/>
        <v>154204035.7</v>
      </c>
      <c r="K550" s="136">
        <f>IF(J550&gt;0,MIN(99,$B$12*Q550/(J550*12*(1-Inputs!$H$16))),99)</f>
        <v>3.606666519</v>
      </c>
      <c r="L550" s="134">
        <f t="shared" si="9"/>
        <v>1.022618944</v>
      </c>
      <c r="M550" s="134">
        <f t="shared" si="10"/>
        <v>1.009370799</v>
      </c>
      <c r="N550" s="134">
        <f t="shared" si="11"/>
        <v>0.9585886918</v>
      </c>
      <c r="O550" s="134">
        <f t="shared" si="12"/>
        <v>1.022818455</v>
      </c>
      <c r="P550" s="134">
        <f t="shared" si="13"/>
        <v>1.533386891</v>
      </c>
      <c r="Q550" s="134">
        <f t="shared" si="14"/>
        <v>1.022280812</v>
      </c>
    </row>
    <row r="551" ht="15.0" customHeight="1">
      <c r="A551" s="13">
        <v>512.0</v>
      </c>
      <c r="B551" s="134">
        <f t="shared" ref="B551:D551" si="1033">RAND()</f>
        <v>0.3169662158</v>
      </c>
      <c r="C551" s="134">
        <f t="shared" si="1033"/>
        <v>0.6839612048</v>
      </c>
      <c r="D551" s="134">
        <f t="shared" si="1033"/>
        <v>0.6680597514</v>
      </c>
      <c r="F551" s="134">
        <f t="shared" ref="F551:H551" si="1034">RAND()</f>
        <v>0.955586435</v>
      </c>
      <c r="G551" s="134">
        <f t="shared" si="1034"/>
        <v>0.06323964352</v>
      </c>
      <c r="H551" s="134">
        <f t="shared" si="1034"/>
        <v>0.7601011712</v>
      </c>
      <c r="J551" s="135">
        <f t="shared" si="8"/>
        <v>111287045.2</v>
      </c>
      <c r="K551" s="136">
        <f>IF(J551&gt;0,MIN(99,$B$12*Q551/(J551*12*(1-Inputs!$H$16))),99)</f>
        <v>5.887197277</v>
      </c>
      <c r="L551" s="134">
        <f t="shared" si="9"/>
        <v>0.9638351113</v>
      </c>
      <c r="M551" s="134">
        <f t="shared" si="10"/>
        <v>0.9831838113</v>
      </c>
      <c r="N551" s="134">
        <f t="shared" si="11"/>
        <v>1.02297719</v>
      </c>
      <c r="O551" s="134">
        <f t="shared" si="12"/>
        <v>1.08528141</v>
      </c>
      <c r="P551" s="134">
        <f t="shared" si="13"/>
        <v>0.9255145052</v>
      </c>
      <c r="Q551" s="134">
        <f t="shared" si="14"/>
        <v>1.204263939</v>
      </c>
    </row>
    <row r="552" ht="15.0" customHeight="1">
      <c r="A552" s="13">
        <v>513.0</v>
      </c>
      <c r="B552" s="134">
        <f t="shared" ref="B552:D552" si="1035">RAND()</f>
        <v>0.9868352635</v>
      </c>
      <c r="C552" s="134">
        <f t="shared" si="1035"/>
        <v>0.8200304763</v>
      </c>
      <c r="D552" s="134">
        <f t="shared" si="1035"/>
        <v>0.1838807028</v>
      </c>
      <c r="F552" s="134">
        <f t="shared" ref="F552:H552" si="1036">RAND()</f>
        <v>0.4608865638</v>
      </c>
      <c r="G552" s="134">
        <f t="shared" si="1036"/>
        <v>0.8237372196</v>
      </c>
      <c r="H552" s="134">
        <f t="shared" si="1036"/>
        <v>0.8905428626</v>
      </c>
      <c r="J552" s="135">
        <f t="shared" si="8"/>
        <v>317543286.4</v>
      </c>
      <c r="K552" s="136">
        <f>IF(J552&gt;0,MIN(99,$B$12*Q552/(J552*12*(1-Inputs!$H$16))),99)</f>
        <v>2.207463098</v>
      </c>
      <c r="L552" s="134">
        <f t="shared" si="9"/>
        <v>1.232454127</v>
      </c>
      <c r="M552" s="134">
        <f t="shared" si="10"/>
        <v>1.102173562</v>
      </c>
      <c r="N552" s="134">
        <f t="shared" si="11"/>
        <v>0.9801723337</v>
      </c>
      <c r="O552" s="134">
        <f t="shared" si="12"/>
        <v>1.019323326</v>
      </c>
      <c r="P552" s="134">
        <f t="shared" si="13"/>
        <v>1.463535694</v>
      </c>
      <c r="Q552" s="134">
        <f t="shared" si="14"/>
        <v>1.288441986</v>
      </c>
    </row>
    <row r="553" ht="15.0" customHeight="1">
      <c r="A553" s="13">
        <v>514.0</v>
      </c>
      <c r="B553" s="134">
        <f t="shared" ref="B553:D553" si="1037">RAND()</f>
        <v>0.396551908</v>
      </c>
      <c r="C553" s="134">
        <f t="shared" si="1037"/>
        <v>0.6498430913</v>
      </c>
      <c r="D553" s="134">
        <f t="shared" si="1037"/>
        <v>0.8036680923</v>
      </c>
      <c r="F553" s="134">
        <f t="shared" ref="F553:H553" si="1038">RAND()</f>
        <v>0.3740094767</v>
      </c>
      <c r="G553" s="134">
        <f t="shared" si="1038"/>
        <v>0.3231278426</v>
      </c>
      <c r="H553" s="134">
        <f t="shared" si="1038"/>
        <v>0.2539863545</v>
      </c>
      <c r="J553" s="135">
        <f t="shared" si="8"/>
        <v>129850640.8</v>
      </c>
      <c r="K553" s="136">
        <f>IF(J553&gt;0,MIN(99,$B$12*Q553/(J553*12*(1-Inputs!$H$16))),99)</f>
        <v>4.215883456</v>
      </c>
      <c r="L553" s="134">
        <f t="shared" si="9"/>
        <v>0.9862157419</v>
      </c>
      <c r="M553" s="134">
        <f t="shared" si="10"/>
        <v>0.9931966549</v>
      </c>
      <c r="N553" s="134">
        <f t="shared" si="11"/>
        <v>1.038544209</v>
      </c>
      <c r="O553" s="134">
        <f t="shared" si="12"/>
        <v>1.012147643</v>
      </c>
      <c r="P553" s="134">
        <f t="shared" si="13"/>
        <v>1.080424087</v>
      </c>
      <c r="Q553" s="134">
        <f t="shared" si="14"/>
        <v>1.006239068</v>
      </c>
    </row>
    <row r="554" ht="15.0" customHeight="1">
      <c r="A554" s="13">
        <v>515.0</v>
      </c>
      <c r="B554" s="134">
        <f t="shared" ref="B554:D554" si="1039">RAND()</f>
        <v>0.9363601306</v>
      </c>
      <c r="C554" s="134">
        <f t="shared" si="1039"/>
        <v>0.339152268</v>
      </c>
      <c r="D554" s="134">
        <f t="shared" si="1039"/>
        <v>0.2707932774</v>
      </c>
      <c r="F554" s="134">
        <f t="shared" ref="F554:H554" si="1040">RAND()</f>
        <v>0.5196747786</v>
      </c>
      <c r="G554" s="134">
        <f t="shared" si="1040"/>
        <v>0.5487842274</v>
      </c>
      <c r="H554" s="134">
        <f t="shared" si="1040"/>
        <v>0.6373417457</v>
      </c>
      <c r="J554" s="135">
        <f t="shared" si="8"/>
        <v>281120211.9</v>
      </c>
      <c r="K554" s="136">
        <f>IF(J554&gt;0,MIN(99,$B$12*Q554/(J554*12*(1-Inputs!$H$16))),99)</f>
        <v>2.215351041</v>
      </c>
      <c r="L554" s="134">
        <f t="shared" si="9"/>
        <v>1.181455989</v>
      </c>
      <c r="M554" s="134">
        <f t="shared" si="10"/>
        <v>1.079618869</v>
      </c>
      <c r="N554" s="134">
        <f t="shared" si="11"/>
        <v>0.9889782184</v>
      </c>
      <c r="O554" s="134">
        <f t="shared" si="12"/>
        <v>1.02451286</v>
      </c>
      <c r="P554" s="134">
        <f t="shared" si="13"/>
        <v>1.224009415</v>
      </c>
      <c r="Q554" s="134">
        <f t="shared" si="14"/>
        <v>1.14473011</v>
      </c>
    </row>
    <row r="555" ht="15.0" customHeight="1">
      <c r="A555" s="13">
        <v>516.0</v>
      </c>
      <c r="B555" s="134">
        <f t="shared" ref="B555:D555" si="1041">RAND()</f>
        <v>0.912310185</v>
      </c>
      <c r="C555" s="134">
        <f t="shared" si="1041"/>
        <v>0.08652471038</v>
      </c>
      <c r="D555" s="134">
        <f t="shared" si="1041"/>
        <v>0.2301334899</v>
      </c>
      <c r="F555" s="134">
        <f t="shared" ref="F555:H555" si="1042">RAND()</f>
        <v>0.1132951061</v>
      </c>
      <c r="G555" s="134">
        <f t="shared" si="1042"/>
        <v>0.3978522715</v>
      </c>
      <c r="H555" s="134">
        <f t="shared" si="1042"/>
        <v>0.09953304441</v>
      </c>
      <c r="J555" s="135">
        <f t="shared" si="8"/>
        <v>278121606.5</v>
      </c>
      <c r="K555" s="136">
        <f>IF(J555&gt;0,MIN(99,$B$12*Q555/(J555*12*(1-Inputs!$H$16))),99)</f>
        <v>1.860226795</v>
      </c>
      <c r="L555" s="134">
        <f t="shared" si="9"/>
        <v>1.165194037</v>
      </c>
      <c r="M555" s="134">
        <f t="shared" si="10"/>
        <v>1.072426776</v>
      </c>
      <c r="N555" s="134">
        <f t="shared" si="11"/>
        <v>0.9850683189</v>
      </c>
      <c r="O555" s="134">
        <f t="shared" si="12"/>
        <v>0.9918925175</v>
      </c>
      <c r="P555" s="134">
        <f t="shared" si="13"/>
        <v>1.124870616</v>
      </c>
      <c r="Q555" s="134">
        <f t="shared" si="14"/>
        <v>0.9509750137</v>
      </c>
    </row>
    <row r="556" ht="15.0" customHeight="1">
      <c r="A556" s="13">
        <v>517.0</v>
      </c>
      <c r="B556" s="134">
        <f t="shared" ref="B556:D556" si="1043">RAND()</f>
        <v>0.2115440624</v>
      </c>
      <c r="C556" s="134">
        <f t="shared" si="1043"/>
        <v>0.6397875013</v>
      </c>
      <c r="D556" s="134">
        <f t="shared" si="1043"/>
        <v>0.1786894599</v>
      </c>
      <c r="F556" s="134">
        <f t="shared" ref="F556:H556" si="1044">RAND()</f>
        <v>0.2378148113</v>
      </c>
      <c r="G556" s="134">
        <f t="shared" si="1044"/>
        <v>0.4088432226</v>
      </c>
      <c r="H556" s="134">
        <f t="shared" si="1044"/>
        <v>0.2315500122</v>
      </c>
      <c r="J556" s="135">
        <f t="shared" si="8"/>
        <v>102711345.1</v>
      </c>
      <c r="K556" s="136">
        <f>IF(J556&gt;0,MIN(99,$B$12*Q556/(J556*12*(1-Inputs!$H$16))),99)</f>
        <v>5.293669615</v>
      </c>
      <c r="L556" s="134">
        <f t="shared" si="9"/>
        <v>0.9292682956</v>
      </c>
      <c r="M556" s="134">
        <f t="shared" si="10"/>
        <v>0.9677190048</v>
      </c>
      <c r="N556" s="134">
        <f t="shared" si="11"/>
        <v>0.9795860396</v>
      </c>
      <c r="O556" s="134">
        <f t="shared" si="12"/>
        <v>1.001836657</v>
      </c>
      <c r="P556" s="134">
        <f t="shared" si="13"/>
        <v>1.131636002</v>
      </c>
      <c r="Q556" s="134">
        <f t="shared" si="14"/>
        <v>0.9994100928</v>
      </c>
    </row>
    <row r="557" ht="15.0" customHeight="1">
      <c r="A557" s="13">
        <v>518.0</v>
      </c>
      <c r="B557" s="134">
        <f t="shared" ref="B557:D557" si="1045">RAND()</f>
        <v>0.3678135923</v>
      </c>
      <c r="C557" s="134">
        <f t="shared" si="1045"/>
        <v>0.4374037571</v>
      </c>
      <c r="D557" s="134">
        <f t="shared" si="1045"/>
        <v>0.1527690126</v>
      </c>
      <c r="F557" s="134">
        <f t="shared" ref="F557:H557" si="1046">RAND()</f>
        <v>0.1404704439</v>
      </c>
      <c r="G557" s="134">
        <f t="shared" si="1046"/>
        <v>0.9569062412</v>
      </c>
      <c r="H557" s="134">
        <f t="shared" si="1046"/>
        <v>0.4269319537</v>
      </c>
      <c r="J557" s="135">
        <f t="shared" si="8"/>
        <v>118366441.7</v>
      </c>
      <c r="K557" s="136">
        <f>IF(J557&gt;0,MIN(99,$B$12*Q557/(J557*12*(1-Inputs!$H$16))),99)</f>
        <v>4.884656263</v>
      </c>
      <c r="L557" s="134">
        <f t="shared" si="9"/>
        <v>0.9784183599</v>
      </c>
      <c r="M557" s="134">
        <f t="shared" si="10"/>
        <v>0.9897081934</v>
      </c>
      <c r="N557" s="134">
        <f t="shared" si="11"/>
        <v>0.9765220327</v>
      </c>
      <c r="O557" s="134">
        <f t="shared" si="12"/>
        <v>0.9943901058</v>
      </c>
      <c r="P557" s="134">
        <f t="shared" si="13"/>
        <v>1.665364605</v>
      </c>
      <c r="Q557" s="134">
        <f t="shared" si="14"/>
        <v>1.06274992</v>
      </c>
    </row>
    <row r="558" ht="15.0" customHeight="1">
      <c r="A558" s="13">
        <v>519.0</v>
      </c>
      <c r="B558" s="134">
        <f t="shared" ref="B558:D558" si="1047">RAND()</f>
        <v>0.4130064407</v>
      </c>
      <c r="C558" s="134">
        <f t="shared" si="1047"/>
        <v>0.3194339666</v>
      </c>
      <c r="D558" s="134">
        <f t="shared" si="1047"/>
        <v>0.4659820225</v>
      </c>
      <c r="F558" s="134">
        <f t="shared" ref="F558:H558" si="1048">RAND()</f>
        <v>0.6921587285</v>
      </c>
      <c r="G558" s="134">
        <f t="shared" si="1048"/>
        <v>0.1971537827</v>
      </c>
      <c r="H558" s="134">
        <f t="shared" si="1048"/>
        <v>0.962633877</v>
      </c>
      <c r="J558" s="135">
        <f t="shared" si="8"/>
        <v>137712505.5</v>
      </c>
      <c r="K558" s="136">
        <f>IF(J558&gt;0,MIN(99,$B$12*Q558/(J558*12*(1-Inputs!$H$16))),99)</f>
        <v>5.377814799</v>
      </c>
      <c r="L558" s="134">
        <f t="shared" si="9"/>
        <v>0.9905532987</v>
      </c>
      <c r="M558" s="134">
        <f t="shared" si="10"/>
        <v>0.9951372292</v>
      </c>
      <c r="N558" s="134">
        <f t="shared" si="11"/>
        <v>1.004885993</v>
      </c>
      <c r="O558" s="134">
        <f t="shared" si="12"/>
        <v>1.041927938</v>
      </c>
      <c r="P558" s="134">
        <f t="shared" si="13"/>
        <v>1.010727024</v>
      </c>
      <c r="Q558" s="134">
        <f t="shared" si="14"/>
        <v>1.36128075</v>
      </c>
    </row>
    <row r="559" ht="15.0" customHeight="1">
      <c r="A559" s="13">
        <v>520.0</v>
      </c>
      <c r="B559" s="134">
        <f t="shared" ref="B559:D559" si="1049">RAND()</f>
        <v>0.5696449405</v>
      </c>
      <c r="C559" s="134">
        <f t="shared" si="1049"/>
        <v>0.03325513932</v>
      </c>
      <c r="D559" s="134">
        <f t="shared" si="1049"/>
        <v>0.4278274308</v>
      </c>
      <c r="F559" s="134">
        <f t="shared" ref="F559:H559" si="1050">RAND()</f>
        <v>0.4833779048</v>
      </c>
      <c r="G559" s="134">
        <f t="shared" si="1050"/>
        <v>0.5751931727</v>
      </c>
      <c r="H559" s="134">
        <f t="shared" si="1050"/>
        <v>0.4732934019</v>
      </c>
      <c r="J559" s="135">
        <f t="shared" si="8"/>
        <v>162511132.5</v>
      </c>
      <c r="K559" s="136">
        <f>IF(J559&gt;0,MIN(99,$B$12*Q559/(J559*12*(1-Inputs!$H$16))),99)</f>
        <v>3.613216303</v>
      </c>
      <c r="L559" s="134">
        <f t="shared" si="9"/>
        <v>1.031743303</v>
      </c>
      <c r="M559" s="134">
        <f t="shared" si="10"/>
        <v>1.013406184</v>
      </c>
      <c r="N559" s="134">
        <f t="shared" si="11"/>
        <v>1.001884237</v>
      </c>
      <c r="O559" s="134">
        <f t="shared" si="12"/>
        <v>1.021273621</v>
      </c>
      <c r="P559" s="134">
        <f t="shared" si="13"/>
        <v>1.242983949</v>
      </c>
      <c r="Q559" s="134">
        <f t="shared" si="14"/>
        <v>1.079308405</v>
      </c>
    </row>
    <row r="560" ht="15.0" customHeight="1">
      <c r="A560" s="13">
        <v>521.0</v>
      </c>
      <c r="B560" s="134">
        <f t="shared" ref="B560:D560" si="1051">RAND()</f>
        <v>0.5752291849</v>
      </c>
      <c r="C560" s="134">
        <f t="shared" si="1051"/>
        <v>0.6769451097</v>
      </c>
      <c r="D560" s="134">
        <f t="shared" si="1051"/>
        <v>0.7163197469</v>
      </c>
      <c r="F560" s="134">
        <f t="shared" ref="F560:H560" si="1052">RAND()</f>
        <v>0.232692196</v>
      </c>
      <c r="G560" s="134">
        <f t="shared" si="1052"/>
        <v>0.2549852964</v>
      </c>
      <c r="H560" s="134">
        <f t="shared" si="1052"/>
        <v>0.6208174782</v>
      </c>
      <c r="J560" s="135">
        <f t="shared" si="8"/>
        <v>168738018.9</v>
      </c>
      <c r="K560" s="136">
        <f>IF(J560&gt;0,MIN(99,$B$12*Q560/(J560*12*(1-Inputs!$H$16))),99)</f>
        <v>3.667644973</v>
      </c>
      <c r="L560" s="134">
        <f t="shared" si="9"/>
        <v>1.033326693</v>
      </c>
      <c r="M560" s="134">
        <f t="shared" si="10"/>
        <v>1.014106462</v>
      </c>
      <c r="N560" s="134">
        <f t="shared" si="11"/>
        <v>1.028069842</v>
      </c>
      <c r="O560" s="134">
        <f t="shared" si="12"/>
        <v>1.001467632</v>
      </c>
      <c r="P560" s="134">
        <f t="shared" si="13"/>
        <v>1.041988017</v>
      </c>
      <c r="Q560" s="134">
        <f t="shared" si="14"/>
        <v>1.137545343</v>
      </c>
    </row>
    <row r="561" ht="15.0" customHeight="1">
      <c r="A561" s="13">
        <v>522.0</v>
      </c>
      <c r="B561" s="134">
        <f t="shared" ref="B561:D561" si="1053">RAND()</f>
        <v>0.7129064105</v>
      </c>
      <c r="C561" s="134">
        <f t="shared" si="1053"/>
        <v>0.07979845326</v>
      </c>
      <c r="D561" s="134">
        <f t="shared" si="1053"/>
        <v>0.04478239685</v>
      </c>
      <c r="F561" s="134">
        <f t="shared" ref="F561:H561" si="1054">RAND()</f>
        <v>0.5671707798</v>
      </c>
      <c r="G561" s="134">
        <f t="shared" si="1054"/>
        <v>0.9407082482</v>
      </c>
      <c r="H561" s="134">
        <f t="shared" si="1054"/>
        <v>0.2265824414</v>
      </c>
      <c r="J561" s="135">
        <f t="shared" si="8"/>
        <v>189386811.2</v>
      </c>
      <c r="K561" s="136">
        <f>IF(J561&gt;0,MIN(99,$B$12*Q561/(J561*12*(1-Inputs!$H$16))),99)</f>
        <v>2.866591755</v>
      </c>
      <c r="L561" s="134">
        <f t="shared" si="9"/>
        <v>1.076315908</v>
      </c>
      <c r="M561" s="134">
        <f t="shared" si="10"/>
        <v>1.033119088</v>
      </c>
      <c r="N561" s="134">
        <f t="shared" si="11"/>
        <v>0.959284514</v>
      </c>
      <c r="O561" s="134">
        <f t="shared" si="12"/>
        <v>1.028942514</v>
      </c>
      <c r="P561" s="134">
        <f t="shared" si="13"/>
        <v>1.631218435</v>
      </c>
      <c r="Q561" s="134">
        <f t="shared" si="14"/>
        <v>0.9978931932</v>
      </c>
    </row>
    <row r="562" ht="15.0" customHeight="1">
      <c r="A562" s="13">
        <v>523.0</v>
      </c>
      <c r="B562" s="134">
        <f t="shared" ref="B562:D562" si="1055">RAND()</f>
        <v>0.2886220257</v>
      </c>
      <c r="C562" s="134">
        <f t="shared" si="1055"/>
        <v>0.6952915007</v>
      </c>
      <c r="D562" s="134">
        <f t="shared" si="1055"/>
        <v>0.8081047201</v>
      </c>
      <c r="F562" s="134">
        <f t="shared" ref="F562:H562" si="1056">RAND()</f>
        <v>0.1086660776</v>
      </c>
      <c r="G562" s="134">
        <f t="shared" si="1056"/>
        <v>0.6836654086</v>
      </c>
      <c r="H562" s="134">
        <f t="shared" si="1056"/>
        <v>0.1993394601</v>
      </c>
      <c r="J562" s="135">
        <f t="shared" si="8"/>
        <v>102515959.9</v>
      </c>
      <c r="K562" s="136">
        <f>IF(J562&gt;0,MIN(99,$B$12*Q562/(J562*12*(1-Inputs!$H$16))),99)</f>
        <v>5.249899462</v>
      </c>
      <c r="L562" s="134">
        <f t="shared" si="9"/>
        <v>0.9551942782</v>
      </c>
      <c r="M562" s="134">
        <f t="shared" si="10"/>
        <v>0.9793179992</v>
      </c>
      <c r="N562" s="134">
        <f t="shared" si="11"/>
        <v>1.039133318</v>
      </c>
      <c r="O562" s="134">
        <f t="shared" si="12"/>
        <v>0.9914382498</v>
      </c>
      <c r="P562" s="134">
        <f t="shared" si="13"/>
        <v>1.327934994</v>
      </c>
      <c r="Q562" s="134">
        <f t="shared" si="14"/>
        <v>0.9892611422</v>
      </c>
    </row>
    <row r="563" ht="15.0" customHeight="1">
      <c r="A563" s="13">
        <v>524.0</v>
      </c>
      <c r="B563" s="134">
        <f t="shared" ref="B563:D563" si="1057">RAND()</f>
        <v>0.9098314857</v>
      </c>
      <c r="C563" s="134">
        <f t="shared" si="1057"/>
        <v>0.8165149049</v>
      </c>
      <c r="D563" s="134">
        <f t="shared" si="1057"/>
        <v>0.3645117737</v>
      </c>
      <c r="F563" s="134">
        <f t="shared" ref="F563:H563" si="1058">RAND()</f>
        <v>0.7049015368</v>
      </c>
      <c r="G563" s="134">
        <f t="shared" si="1058"/>
        <v>0.6350721397</v>
      </c>
      <c r="H563" s="134">
        <f t="shared" si="1058"/>
        <v>0.5387654168</v>
      </c>
      <c r="J563" s="135">
        <f t="shared" si="8"/>
        <v>259123743.8</v>
      </c>
      <c r="K563" s="136">
        <f>IF(J563&gt;0,MIN(99,$B$12*Q563/(J563*12*(1-Inputs!$H$16))),99)</f>
        <v>2.317868975</v>
      </c>
      <c r="L563" s="134">
        <f t="shared" si="9"/>
        <v>1.163652927</v>
      </c>
      <c r="M563" s="134">
        <f t="shared" si="10"/>
        <v>1.071745197</v>
      </c>
      <c r="N563" s="134">
        <f t="shared" si="11"/>
        <v>0.996996002</v>
      </c>
      <c r="O563" s="134">
        <f t="shared" si="12"/>
        <v>1.043390082</v>
      </c>
      <c r="P563" s="134">
        <f t="shared" si="13"/>
        <v>1.288323249</v>
      </c>
      <c r="Q563" s="134">
        <f t="shared" si="14"/>
        <v>1.103988561</v>
      </c>
    </row>
    <row r="564" ht="15.0" customHeight="1">
      <c r="A564" s="13">
        <v>525.0</v>
      </c>
      <c r="B564" s="134">
        <f t="shared" ref="B564:D564" si="1059">RAND()</f>
        <v>0.03411936548</v>
      </c>
      <c r="C564" s="134">
        <f t="shared" si="1059"/>
        <v>0.7474176576</v>
      </c>
      <c r="D564" s="134">
        <f t="shared" si="1059"/>
        <v>0.007085376858</v>
      </c>
      <c r="F564" s="134">
        <f t="shared" ref="F564:H564" si="1060">RAND()</f>
        <v>0.09548209238</v>
      </c>
      <c r="G564" s="134">
        <f t="shared" si="1060"/>
        <v>0.5510196169</v>
      </c>
      <c r="H564" s="134">
        <f t="shared" si="1060"/>
        <v>0.3890377912</v>
      </c>
      <c r="J564" s="135">
        <f t="shared" si="8"/>
        <v>47008899.93</v>
      </c>
      <c r="K564" s="136">
        <f>IF(J564&gt;0,MIN(99,$B$12*Q564/(J564*12*(1-Inputs!$H$16))),99)</f>
        <v>12.14841558</v>
      </c>
      <c r="L564" s="134">
        <f t="shared" si="9"/>
        <v>0.8369550532</v>
      </c>
      <c r="M564" s="134">
        <f t="shared" si="10"/>
        <v>0.9264190934</v>
      </c>
      <c r="N564" s="134">
        <f t="shared" si="11"/>
        <v>0.9470281149</v>
      </c>
      <c r="O564" s="134">
        <f t="shared" si="12"/>
        <v>0.9900885484</v>
      </c>
      <c r="P564" s="134">
        <f t="shared" si="13"/>
        <v>1.225593627</v>
      </c>
      <c r="Q564" s="134">
        <f t="shared" si="14"/>
        <v>1.049707281</v>
      </c>
    </row>
    <row r="565" ht="15.0" customHeight="1">
      <c r="A565" s="13">
        <v>526.0</v>
      </c>
      <c r="B565" s="134">
        <f t="shared" ref="B565:D565" si="1061">RAND()</f>
        <v>0.2088115243</v>
      </c>
      <c r="C565" s="134">
        <f t="shared" si="1061"/>
        <v>0.8185400991</v>
      </c>
      <c r="D565" s="134">
        <f t="shared" si="1061"/>
        <v>0.9482013321</v>
      </c>
      <c r="F565" s="134">
        <f t="shared" ref="F565:H565" si="1062">RAND()</f>
        <v>0.6909888735</v>
      </c>
      <c r="G565" s="134">
        <f t="shared" si="1062"/>
        <v>0.1131473202</v>
      </c>
      <c r="H565" s="134">
        <f t="shared" si="1062"/>
        <v>0.8878195394</v>
      </c>
      <c r="J565" s="135">
        <f t="shared" si="8"/>
        <v>84925240.21</v>
      </c>
      <c r="K565" s="136">
        <f>IF(J565&gt;0,MIN(99,$B$12*Q565/(J565*12*(1-Inputs!$H$16))),99)</f>
        <v>8.240030494</v>
      </c>
      <c r="L565" s="134">
        <f t="shared" si="9"/>
        <v>0.9282687068</v>
      </c>
      <c r="M565" s="134">
        <f t="shared" si="10"/>
        <v>0.9672718</v>
      </c>
      <c r="N565" s="134">
        <f t="shared" si="11"/>
        <v>1.063758214</v>
      </c>
      <c r="O565" s="134">
        <f t="shared" si="12"/>
        <v>1.041795235</v>
      </c>
      <c r="P565" s="134">
        <f t="shared" si="13"/>
        <v>0.9629298891</v>
      </c>
      <c r="Q565" s="134">
        <f t="shared" si="14"/>
        <v>1.286275756</v>
      </c>
    </row>
    <row r="566" ht="15.0" customHeight="1">
      <c r="A566" s="13">
        <v>527.0</v>
      </c>
      <c r="B566" s="134">
        <f t="shared" ref="B566:D566" si="1063">RAND()</f>
        <v>0.316845415</v>
      </c>
      <c r="C566" s="134">
        <f t="shared" si="1063"/>
        <v>0.4435943876</v>
      </c>
      <c r="D566" s="134">
        <f t="shared" si="1063"/>
        <v>0.1723279262</v>
      </c>
      <c r="F566" s="134">
        <f t="shared" ref="F566:H566" si="1064">RAND()</f>
        <v>0.1370762841</v>
      </c>
      <c r="G566" s="134">
        <f t="shared" si="1064"/>
        <v>0.4964463315</v>
      </c>
      <c r="H566" s="134">
        <f t="shared" si="1064"/>
        <v>0.1365072998</v>
      </c>
      <c r="J566" s="135">
        <f t="shared" si="8"/>
        <v>125718863.2</v>
      </c>
      <c r="K566" s="136">
        <f>IF(J566&gt;0,MIN(99,$B$12*Q566/(J566*12*(1-Inputs!$H$16))),99)</f>
        <v>4.183565956</v>
      </c>
      <c r="L566" s="134">
        <f t="shared" si="9"/>
        <v>0.9637991239</v>
      </c>
      <c r="M566" s="134">
        <f t="shared" si="10"/>
        <v>0.9831677109</v>
      </c>
      <c r="N566" s="134">
        <f t="shared" si="11"/>
        <v>0.9788558353</v>
      </c>
      <c r="O566" s="134">
        <f t="shared" si="12"/>
        <v>0.9940922478</v>
      </c>
      <c r="P566" s="134">
        <f t="shared" si="13"/>
        <v>1.187979879</v>
      </c>
      <c r="Q566" s="134">
        <f t="shared" si="14"/>
        <v>0.9667530411</v>
      </c>
    </row>
    <row r="567" ht="15.0" customHeight="1">
      <c r="A567" s="13">
        <v>528.0</v>
      </c>
      <c r="B567" s="134">
        <f t="shared" ref="B567:D567" si="1065">RAND()</f>
        <v>0.7239983844</v>
      </c>
      <c r="C567" s="134">
        <f t="shared" si="1065"/>
        <v>0.9777643775</v>
      </c>
      <c r="D567" s="134">
        <f t="shared" si="1065"/>
        <v>0.1331712419</v>
      </c>
      <c r="F567" s="134">
        <f t="shared" ref="F567:H567" si="1066">RAND()</f>
        <v>0.2904390099</v>
      </c>
      <c r="G567" s="134">
        <f t="shared" si="1066"/>
        <v>0.6403869662</v>
      </c>
      <c r="H567" s="134">
        <f t="shared" si="1066"/>
        <v>0.1546314418</v>
      </c>
      <c r="J567" s="135">
        <f t="shared" si="8"/>
        <v>205587089.5</v>
      </c>
      <c r="K567" s="136">
        <f>IF(J567&gt;0,MIN(99,$B$12*Q567/(J567*12*(1-Inputs!$H$16))),99)</f>
        <v>2.576678999</v>
      </c>
      <c r="L567" s="134">
        <f t="shared" si="9"/>
        <v>1.080191832</v>
      </c>
      <c r="M567" s="134">
        <f t="shared" si="10"/>
        <v>1.034833274</v>
      </c>
      <c r="N567" s="134">
        <f t="shared" si="11"/>
        <v>0.9740282791</v>
      </c>
      <c r="O567" s="134">
        <f t="shared" si="12"/>
        <v>1.005701896</v>
      </c>
      <c r="P567" s="134">
        <f t="shared" si="13"/>
        <v>1.292521699</v>
      </c>
      <c r="Q567" s="134">
        <f t="shared" si="14"/>
        <v>0.9736988057</v>
      </c>
    </row>
    <row r="568" ht="15.0" customHeight="1">
      <c r="A568" s="13">
        <v>529.0</v>
      </c>
      <c r="B568" s="134">
        <f t="shared" ref="B568:D568" si="1067">RAND()</f>
        <v>0.8286985003</v>
      </c>
      <c r="C568" s="134">
        <f t="shared" si="1067"/>
        <v>0.9097642435</v>
      </c>
      <c r="D568" s="134">
        <f t="shared" si="1067"/>
        <v>0.8553742497</v>
      </c>
      <c r="F568" s="134">
        <f t="shared" ref="F568:H568" si="1068">RAND()</f>
        <v>0.5170835198</v>
      </c>
      <c r="G568" s="134">
        <f t="shared" si="1068"/>
        <v>0.03704946523</v>
      </c>
      <c r="H568" s="134">
        <f t="shared" si="1068"/>
        <v>0.2255544571</v>
      </c>
      <c r="J568" s="135">
        <f t="shared" si="8"/>
        <v>231894711.8</v>
      </c>
      <c r="K568" s="136">
        <f>IF(J568&gt;0,MIN(99,$B$12*Q568/(J568*12*(1-Inputs!$H$16))),99)</f>
        <v>2.340384407</v>
      </c>
      <c r="L568" s="134">
        <f t="shared" si="9"/>
        <v>1.121527018</v>
      </c>
      <c r="M568" s="134">
        <f t="shared" si="10"/>
        <v>1.053114381</v>
      </c>
      <c r="N568" s="134">
        <f t="shared" si="11"/>
        <v>1.045891551</v>
      </c>
      <c r="O568" s="134">
        <f t="shared" si="12"/>
        <v>1.024277636</v>
      </c>
      <c r="P568" s="134">
        <f t="shared" si="13"/>
        <v>0.8995161622</v>
      </c>
      <c r="Q568" s="134">
        <f t="shared" si="14"/>
        <v>0.9975772175</v>
      </c>
    </row>
    <row r="569" ht="15.0" customHeight="1">
      <c r="A569" s="13">
        <v>530.0</v>
      </c>
      <c r="B569" s="134">
        <f t="shared" ref="B569:D569" si="1069">RAND()</f>
        <v>0.9284181022</v>
      </c>
      <c r="C569" s="134">
        <f t="shared" si="1069"/>
        <v>0.1742809983</v>
      </c>
      <c r="D569" s="134">
        <f t="shared" si="1069"/>
        <v>0.0446991883</v>
      </c>
      <c r="F569" s="134">
        <f t="shared" ref="F569:H569" si="1070">RAND()</f>
        <v>0.02305428623</v>
      </c>
      <c r="G569" s="134">
        <f t="shared" si="1070"/>
        <v>0.6420351382</v>
      </c>
      <c r="H569" s="134">
        <f t="shared" si="1070"/>
        <v>0.5810165838</v>
      </c>
      <c r="J569" s="135">
        <f t="shared" si="8"/>
        <v>288856716.3</v>
      </c>
      <c r="K569" s="136">
        <f>IF(J569&gt;0,MIN(99,$B$12*Q569/(J569*12*(1-Inputs!$H$16))),99)</f>
        <v>2.111054521</v>
      </c>
      <c r="L569" s="134">
        <f t="shared" si="9"/>
        <v>1.17579057</v>
      </c>
      <c r="M569" s="134">
        <f t="shared" si="10"/>
        <v>1.077113252</v>
      </c>
      <c r="N569" s="134">
        <f t="shared" si="11"/>
        <v>0.9592655979</v>
      </c>
      <c r="O569" s="134">
        <f t="shared" si="12"/>
        <v>0.9798129083</v>
      </c>
      <c r="P569" s="134">
        <f t="shared" si="13"/>
        <v>1.293829966</v>
      </c>
      <c r="Q569" s="134">
        <f t="shared" si="14"/>
        <v>1.120857497</v>
      </c>
    </row>
    <row r="570" ht="15.0" customHeight="1">
      <c r="A570" s="13">
        <v>531.0</v>
      </c>
      <c r="B570" s="134">
        <f t="shared" ref="B570:D570" si="1071">RAND()</f>
        <v>0.2113232061</v>
      </c>
      <c r="C570" s="134">
        <f t="shared" si="1071"/>
        <v>0.687809693</v>
      </c>
      <c r="D570" s="134">
        <f t="shared" si="1071"/>
        <v>0.1742662687</v>
      </c>
      <c r="F570" s="134">
        <f t="shared" ref="F570:H570" si="1072">RAND()</f>
        <v>0.01500191202</v>
      </c>
      <c r="G570" s="134">
        <f t="shared" si="1072"/>
        <v>0.301875705</v>
      </c>
      <c r="H570" s="134">
        <f t="shared" si="1072"/>
        <v>0.3886141639</v>
      </c>
      <c r="J570" s="135">
        <f t="shared" si="8"/>
        <v>109149210.5</v>
      </c>
      <c r="K570" s="136">
        <f>IF(J570&gt;0,MIN(99,$B$12*Q570/(J570*12*(1-Inputs!$H$16))),99)</f>
        <v>5.231422092</v>
      </c>
      <c r="L570" s="134">
        <f t="shared" si="9"/>
        <v>0.9291877449</v>
      </c>
      <c r="M570" s="134">
        <f t="shared" si="10"/>
        <v>0.9676829673</v>
      </c>
      <c r="N570" s="134">
        <f t="shared" si="11"/>
        <v>0.9790797335</v>
      </c>
      <c r="O570" s="134">
        <f t="shared" si="12"/>
        <v>0.9778937069</v>
      </c>
      <c r="P570" s="134">
        <f t="shared" si="13"/>
        <v>1.06823719</v>
      </c>
      <c r="Q570" s="134">
        <f t="shared" si="14"/>
        <v>1.049563797</v>
      </c>
    </row>
    <row r="571" ht="15.0" customHeight="1">
      <c r="A571" s="13">
        <v>532.0</v>
      </c>
      <c r="B571" s="134">
        <f t="shared" ref="B571:D571" si="1073">RAND()</f>
        <v>0.5743922114</v>
      </c>
      <c r="C571" s="134">
        <f t="shared" si="1073"/>
        <v>0.9657036197</v>
      </c>
      <c r="D571" s="134">
        <f t="shared" si="1073"/>
        <v>0.2204362694</v>
      </c>
      <c r="F571" s="134">
        <f t="shared" ref="F571:H571" si="1074">RAND()</f>
        <v>0.5661518347</v>
      </c>
      <c r="G571" s="134">
        <f t="shared" si="1074"/>
        <v>0.5449801371</v>
      </c>
      <c r="H571" s="134">
        <f t="shared" si="1074"/>
        <v>0.6697900143</v>
      </c>
      <c r="J571" s="135">
        <f t="shared" si="8"/>
        <v>167000669.4</v>
      </c>
      <c r="K571" s="136">
        <f>IF(J571&gt;0,MIN(99,$B$12*Q571/(J571*12*(1-Inputs!$H$16))),99)</f>
        <v>3.776774629</v>
      </c>
      <c r="L571" s="134">
        <f t="shared" si="9"/>
        <v>1.033088713</v>
      </c>
      <c r="M571" s="134">
        <f t="shared" si="10"/>
        <v>1.014001212</v>
      </c>
      <c r="N571" s="134">
        <f t="shared" si="11"/>
        <v>0.9840858463</v>
      </c>
      <c r="O571" s="134">
        <f t="shared" si="12"/>
        <v>1.028845001</v>
      </c>
      <c r="P571" s="134">
        <f t="shared" si="13"/>
        <v>1.221322465</v>
      </c>
      <c r="Q571" s="134">
        <f t="shared" si="14"/>
        <v>1.159331839</v>
      </c>
    </row>
    <row r="572" ht="15.0" customHeight="1">
      <c r="A572" s="13">
        <v>533.0</v>
      </c>
      <c r="B572" s="134">
        <f t="shared" ref="B572:D572" si="1075">RAND()</f>
        <v>0.9380864271</v>
      </c>
      <c r="C572" s="134">
        <f t="shared" si="1075"/>
        <v>0.6001668274</v>
      </c>
      <c r="D572" s="134">
        <f t="shared" si="1075"/>
        <v>0.5905801326</v>
      </c>
      <c r="F572" s="134">
        <f t="shared" ref="F572:H572" si="1076">RAND()</f>
        <v>0.7356355916</v>
      </c>
      <c r="G572" s="134">
        <f t="shared" si="1076"/>
        <v>0.02958376075</v>
      </c>
      <c r="H572" s="134">
        <f t="shared" si="1076"/>
        <v>0.3299186164</v>
      </c>
      <c r="J572" s="135">
        <f t="shared" si="8"/>
        <v>284241686.4</v>
      </c>
      <c r="K572" s="136">
        <f>IF(J572&gt;0,MIN(99,$B$12*Q572/(J572*12*(1-Inputs!$H$16))),99)</f>
        <v>1.971700461</v>
      </c>
      <c r="L572" s="134">
        <f t="shared" si="9"/>
        <v>1.18273345</v>
      </c>
      <c r="M572" s="134">
        <f t="shared" si="10"/>
        <v>1.080183845</v>
      </c>
      <c r="N572" s="134">
        <f t="shared" si="11"/>
        <v>1.0155222</v>
      </c>
      <c r="O572" s="134">
        <f t="shared" si="12"/>
        <v>1.047052232</v>
      </c>
      <c r="P572" s="134">
        <f t="shared" si="13"/>
        <v>0.8904891607</v>
      </c>
      <c r="Q572" s="134">
        <f t="shared" si="14"/>
        <v>1.030142228</v>
      </c>
    </row>
    <row r="573" ht="15.0" customHeight="1">
      <c r="A573" s="13">
        <v>534.0</v>
      </c>
      <c r="B573" s="134">
        <f t="shared" ref="B573:D573" si="1077">RAND()</f>
        <v>0.8528032071</v>
      </c>
      <c r="C573" s="134">
        <f t="shared" si="1077"/>
        <v>0.3509112877</v>
      </c>
      <c r="D573" s="134">
        <f t="shared" si="1077"/>
        <v>0.8499733253</v>
      </c>
      <c r="F573" s="134">
        <f t="shared" ref="F573:H573" si="1078">RAND()</f>
        <v>0.537826321</v>
      </c>
      <c r="G573" s="134">
        <f t="shared" si="1078"/>
        <v>0.7597463336</v>
      </c>
      <c r="H573" s="134">
        <f t="shared" si="1078"/>
        <v>0.998304128</v>
      </c>
      <c r="J573" s="135">
        <f t="shared" si="8"/>
        <v>221642967.9</v>
      </c>
      <c r="K573" s="136">
        <f>IF(J573&gt;0,MIN(99,$B$12*Q573/(J573*12*(1-Inputs!$H$16))),99)</f>
        <v>3.539119729</v>
      </c>
      <c r="L573" s="134">
        <f t="shared" si="9"/>
        <v>1.132734196</v>
      </c>
      <c r="M573" s="134">
        <f t="shared" si="10"/>
        <v>1.058070924</v>
      </c>
      <c r="N573" s="134">
        <f t="shared" si="11"/>
        <v>1.045068342</v>
      </c>
      <c r="O573" s="134">
        <f t="shared" si="12"/>
        <v>1.026178691</v>
      </c>
      <c r="P573" s="134">
        <f t="shared" si="13"/>
        <v>1.396666938</v>
      </c>
      <c r="Q573" s="134">
        <f t="shared" si="14"/>
        <v>1.441842071</v>
      </c>
    </row>
    <row r="574" ht="15.0" customHeight="1">
      <c r="A574" s="13">
        <v>535.0</v>
      </c>
      <c r="B574" s="134">
        <f t="shared" ref="B574:D574" si="1079">RAND()</f>
        <v>0.559201639</v>
      </c>
      <c r="C574" s="134">
        <f t="shared" si="1079"/>
        <v>0.8081127274</v>
      </c>
      <c r="D574" s="134">
        <f t="shared" si="1079"/>
        <v>0.9065215373</v>
      </c>
      <c r="F574" s="134">
        <f t="shared" ref="F574:H574" si="1080">RAND()</f>
        <v>0.9316286557</v>
      </c>
      <c r="G574" s="134">
        <f t="shared" si="1080"/>
        <v>0.8796596539</v>
      </c>
      <c r="H574" s="134">
        <f t="shared" si="1080"/>
        <v>0.9808722791</v>
      </c>
      <c r="J574" s="135">
        <f t="shared" si="8"/>
        <v>128140060.9</v>
      </c>
      <c r="K574" s="136">
        <f>IF(J574&gt;0,MIN(99,$B$12*Q574/(J574*12*(1-Inputs!$H$16))),99)</f>
        <v>5.903217992</v>
      </c>
      <c r="L574" s="134">
        <f t="shared" si="9"/>
        <v>1.028809475</v>
      </c>
      <c r="M574" s="134">
        <f t="shared" si="10"/>
        <v>1.012108655</v>
      </c>
      <c r="N574" s="134">
        <f t="shared" si="11"/>
        <v>1.054614581</v>
      </c>
      <c r="O574" s="134">
        <f t="shared" si="12"/>
        <v>1.078889201</v>
      </c>
      <c r="P574" s="134">
        <f t="shared" si="13"/>
        <v>1.532891467</v>
      </c>
      <c r="Q574" s="134">
        <f t="shared" si="14"/>
        <v>1.390407905</v>
      </c>
    </row>
    <row r="575" ht="15.0" customHeight="1">
      <c r="A575" s="13">
        <v>536.0</v>
      </c>
      <c r="B575" s="134">
        <f t="shared" ref="B575:D575" si="1081">RAND()</f>
        <v>0.9367712155</v>
      </c>
      <c r="C575" s="134">
        <f t="shared" si="1081"/>
        <v>0.2683910347</v>
      </c>
      <c r="D575" s="134">
        <f t="shared" si="1081"/>
        <v>0.07093190312</v>
      </c>
      <c r="F575" s="134">
        <f t="shared" ref="F575:H575" si="1082">RAND()</f>
        <v>0.4624360607</v>
      </c>
      <c r="G575" s="134">
        <f t="shared" si="1082"/>
        <v>0.8562120894</v>
      </c>
      <c r="H575" s="134">
        <f t="shared" si="1082"/>
        <v>0.4550488511</v>
      </c>
      <c r="J575" s="135">
        <f t="shared" si="8"/>
        <v>277915986.6</v>
      </c>
      <c r="K575" s="136">
        <f>IF(J575&gt;0,MIN(99,$B$12*Q575/(J575*12*(1-Inputs!$H$16))),99)</f>
        <v>2.099905245</v>
      </c>
      <c r="L575" s="134">
        <f t="shared" si="9"/>
        <v>1.181758604</v>
      </c>
      <c r="M575" s="134">
        <f t="shared" si="10"/>
        <v>1.079752705</v>
      </c>
      <c r="N575" s="134">
        <f t="shared" si="11"/>
        <v>0.9645462134</v>
      </c>
      <c r="O575" s="134">
        <f t="shared" si="12"/>
        <v>1.019456367</v>
      </c>
      <c r="P575" s="134">
        <f t="shared" si="13"/>
        <v>1.502183735</v>
      </c>
      <c r="Q575" s="134">
        <f t="shared" si="14"/>
        <v>1.072708468</v>
      </c>
    </row>
    <row r="576" ht="15.0" customHeight="1">
      <c r="A576" s="13">
        <v>537.0</v>
      </c>
      <c r="B576" s="134">
        <f t="shared" ref="B576:D576" si="1083">RAND()</f>
        <v>0.7465331622</v>
      </c>
      <c r="C576" s="134">
        <f t="shared" si="1083"/>
        <v>0.9163502648</v>
      </c>
      <c r="D576" s="134">
        <f t="shared" si="1083"/>
        <v>0.2439613086</v>
      </c>
      <c r="F576" s="134">
        <f t="shared" ref="F576:H576" si="1084">RAND()</f>
        <v>0.7958900607</v>
      </c>
      <c r="G576" s="134">
        <f t="shared" si="1084"/>
        <v>0.3670611844</v>
      </c>
      <c r="H576" s="134">
        <f t="shared" si="1084"/>
        <v>0.5612647256</v>
      </c>
      <c r="J576" s="135">
        <f t="shared" si="8"/>
        <v>207697770.3</v>
      </c>
      <c r="K576" s="136">
        <f>IF(J576&gt;0,MIN(99,$B$12*Q576/(J576*12*(1-Inputs!$H$16))),99)</f>
        <v>2.915038646</v>
      </c>
      <c r="L576" s="134">
        <f t="shared" si="9"/>
        <v>1.088313926</v>
      </c>
      <c r="M576" s="134">
        <f t="shared" si="10"/>
        <v>1.038425392</v>
      </c>
      <c r="N576" s="134">
        <f t="shared" si="11"/>
        <v>0.9864341479</v>
      </c>
      <c r="O576" s="134">
        <f t="shared" si="12"/>
        <v>1.054911605</v>
      </c>
      <c r="P576" s="134">
        <f t="shared" si="13"/>
        <v>1.106239518</v>
      </c>
      <c r="Q576" s="134">
        <f t="shared" si="14"/>
        <v>1.112870505</v>
      </c>
    </row>
    <row r="577" ht="15.0" customHeight="1">
      <c r="A577" s="13">
        <v>538.0</v>
      </c>
      <c r="B577" s="134">
        <f t="shared" ref="B577:D577" si="1085">RAND()</f>
        <v>0.7656705662</v>
      </c>
      <c r="C577" s="134">
        <f t="shared" si="1085"/>
        <v>0.570070809</v>
      </c>
      <c r="D577" s="134">
        <f t="shared" si="1085"/>
        <v>0.2296631198</v>
      </c>
      <c r="F577" s="134">
        <f t="shared" ref="F577:H577" si="1086">RAND()</f>
        <v>0.5883134349</v>
      </c>
      <c r="G577" s="134">
        <f t="shared" si="1086"/>
        <v>0.2721975531</v>
      </c>
      <c r="H577" s="134">
        <f t="shared" si="1086"/>
        <v>0.1273288982</v>
      </c>
      <c r="J577" s="135">
        <f t="shared" si="8"/>
        <v>219581069.4</v>
      </c>
      <c r="K577" s="136">
        <f>IF(J577&gt;0,MIN(99,$B$12*Q577/(J577*12*(1-Inputs!$H$16))),99)</f>
        <v>2.386105535</v>
      </c>
      <c r="L577" s="134">
        <f t="shared" si="9"/>
        <v>1.095499869</v>
      </c>
      <c r="M577" s="134">
        <f t="shared" si="10"/>
        <v>1.041603483</v>
      </c>
      <c r="N577" s="134">
        <f t="shared" si="11"/>
        <v>0.9850211467</v>
      </c>
      <c r="O577" s="134">
        <f t="shared" si="12"/>
        <v>1.030992389</v>
      </c>
      <c r="P577" s="134">
        <f t="shared" si="13"/>
        <v>1.05152474</v>
      </c>
      <c r="Q577" s="134">
        <f t="shared" si="14"/>
        <v>0.963059291</v>
      </c>
    </row>
    <row r="578" ht="15.0" customHeight="1">
      <c r="A578" s="13">
        <v>539.0</v>
      </c>
      <c r="B578" s="134">
        <f t="shared" ref="B578:D578" si="1087">RAND()</f>
        <v>0.6879575437</v>
      </c>
      <c r="C578" s="134">
        <f t="shared" si="1087"/>
        <v>0.1027984228</v>
      </c>
      <c r="D578" s="134">
        <f t="shared" si="1087"/>
        <v>0.5471405465</v>
      </c>
      <c r="F578" s="134">
        <f t="shared" ref="F578:H578" si="1088">RAND()</f>
        <v>0.2747475546</v>
      </c>
      <c r="G578" s="134">
        <f t="shared" si="1088"/>
        <v>0.7390291674</v>
      </c>
      <c r="H578" s="134">
        <f t="shared" si="1088"/>
        <v>0.6042457661</v>
      </c>
      <c r="J578" s="135">
        <f t="shared" si="8"/>
        <v>184616775.2</v>
      </c>
      <c r="K578" s="136">
        <f>IF(J578&gt;0,MIN(99,$B$12*Q578/(J578*12*(1-Inputs!$H$16))),99)</f>
        <v>3.33141859</v>
      </c>
      <c r="L578" s="134">
        <f t="shared" si="9"/>
        <v>1.067862756</v>
      </c>
      <c r="M578" s="134">
        <f t="shared" si="10"/>
        <v>1.029380555</v>
      </c>
      <c r="N578" s="134">
        <f t="shared" si="11"/>
        <v>1.011650707</v>
      </c>
      <c r="O578" s="134">
        <f t="shared" si="12"/>
        <v>1.004534791</v>
      </c>
      <c r="P578" s="134">
        <f t="shared" si="13"/>
        <v>1.376986473</v>
      </c>
      <c r="Q578" s="134">
        <f t="shared" si="14"/>
        <v>1.130495523</v>
      </c>
    </row>
    <row r="579" ht="15.0" customHeight="1">
      <c r="A579" s="13">
        <v>540.0</v>
      </c>
      <c r="B579" s="134">
        <f t="shared" ref="B579:D579" si="1089">RAND()</f>
        <v>0.9927709446</v>
      </c>
      <c r="C579" s="134">
        <f t="shared" si="1089"/>
        <v>0.7625338246</v>
      </c>
      <c r="D579" s="134">
        <f t="shared" si="1089"/>
        <v>0.3149039555</v>
      </c>
      <c r="F579" s="134">
        <f t="shared" ref="F579:H579" si="1090">RAND()</f>
        <v>0.5428582666</v>
      </c>
      <c r="G579" s="134">
        <f t="shared" si="1090"/>
        <v>0.4897429266</v>
      </c>
      <c r="H579" s="134">
        <f t="shared" si="1090"/>
        <v>0.2098510217</v>
      </c>
      <c r="J579" s="135">
        <f t="shared" si="8"/>
        <v>332840135.1</v>
      </c>
      <c r="K579" s="136">
        <f>IF(J579&gt;0,MIN(99,$B$12*Q579/(J579*12*(1-Inputs!$H$16))),99)</f>
        <v>1.62253979</v>
      </c>
      <c r="L579" s="134">
        <f t="shared" si="9"/>
        <v>1.243472312</v>
      </c>
      <c r="M579" s="134">
        <f t="shared" si="10"/>
        <v>1.107046519</v>
      </c>
      <c r="N579" s="134">
        <f t="shared" si="11"/>
        <v>0.9929005543</v>
      </c>
      <c r="O579" s="134">
        <f t="shared" si="12"/>
        <v>1.026646257</v>
      </c>
      <c r="P579" s="134">
        <f t="shared" si="13"/>
        <v>1.183503284</v>
      </c>
      <c r="Q579" s="134">
        <f t="shared" si="14"/>
        <v>0.9926577252</v>
      </c>
    </row>
    <row r="580" ht="15.0" customHeight="1">
      <c r="A580" s="13">
        <v>541.0</v>
      </c>
      <c r="B580" s="134">
        <f t="shared" ref="B580:D580" si="1091">RAND()</f>
        <v>0.8851915962</v>
      </c>
      <c r="C580" s="134">
        <f t="shared" si="1091"/>
        <v>0.6640003578</v>
      </c>
      <c r="D580" s="134">
        <f t="shared" si="1091"/>
        <v>0.3603728135</v>
      </c>
      <c r="F580" s="134">
        <f t="shared" ref="F580:H580" si="1092">RAND()</f>
        <v>0.8509890115</v>
      </c>
      <c r="G580" s="134">
        <f t="shared" si="1092"/>
        <v>0.5904672494</v>
      </c>
      <c r="H580" s="134">
        <f t="shared" si="1092"/>
        <v>0.05062374186</v>
      </c>
      <c r="J580" s="135">
        <f t="shared" si="8"/>
        <v>245772024</v>
      </c>
      <c r="K580" s="136">
        <f>IF(J580&gt;0,MIN(99,$B$12*Q580/(J580*12*(1-Inputs!$H$16))),99)</f>
        <v>2.046528436</v>
      </c>
      <c r="L580" s="134">
        <f t="shared" si="9"/>
        <v>1.149357032</v>
      </c>
      <c r="M580" s="134">
        <f t="shared" si="10"/>
        <v>1.065422623</v>
      </c>
      <c r="N580" s="134">
        <f t="shared" si="11"/>
        <v>0.9966654136</v>
      </c>
      <c r="O580" s="134">
        <f t="shared" si="12"/>
        <v>1.063197767</v>
      </c>
      <c r="P580" s="134">
        <f t="shared" si="13"/>
        <v>1.254228189</v>
      </c>
      <c r="Q580" s="134">
        <f t="shared" si="14"/>
        <v>0.9245251094</v>
      </c>
    </row>
    <row r="581" ht="15.0" customHeight="1">
      <c r="A581" s="13">
        <v>542.0</v>
      </c>
      <c r="B581" s="134">
        <f t="shared" ref="B581:D581" si="1093">RAND()</f>
        <v>0.265427946</v>
      </c>
      <c r="C581" s="134">
        <f t="shared" si="1093"/>
        <v>0.4625694951</v>
      </c>
      <c r="D581" s="134">
        <f t="shared" si="1093"/>
        <v>0.3528525107</v>
      </c>
      <c r="F581" s="134">
        <f t="shared" ref="F581:H581" si="1094">RAND()</f>
        <v>0.8309599145</v>
      </c>
      <c r="G581" s="134">
        <f t="shared" si="1094"/>
        <v>0.5909824405</v>
      </c>
      <c r="H581" s="134">
        <f t="shared" si="1094"/>
        <v>0.7530638412</v>
      </c>
      <c r="J581" s="135">
        <f t="shared" si="8"/>
        <v>97624107.84</v>
      </c>
      <c r="K581" s="136">
        <f>IF(J581&gt;0,MIN(99,$B$12*Q581/(J581*12*(1-Inputs!$H$16))),99)</f>
        <v>6.69008875</v>
      </c>
      <c r="L581" s="134">
        <f t="shared" si="9"/>
        <v>0.9478023262</v>
      </c>
      <c r="M581" s="134">
        <f t="shared" si="10"/>
        <v>0.9760109226</v>
      </c>
      <c r="N581" s="134">
        <f t="shared" si="11"/>
        <v>0.9960598538</v>
      </c>
      <c r="O581" s="134">
        <f t="shared" si="12"/>
        <v>1.060032091</v>
      </c>
      <c r="P581" s="134">
        <f t="shared" si="13"/>
        <v>1.254611079</v>
      </c>
      <c r="Q581" s="134">
        <f t="shared" si="14"/>
        <v>1.200486936</v>
      </c>
    </row>
    <row r="582" ht="15.0" customHeight="1">
      <c r="A582" s="13">
        <v>543.0</v>
      </c>
      <c r="B582" s="134">
        <f t="shared" ref="B582:D582" si="1095">RAND()</f>
        <v>0.03906649923</v>
      </c>
      <c r="C582" s="134">
        <f t="shared" si="1095"/>
        <v>0.1111320002</v>
      </c>
      <c r="D582" s="134">
        <f t="shared" si="1095"/>
        <v>0.6317702644</v>
      </c>
      <c r="F582" s="134">
        <f t="shared" ref="F582:H582" si="1096">RAND()</f>
        <v>0.6413994567</v>
      </c>
      <c r="G582" s="134">
        <f t="shared" si="1096"/>
        <v>0.9461204984</v>
      </c>
      <c r="H582" s="134">
        <f t="shared" si="1096"/>
        <v>0.1268770061</v>
      </c>
      <c r="J582" s="135">
        <f t="shared" si="8"/>
        <v>13191344.32</v>
      </c>
      <c r="K582" s="136">
        <f>IF(J582&gt;0,MIN(99,$B$12*Q582/(J582*12*(1-Inputs!$H$16))),99)</f>
        <v>39.71110238</v>
      </c>
      <c r="L582" s="134">
        <f t="shared" si="9"/>
        <v>0.8412946541</v>
      </c>
      <c r="M582" s="134">
        <f t="shared" si="10"/>
        <v>0.9283605823</v>
      </c>
      <c r="N582" s="134">
        <f t="shared" si="11"/>
        <v>1.019387939</v>
      </c>
      <c r="O582" s="134">
        <f t="shared" si="12"/>
        <v>1.036384391</v>
      </c>
      <c r="P582" s="134">
        <f t="shared" si="13"/>
        <v>1.642039311</v>
      </c>
      <c r="Q582" s="134">
        <f t="shared" si="14"/>
        <v>0.9628740471</v>
      </c>
    </row>
    <row r="583" ht="15.0" customHeight="1">
      <c r="A583" s="13">
        <v>544.0</v>
      </c>
      <c r="B583" s="134">
        <f t="shared" ref="B583:D583" si="1097">RAND()</f>
        <v>0.1425847662</v>
      </c>
      <c r="C583" s="134">
        <f t="shared" si="1097"/>
        <v>0.7975586221</v>
      </c>
      <c r="D583" s="134">
        <f t="shared" si="1097"/>
        <v>0.7489974449</v>
      </c>
      <c r="F583" s="134">
        <f t="shared" ref="F583:H583" si="1098">RAND()</f>
        <v>0.05852118536</v>
      </c>
      <c r="G583" s="134">
        <f t="shared" si="1098"/>
        <v>0.425927853</v>
      </c>
      <c r="H583" s="134">
        <f t="shared" si="1098"/>
        <v>0.6007048838</v>
      </c>
      <c r="J583" s="135">
        <f t="shared" si="8"/>
        <v>76422136</v>
      </c>
      <c r="K583" s="136">
        <f>IF(J583&gt;0,MIN(99,$B$12*Q583/(J583*12*(1-Inputs!$H$16))),99)</f>
        <v>8.037288102</v>
      </c>
      <c r="L583" s="134">
        <f t="shared" si="9"/>
        <v>0.9016522254</v>
      </c>
      <c r="M583" s="134">
        <f t="shared" si="10"/>
        <v>0.9553638841</v>
      </c>
      <c r="N583" s="134">
        <f t="shared" si="11"/>
        <v>1.03176885</v>
      </c>
      <c r="O583" s="134">
        <f t="shared" si="12"/>
        <v>0.9857021169</v>
      </c>
      <c r="P583" s="134">
        <f t="shared" si="13"/>
        <v>1.142278412</v>
      </c>
      <c r="Q583" s="134">
        <f t="shared" si="14"/>
        <v>1.129008443</v>
      </c>
    </row>
    <row r="584" ht="15.0" customHeight="1">
      <c r="A584" s="13">
        <v>545.0</v>
      </c>
      <c r="B584" s="134">
        <f t="shared" ref="B584:D584" si="1099">RAND()</f>
        <v>0.7133109605</v>
      </c>
      <c r="C584" s="134">
        <f t="shared" si="1099"/>
        <v>0.5927121138</v>
      </c>
      <c r="D584" s="134">
        <f t="shared" si="1099"/>
        <v>0.9597948323</v>
      </c>
      <c r="F584" s="134">
        <f t="shared" ref="F584:H584" si="1100">RAND()</f>
        <v>0.2344611954</v>
      </c>
      <c r="G584" s="134">
        <f t="shared" si="1100"/>
        <v>0.4247488422</v>
      </c>
      <c r="H584" s="134">
        <f t="shared" si="1100"/>
        <v>0.8047683549</v>
      </c>
      <c r="J584" s="135">
        <f t="shared" si="8"/>
        <v>187620522.6</v>
      </c>
      <c r="K584" s="136">
        <f>IF(J584&gt;0,MIN(99,$B$12*Q584/(J584*12*(1-Inputs!$H$16))),99)</f>
        <v>3.565613587</v>
      </c>
      <c r="L584" s="134">
        <f t="shared" si="9"/>
        <v>1.076455942</v>
      </c>
      <c r="M584" s="134">
        <f t="shared" si="10"/>
        <v>1.033181021</v>
      </c>
      <c r="N584" s="134">
        <f t="shared" si="11"/>
        <v>1.066926743</v>
      </c>
      <c r="O584" s="134">
        <f t="shared" si="12"/>
        <v>1.001594928</v>
      </c>
      <c r="P584" s="134">
        <f t="shared" si="13"/>
        <v>1.141538934</v>
      </c>
      <c r="Q584" s="134">
        <f t="shared" si="14"/>
        <v>1.229654486</v>
      </c>
    </row>
    <row r="585" ht="15.0" customHeight="1">
      <c r="A585" s="13">
        <v>546.0</v>
      </c>
      <c r="B585" s="134">
        <f t="shared" ref="B585:D585" si="1101">RAND()</f>
        <v>0.8329219123</v>
      </c>
      <c r="C585" s="134">
        <f t="shared" si="1101"/>
        <v>0.5582507698</v>
      </c>
      <c r="D585" s="134">
        <f t="shared" si="1101"/>
        <v>0.8532076625</v>
      </c>
      <c r="F585" s="134">
        <f t="shared" ref="F585:H585" si="1102">RAND()</f>
        <v>0.7837656594</v>
      </c>
      <c r="G585" s="134">
        <f t="shared" si="1102"/>
        <v>0.3907440952</v>
      </c>
      <c r="H585" s="134">
        <f t="shared" si="1102"/>
        <v>0.3932663585</v>
      </c>
      <c r="J585" s="135">
        <f t="shared" si="8"/>
        <v>220254883.8</v>
      </c>
      <c r="K585" s="136">
        <f>IF(J585&gt;0,MIN(99,$B$12*Q585/(J585*12*(1-Inputs!$H$16))),99)</f>
        <v>2.596375282</v>
      </c>
      <c r="L585" s="134">
        <f t="shared" si="9"/>
        <v>1.123430752</v>
      </c>
      <c r="M585" s="134">
        <f t="shared" si="10"/>
        <v>1.053956336</v>
      </c>
      <c r="N585" s="134">
        <f t="shared" si="11"/>
        <v>1.045559504</v>
      </c>
      <c r="O585" s="134">
        <f t="shared" si="12"/>
        <v>1.053245353</v>
      </c>
      <c r="P585" s="134">
        <f t="shared" si="13"/>
        <v>1.120528074</v>
      </c>
      <c r="Q585" s="134">
        <f t="shared" si="14"/>
        <v>1.051142253</v>
      </c>
    </row>
    <row r="586" ht="15.0" customHeight="1">
      <c r="A586" s="13">
        <v>547.0</v>
      </c>
      <c r="B586" s="134">
        <f t="shared" ref="B586:D586" si="1103">RAND()</f>
        <v>0.8686064695</v>
      </c>
      <c r="C586" s="134">
        <f t="shared" si="1103"/>
        <v>0.2868777668</v>
      </c>
      <c r="D586" s="134">
        <f t="shared" si="1103"/>
        <v>0.6728901704</v>
      </c>
      <c r="F586" s="134">
        <f t="shared" ref="F586:H586" si="1104">RAND()</f>
        <v>0.4146515836</v>
      </c>
      <c r="G586" s="134">
        <f t="shared" si="1104"/>
        <v>0.2091995907</v>
      </c>
      <c r="H586" s="134">
        <f t="shared" si="1104"/>
        <v>0.7777244718</v>
      </c>
      <c r="J586" s="135">
        <f t="shared" si="8"/>
        <v>249174812.7</v>
      </c>
      <c r="K586" s="136">
        <f>IF(J586&gt;0,MIN(99,$B$12*Q586/(J586*12*(1-Inputs!$H$16))),99)</f>
        <v>2.650552714</v>
      </c>
      <c r="L586" s="134">
        <f t="shared" si="9"/>
        <v>1.140587908</v>
      </c>
      <c r="M586" s="134">
        <f t="shared" si="10"/>
        <v>1.061544346</v>
      </c>
      <c r="N586" s="134">
        <f t="shared" si="11"/>
        <v>1.023469465</v>
      </c>
      <c r="O586" s="134">
        <f t="shared" si="12"/>
        <v>1.015437995</v>
      </c>
      <c r="P586" s="134">
        <f t="shared" si="13"/>
        <v>1.017143127</v>
      </c>
      <c r="Q586" s="134">
        <f t="shared" si="14"/>
        <v>1.213973111</v>
      </c>
    </row>
    <row r="587" ht="15.0" customHeight="1">
      <c r="A587" s="13">
        <v>548.0</v>
      </c>
      <c r="B587" s="134">
        <f t="shared" ref="B587:D587" si="1105">RAND()</f>
        <v>0.8014664799</v>
      </c>
      <c r="C587" s="134">
        <f t="shared" si="1105"/>
        <v>0.8377353285</v>
      </c>
      <c r="D587" s="134">
        <f t="shared" si="1105"/>
        <v>0.2782248931</v>
      </c>
      <c r="F587" s="134">
        <f t="shared" ref="F587:H587" si="1106">RAND()</f>
        <v>0.7456630896</v>
      </c>
      <c r="G587" s="134">
        <f t="shared" si="1106"/>
        <v>0.5203960541</v>
      </c>
      <c r="H587" s="134">
        <f t="shared" si="1106"/>
        <v>0.343653723</v>
      </c>
      <c r="J587" s="135">
        <f t="shared" si="8"/>
        <v>220819269</v>
      </c>
      <c r="K587" s="136">
        <f>IF(J587&gt;0,MIN(99,$B$12*Q587/(J587*12*(1-Inputs!$H$16))),99)</f>
        <v>2.549003682</v>
      </c>
      <c r="L587" s="134">
        <f t="shared" si="9"/>
        <v>1.10977785</v>
      </c>
      <c r="M587" s="134">
        <f t="shared" si="10"/>
        <v>1.047918135</v>
      </c>
      <c r="N587" s="134">
        <f t="shared" si="11"/>
        <v>0.9896602883</v>
      </c>
      <c r="O587" s="134">
        <f t="shared" si="12"/>
        <v>1.048292719</v>
      </c>
      <c r="P587" s="134">
        <f t="shared" si="13"/>
        <v>1.204222252</v>
      </c>
      <c r="Q587" s="134">
        <f t="shared" si="14"/>
        <v>1.03460819</v>
      </c>
    </row>
    <row r="588" ht="15.0" customHeight="1">
      <c r="A588" s="13">
        <v>549.0</v>
      </c>
      <c r="B588" s="134">
        <f t="shared" ref="B588:D588" si="1107">RAND()</f>
        <v>0.1852189733</v>
      </c>
      <c r="C588" s="134">
        <f t="shared" si="1107"/>
        <v>0.843227612</v>
      </c>
      <c r="D588" s="134">
        <f t="shared" si="1107"/>
        <v>0.0708074968</v>
      </c>
      <c r="F588" s="134">
        <f t="shared" ref="F588:H588" si="1108">RAND()</f>
        <v>0.2499778059</v>
      </c>
      <c r="G588" s="134">
        <f t="shared" si="1108"/>
        <v>0.1589572804</v>
      </c>
      <c r="H588" s="134">
        <f t="shared" si="1108"/>
        <v>0.6749123767</v>
      </c>
      <c r="J588" s="135">
        <f t="shared" si="8"/>
        <v>104201346.1</v>
      </c>
      <c r="K588" s="136">
        <f>IF(J588&gt;0,MIN(99,$B$12*Q588/(J588*12*(1-Inputs!$H$16))),99)</f>
        <v>6.065305954</v>
      </c>
      <c r="L588" s="134">
        <f t="shared" si="9"/>
        <v>0.9193507343</v>
      </c>
      <c r="M588" s="134">
        <f t="shared" si="10"/>
        <v>0.9632819989</v>
      </c>
      <c r="N588" s="134">
        <f t="shared" si="11"/>
        <v>0.9645237422</v>
      </c>
      <c r="O588" s="134">
        <f t="shared" si="12"/>
        <v>1.002717861</v>
      </c>
      <c r="P588" s="134">
        <f t="shared" si="13"/>
        <v>0.990394957</v>
      </c>
      <c r="Q588" s="134">
        <f t="shared" si="14"/>
        <v>1.161701429</v>
      </c>
    </row>
    <row r="589" ht="15.0" customHeight="1">
      <c r="A589" s="13">
        <v>550.0</v>
      </c>
      <c r="B589" s="134">
        <f t="shared" ref="B589:D589" si="1109">RAND()</f>
        <v>0.02663785036</v>
      </c>
      <c r="C589" s="134">
        <f t="shared" si="1109"/>
        <v>0.8621214277</v>
      </c>
      <c r="D589" s="134">
        <f t="shared" si="1109"/>
        <v>0.2265885486</v>
      </c>
      <c r="F589" s="134">
        <f t="shared" ref="F589:H589" si="1110">RAND()</f>
        <v>0.2124938883</v>
      </c>
      <c r="G589" s="134">
        <f t="shared" si="1110"/>
        <v>0.3776554754</v>
      </c>
      <c r="H589" s="134">
        <f t="shared" si="1110"/>
        <v>0.5694706459</v>
      </c>
      <c r="J589" s="135">
        <f t="shared" si="8"/>
        <v>38359659.51</v>
      </c>
      <c r="K589" s="136">
        <f>IF(J589&gt;0,MIN(99,$B$12*Q589/(J589*12*(1-Inputs!$H$16))),99)</f>
        <v>15.83017533</v>
      </c>
      <c r="L589" s="134">
        <f t="shared" si="9"/>
        <v>0.829742654</v>
      </c>
      <c r="M589" s="134">
        <f t="shared" si="10"/>
        <v>0.9231923467</v>
      </c>
      <c r="N589" s="134">
        <f t="shared" si="11"/>
        <v>0.9847116088</v>
      </c>
      <c r="O589" s="134">
        <f t="shared" si="12"/>
        <v>1.000024444</v>
      </c>
      <c r="P589" s="134">
        <f t="shared" si="13"/>
        <v>1.112597705</v>
      </c>
      <c r="Q589" s="134">
        <f t="shared" si="14"/>
        <v>1.116166413</v>
      </c>
    </row>
    <row r="590" ht="15.0" customHeight="1">
      <c r="A590" s="13">
        <v>551.0</v>
      </c>
      <c r="B590" s="134">
        <f t="shared" ref="B590:D590" si="1111">RAND()</f>
        <v>0.6427478001</v>
      </c>
      <c r="C590" s="134">
        <f t="shared" si="1111"/>
        <v>0.572097686</v>
      </c>
      <c r="D590" s="134">
        <f t="shared" si="1111"/>
        <v>0.982353802</v>
      </c>
      <c r="F590" s="134">
        <f t="shared" ref="F590:H590" si="1112">RAND()</f>
        <v>0.1943792948</v>
      </c>
      <c r="G590" s="134">
        <f t="shared" si="1112"/>
        <v>0.06624342581</v>
      </c>
      <c r="H590" s="134">
        <f t="shared" si="1112"/>
        <v>0.5285658619</v>
      </c>
      <c r="J590" s="135">
        <f t="shared" si="8"/>
        <v>177477441.9</v>
      </c>
      <c r="K590" s="136">
        <f>IF(J590&gt;0,MIN(99,$B$12*Q590/(J590*12*(1-Inputs!$H$16))),99)</f>
        <v>3.372052335</v>
      </c>
      <c r="L590" s="134">
        <f t="shared" si="9"/>
        <v>1.053364765</v>
      </c>
      <c r="M590" s="134">
        <f t="shared" si="10"/>
        <v>1.022968601</v>
      </c>
      <c r="N590" s="134">
        <f t="shared" si="11"/>
        <v>1.074844661</v>
      </c>
      <c r="O590" s="134">
        <f t="shared" si="12"/>
        <v>0.9987111928</v>
      </c>
      <c r="P590" s="134">
        <f t="shared" si="13"/>
        <v>0.9281160099</v>
      </c>
      <c r="Q590" s="134">
        <f t="shared" si="14"/>
        <v>1.100033593</v>
      </c>
    </row>
    <row r="591" ht="15.0" customHeight="1">
      <c r="A591" s="13">
        <v>552.0</v>
      </c>
      <c r="B591" s="134">
        <f t="shared" ref="B591:D591" si="1113">RAND()</f>
        <v>0.06797619143</v>
      </c>
      <c r="C591" s="134">
        <f t="shared" si="1113"/>
        <v>0.3225405798</v>
      </c>
      <c r="D591" s="134">
        <f t="shared" si="1113"/>
        <v>0.6765775465</v>
      </c>
      <c r="F591" s="134">
        <f t="shared" ref="F591:H591" si="1114">RAND()</f>
        <v>0.5462087965</v>
      </c>
      <c r="G591" s="134">
        <f t="shared" si="1114"/>
        <v>0.09579657698</v>
      </c>
      <c r="H591" s="134">
        <f t="shared" si="1114"/>
        <v>0.930033793</v>
      </c>
      <c r="J591" s="135">
        <f t="shared" si="8"/>
        <v>53220966.95</v>
      </c>
      <c r="K591" s="136">
        <f>IF(J591&gt;0,MIN(99,$B$12*Q591/(J591*12*(1-Inputs!$H$16))),99)</f>
        <v>13.52993563</v>
      </c>
      <c r="L591" s="134">
        <f t="shared" si="9"/>
        <v>0.8624489653</v>
      </c>
      <c r="M591" s="134">
        <f t="shared" si="10"/>
        <v>0.9378247843</v>
      </c>
      <c r="N591" s="134">
        <f t="shared" si="11"/>
        <v>1.023847702</v>
      </c>
      <c r="O591" s="134">
        <f t="shared" si="12"/>
        <v>1.026959016</v>
      </c>
      <c r="P591" s="134">
        <f t="shared" si="13"/>
        <v>0.9510909719</v>
      </c>
      <c r="Q591" s="134">
        <f t="shared" si="14"/>
        <v>1.323570176</v>
      </c>
    </row>
    <row r="592" ht="15.0" customHeight="1">
      <c r="A592" s="13">
        <v>553.0</v>
      </c>
      <c r="B592" s="134">
        <f t="shared" ref="B592:D592" si="1115">RAND()</f>
        <v>0.9129380228</v>
      </c>
      <c r="C592" s="134">
        <f t="shared" si="1115"/>
        <v>0.003698700075</v>
      </c>
      <c r="D592" s="134">
        <f t="shared" si="1115"/>
        <v>0.9466379744</v>
      </c>
      <c r="F592" s="134">
        <f t="shared" ref="F592:H592" si="1116">RAND()</f>
        <v>0.6273839594</v>
      </c>
      <c r="G592" s="134">
        <f t="shared" si="1116"/>
        <v>0.8365270309</v>
      </c>
      <c r="H592" s="134">
        <f t="shared" si="1116"/>
        <v>0.6895618136</v>
      </c>
      <c r="J592" s="135">
        <f t="shared" si="8"/>
        <v>238269239.1</v>
      </c>
      <c r="K592" s="136">
        <f>IF(J592&gt;0,MIN(99,$B$12*Q592/(J592*12*(1-Inputs!$H$16))),99)</f>
        <v>2.668229556</v>
      </c>
      <c r="L592" s="134">
        <f t="shared" si="9"/>
        <v>1.165587835</v>
      </c>
      <c r="M592" s="134">
        <f t="shared" si="10"/>
        <v>1.072600939</v>
      </c>
      <c r="N592" s="134">
        <f t="shared" si="11"/>
        <v>1.063359352</v>
      </c>
      <c r="O592" s="134">
        <f t="shared" si="12"/>
        <v>1.034924087</v>
      </c>
      <c r="P592" s="134">
        <f t="shared" si="13"/>
        <v>1.47829272</v>
      </c>
      <c r="Q592" s="134">
        <f t="shared" si="14"/>
        <v>1.16858323</v>
      </c>
    </row>
    <row r="593" ht="15.0" customHeight="1">
      <c r="A593" s="13">
        <v>554.0</v>
      </c>
      <c r="B593" s="134">
        <f t="shared" ref="B593:D593" si="1117">RAND()</f>
        <v>0.04221198111</v>
      </c>
      <c r="C593" s="134">
        <f t="shared" si="1117"/>
        <v>0.4821108098</v>
      </c>
      <c r="D593" s="134">
        <f t="shared" si="1117"/>
        <v>0.2840129535</v>
      </c>
      <c r="F593" s="134">
        <f t="shared" ref="F593:H593" si="1118">RAND()</f>
        <v>0.1423602179</v>
      </c>
      <c r="G593" s="134">
        <f t="shared" si="1118"/>
        <v>0.06991689659</v>
      </c>
      <c r="H593" s="134">
        <f t="shared" si="1118"/>
        <v>0.5429391058</v>
      </c>
      <c r="J593" s="135">
        <f t="shared" si="8"/>
        <v>53944292.36</v>
      </c>
      <c r="K593" s="136">
        <f>IF(J593&gt;0,MIN(99,$B$12*Q593/(J593*12*(1-Inputs!$H$16))),99)</f>
        <v>11.1504328</v>
      </c>
      <c r="L593" s="134">
        <f t="shared" si="9"/>
        <v>0.8439118849</v>
      </c>
      <c r="M593" s="134">
        <f t="shared" si="10"/>
        <v>0.929531502</v>
      </c>
      <c r="N593" s="134">
        <f t="shared" si="11"/>
        <v>0.9901852261</v>
      </c>
      <c r="O593" s="134">
        <f t="shared" si="12"/>
        <v>0.9945543863</v>
      </c>
      <c r="P593" s="134">
        <f t="shared" si="13"/>
        <v>0.9312185989</v>
      </c>
      <c r="Q593" s="134">
        <f t="shared" si="14"/>
        <v>1.105619542</v>
      </c>
    </row>
    <row r="594" ht="15.0" customHeight="1">
      <c r="A594" s="13">
        <v>555.0</v>
      </c>
      <c r="B594" s="134">
        <f t="shared" ref="B594:D594" si="1119">RAND()</f>
        <v>0.3251813855</v>
      </c>
      <c r="C594" s="134">
        <f t="shared" si="1119"/>
        <v>0.5624118366</v>
      </c>
      <c r="D594" s="134">
        <f t="shared" si="1119"/>
        <v>0.007572627425</v>
      </c>
      <c r="F594" s="134">
        <f t="shared" ref="F594:H594" si="1120">RAND()</f>
        <v>0.1365264088</v>
      </c>
      <c r="G594" s="134">
        <f t="shared" si="1120"/>
        <v>0.09849283987</v>
      </c>
      <c r="H594" s="134">
        <f t="shared" si="1120"/>
        <v>0.5921215224</v>
      </c>
      <c r="J594" s="135">
        <f t="shared" si="8"/>
        <v>142883861.6</v>
      </c>
      <c r="K594" s="136">
        <f>IF(J594&gt;0,MIN(99,$B$12*Q594/(J594*12*(1-Inputs!$H$16))),99)</f>
        <v>4.285160862</v>
      </c>
      <c r="L594" s="134">
        <f t="shared" si="9"/>
        <v>0.9662665832</v>
      </c>
      <c r="M594" s="134">
        <f t="shared" si="10"/>
        <v>0.9842716246</v>
      </c>
      <c r="N594" s="134">
        <f t="shared" si="11"/>
        <v>0.9473018333</v>
      </c>
      <c r="O594" s="134">
        <f t="shared" si="12"/>
        <v>0.9940436472</v>
      </c>
      <c r="P594" s="134">
        <f t="shared" si="13"/>
        <v>0.9529972293</v>
      </c>
      <c r="Q594" s="134">
        <f t="shared" si="14"/>
        <v>1.125430783</v>
      </c>
    </row>
    <row r="595" ht="15.0" customHeight="1">
      <c r="A595" s="13">
        <v>556.0</v>
      </c>
      <c r="B595" s="134">
        <f t="shared" ref="B595:D595" si="1121">RAND()</f>
        <v>0.4075544442</v>
      </c>
      <c r="C595" s="134">
        <f t="shared" si="1121"/>
        <v>0.77361178</v>
      </c>
      <c r="D595" s="134">
        <f t="shared" si="1121"/>
        <v>0.2043954925</v>
      </c>
      <c r="F595" s="134">
        <f t="shared" ref="F595:H595" si="1122">RAND()</f>
        <v>0.4241545249</v>
      </c>
      <c r="G595" s="134">
        <f t="shared" si="1122"/>
        <v>0.7473588791</v>
      </c>
      <c r="H595" s="134">
        <f t="shared" si="1122"/>
        <v>0.8129344033</v>
      </c>
      <c r="J595" s="135">
        <f t="shared" si="8"/>
        <v>131648887.2</v>
      </c>
      <c r="K595" s="136">
        <f>IF(J595&gt;0,MIN(99,$B$12*Q595/(J595*12*(1-Inputs!$H$16))),99)</f>
        <v>5.102003751</v>
      </c>
      <c r="L595" s="134">
        <f t="shared" si="9"/>
        <v>0.9891258391</v>
      </c>
      <c r="M595" s="134">
        <f t="shared" si="10"/>
        <v>0.9944985998</v>
      </c>
      <c r="N595" s="134">
        <f t="shared" si="11"/>
        <v>0.9824119698</v>
      </c>
      <c r="O595" s="134">
        <f t="shared" si="12"/>
        <v>1.016223678</v>
      </c>
      <c r="P595" s="134">
        <f t="shared" si="13"/>
        <v>1.384801942</v>
      </c>
      <c r="Q595" s="134">
        <f t="shared" si="14"/>
        <v>1.234600497</v>
      </c>
    </row>
    <row r="596" ht="15.0" customHeight="1">
      <c r="A596" s="13">
        <v>557.0</v>
      </c>
      <c r="B596" s="134">
        <f t="shared" ref="B596:D596" si="1123">RAND()</f>
        <v>0.07900675052</v>
      </c>
      <c r="C596" s="134">
        <f t="shared" si="1123"/>
        <v>0.3299368678</v>
      </c>
      <c r="D596" s="134">
        <f t="shared" si="1123"/>
        <v>0.5441326811</v>
      </c>
      <c r="F596" s="134">
        <f t="shared" ref="F596:H596" si="1124">RAND()</f>
        <v>0.3757496893</v>
      </c>
      <c r="G596" s="134">
        <f t="shared" si="1124"/>
        <v>0.2618244173</v>
      </c>
      <c r="H596" s="134">
        <f t="shared" si="1124"/>
        <v>0.1580427929</v>
      </c>
      <c r="J596" s="135">
        <f t="shared" si="8"/>
        <v>58728246.3</v>
      </c>
      <c r="K596" s="136">
        <f>IF(J596&gt;0,MIN(99,$B$12*Q596/(J596*12*(1-Inputs!$H$16))),99)</f>
        <v>9.031734529</v>
      </c>
      <c r="L596" s="134">
        <f t="shared" si="9"/>
        <v>0.8692775659</v>
      </c>
      <c r="M596" s="134">
        <f t="shared" si="10"/>
        <v>0.9408798238</v>
      </c>
      <c r="N596" s="134">
        <f t="shared" si="11"/>
        <v>1.011389659</v>
      </c>
      <c r="O596" s="134">
        <f t="shared" si="12"/>
        <v>1.012286301</v>
      </c>
      <c r="P596" s="134">
        <f t="shared" si="13"/>
        <v>1.045764011</v>
      </c>
      <c r="Q596" s="134">
        <f t="shared" si="14"/>
        <v>0.9749597292</v>
      </c>
    </row>
    <row r="597" ht="15.0" customHeight="1">
      <c r="A597" s="13">
        <v>558.0</v>
      </c>
      <c r="B597" s="134">
        <f t="shared" ref="B597:D597" si="1125">RAND()</f>
        <v>0.06939195826</v>
      </c>
      <c r="C597" s="134">
        <f t="shared" si="1125"/>
        <v>0.2826103206</v>
      </c>
      <c r="D597" s="134">
        <f t="shared" si="1125"/>
        <v>0.30013962</v>
      </c>
      <c r="F597" s="134">
        <f t="shared" ref="F597:H597" si="1126">RAND()</f>
        <v>0.9263864501</v>
      </c>
      <c r="G597" s="134">
        <f t="shared" si="1126"/>
        <v>0.9374694234</v>
      </c>
      <c r="H597" s="134">
        <f t="shared" si="1126"/>
        <v>0.903787054</v>
      </c>
      <c r="J597" s="135">
        <f t="shared" si="8"/>
        <v>25861701.92</v>
      </c>
      <c r="K597" s="136">
        <f>IF(J597&gt;0,MIN(99,$B$12*Q597/(J597*12*(1-Inputs!$H$16))),99)</f>
        <v>27.33454331</v>
      </c>
      <c r="L597" s="134">
        <f t="shared" si="9"/>
        <v>0.8633549393</v>
      </c>
      <c r="M597" s="134">
        <f t="shared" si="10"/>
        <v>0.938230107</v>
      </c>
      <c r="N597" s="134">
        <f t="shared" si="11"/>
        <v>0.9916202261</v>
      </c>
      <c r="O597" s="134">
        <f t="shared" si="12"/>
        <v>1.077649535</v>
      </c>
      <c r="P597" s="134">
        <f t="shared" si="13"/>
        <v>1.624978347</v>
      </c>
      <c r="Q597" s="134">
        <f t="shared" si="14"/>
        <v>1.299383673</v>
      </c>
    </row>
    <row r="598" ht="15.0" customHeight="1">
      <c r="A598" s="13">
        <v>559.0</v>
      </c>
      <c r="B598" s="134">
        <f t="shared" ref="B598:D598" si="1127">RAND()</f>
        <v>0.8638886497</v>
      </c>
      <c r="C598" s="134">
        <f t="shared" si="1127"/>
        <v>0.3777654637</v>
      </c>
      <c r="D598" s="134">
        <f t="shared" si="1127"/>
        <v>0.2270268933</v>
      </c>
      <c r="F598" s="134">
        <f t="shared" ref="F598:H598" si="1128">RAND()</f>
        <v>0.3031697619</v>
      </c>
      <c r="G598" s="134">
        <f t="shared" si="1128"/>
        <v>0.4539425583</v>
      </c>
      <c r="H598" s="134">
        <f t="shared" si="1128"/>
        <v>0.6269048498</v>
      </c>
      <c r="J598" s="135">
        <f t="shared" si="8"/>
        <v>252850014</v>
      </c>
      <c r="K598" s="136">
        <f>IF(J598&gt;0,MIN(99,$B$12*Q598/(J598*12*(1-Inputs!$H$16))),99)</f>
        <v>2.453237004</v>
      </c>
      <c r="L598" s="134">
        <f t="shared" si="9"/>
        <v>1.138196087</v>
      </c>
      <c r="M598" s="134">
        <f t="shared" si="10"/>
        <v>1.060486527</v>
      </c>
      <c r="N598" s="134">
        <f t="shared" si="11"/>
        <v>0.9847558677</v>
      </c>
      <c r="O598" s="134">
        <f t="shared" si="12"/>
        <v>1.006658304</v>
      </c>
      <c r="P598" s="134">
        <f t="shared" si="13"/>
        <v>1.160078176</v>
      </c>
      <c r="Q598" s="134">
        <f t="shared" si="14"/>
        <v>1.140173571</v>
      </c>
    </row>
    <row r="599" ht="15.0" customHeight="1">
      <c r="A599" s="13">
        <v>560.0</v>
      </c>
      <c r="B599" s="134">
        <f t="shared" ref="B599:D599" si="1129">RAND()</f>
        <v>0.5819242633</v>
      </c>
      <c r="C599" s="134">
        <f t="shared" si="1129"/>
        <v>0.07605689253</v>
      </c>
      <c r="D599" s="134">
        <f t="shared" si="1129"/>
        <v>0.8325273434</v>
      </c>
      <c r="F599" s="134">
        <f t="shared" ref="F599:H599" si="1130">RAND()</f>
        <v>0.975082623</v>
      </c>
      <c r="G599" s="134">
        <f t="shared" si="1130"/>
        <v>0.1318300609</v>
      </c>
      <c r="H599" s="134">
        <f t="shared" si="1130"/>
        <v>0.02118725677</v>
      </c>
      <c r="J599" s="135">
        <f t="shared" si="8"/>
        <v>154343851.2</v>
      </c>
      <c r="K599" s="136">
        <f>IF(J599&gt;0,MIN(99,$B$12*Q599/(J599*12*(1-Inputs!$H$16))),99)</f>
        <v>3.17697903</v>
      </c>
      <c r="L599" s="134">
        <f t="shared" si="9"/>
        <v>1.03523884</v>
      </c>
      <c r="M599" s="134">
        <f t="shared" si="10"/>
        <v>1.014952138</v>
      </c>
      <c r="N599" s="134">
        <f t="shared" si="11"/>
        <v>1.042505824</v>
      </c>
      <c r="O599" s="134">
        <f t="shared" si="12"/>
        <v>1.091945641</v>
      </c>
      <c r="P599" s="134">
        <f t="shared" si="13"/>
        <v>0.9747012709</v>
      </c>
      <c r="Q599" s="134">
        <f t="shared" si="14"/>
        <v>0.9013057924</v>
      </c>
    </row>
    <row r="600" ht="15.0" customHeight="1">
      <c r="A600" s="13">
        <v>561.0</v>
      </c>
      <c r="B600" s="134">
        <f t="shared" ref="B600:D600" si="1131">RAND()</f>
        <v>0.4800550878</v>
      </c>
      <c r="C600" s="134">
        <f t="shared" si="1131"/>
        <v>0.6230892052</v>
      </c>
      <c r="D600" s="134">
        <f t="shared" si="1131"/>
        <v>0.09698396952</v>
      </c>
      <c r="F600" s="134">
        <f t="shared" ref="F600:H600" si="1132">RAND()</f>
        <v>0.327660331</v>
      </c>
      <c r="G600" s="134">
        <f t="shared" si="1132"/>
        <v>0.705076791</v>
      </c>
      <c r="H600" s="134">
        <f t="shared" si="1132"/>
        <v>0.1397071693</v>
      </c>
      <c r="J600" s="135">
        <f t="shared" si="8"/>
        <v>150524495.1</v>
      </c>
      <c r="K600" s="136">
        <f>IF(J600&gt;0,MIN(99,$B$12*Q600/(J600*12*(1-Inputs!$H$16))),99)</f>
        <v>3.498684889</v>
      </c>
      <c r="L600" s="134">
        <f t="shared" si="9"/>
        <v>1.007619325</v>
      </c>
      <c r="M600" s="134">
        <f t="shared" si="10"/>
        <v>1.002736992</v>
      </c>
      <c r="N600" s="134">
        <f t="shared" si="11"/>
        <v>0.9688827605</v>
      </c>
      <c r="O600" s="134">
        <f t="shared" si="12"/>
        <v>1.008523075</v>
      </c>
      <c r="P600" s="134">
        <f t="shared" si="13"/>
        <v>1.346352359</v>
      </c>
      <c r="Q600" s="134">
        <f t="shared" si="14"/>
        <v>0.9680114398</v>
      </c>
    </row>
    <row r="601" ht="15.0" customHeight="1">
      <c r="A601" s="13">
        <v>562.0</v>
      </c>
      <c r="B601" s="134">
        <f t="shared" ref="B601:D601" si="1133">RAND()</f>
        <v>0.1071201364</v>
      </c>
      <c r="C601" s="134">
        <f t="shared" si="1133"/>
        <v>0.5779845751</v>
      </c>
      <c r="D601" s="134">
        <f t="shared" si="1133"/>
        <v>0.349977381</v>
      </c>
      <c r="F601" s="134">
        <f t="shared" ref="F601:H601" si="1134">RAND()</f>
        <v>0.4666406381</v>
      </c>
      <c r="G601" s="134">
        <f t="shared" si="1134"/>
        <v>0.7256614418</v>
      </c>
      <c r="H601" s="134">
        <f t="shared" si="1134"/>
        <v>0.6915339024</v>
      </c>
      <c r="J601" s="135">
        <f t="shared" si="8"/>
        <v>58296890.97</v>
      </c>
      <c r="K601" s="136">
        <f>IF(J601&gt;0,MIN(99,$B$12*Q601/(J601*12*(1-Inputs!$H$16))),99)</f>
        <v>10.91426515</v>
      </c>
      <c r="L601" s="134">
        <f t="shared" si="9"/>
        <v>0.8847771167</v>
      </c>
      <c r="M601" s="134">
        <f t="shared" si="10"/>
        <v>0.9478141493</v>
      </c>
      <c r="N601" s="134">
        <f t="shared" si="11"/>
        <v>0.9958266356</v>
      </c>
      <c r="O601" s="134">
        <f t="shared" si="12"/>
        <v>1.019818345</v>
      </c>
      <c r="P601" s="134">
        <f t="shared" si="13"/>
        <v>1.36470028</v>
      </c>
      <c r="Q601" s="134">
        <f t="shared" si="14"/>
        <v>1.169521946</v>
      </c>
    </row>
    <row r="602" ht="15.0" customHeight="1">
      <c r="A602" s="13">
        <v>563.0</v>
      </c>
      <c r="B602" s="134">
        <f t="shared" ref="B602:D602" si="1135">RAND()</f>
        <v>0.5762582999</v>
      </c>
      <c r="C602" s="134">
        <f t="shared" si="1135"/>
        <v>0.05684781466</v>
      </c>
      <c r="D602" s="134">
        <f t="shared" si="1135"/>
        <v>0.667390081</v>
      </c>
      <c r="F602" s="134">
        <f t="shared" ref="F602:H602" si="1136">RAND()</f>
        <v>0.454814938</v>
      </c>
      <c r="G602" s="134">
        <f t="shared" si="1136"/>
        <v>0.6063367069</v>
      </c>
      <c r="H602" s="134">
        <f t="shared" si="1136"/>
        <v>0.1935081917</v>
      </c>
      <c r="J602" s="135">
        <f t="shared" si="8"/>
        <v>158736861.7</v>
      </c>
      <c r="K602" s="136">
        <f>IF(J602&gt;0,MIN(99,$B$12*Q602/(J602*12*(1-Inputs!$H$16))),99)</f>
        <v>3.383916763</v>
      </c>
      <c r="L602" s="134">
        <f t="shared" si="9"/>
        <v>1.033619628</v>
      </c>
      <c r="M602" s="134">
        <f t="shared" si="10"/>
        <v>1.014236017</v>
      </c>
      <c r="N602" s="134">
        <f t="shared" si="11"/>
        <v>1.022909227</v>
      </c>
      <c r="O602" s="134">
        <f t="shared" si="12"/>
        <v>1.018803844</v>
      </c>
      <c r="P602" s="134">
        <f t="shared" si="13"/>
        <v>1.266135147</v>
      </c>
      <c r="Q602" s="134">
        <f t="shared" si="14"/>
        <v>0.9873382062</v>
      </c>
    </row>
    <row r="603" ht="15.0" customHeight="1">
      <c r="A603" s="13">
        <v>564.0</v>
      </c>
      <c r="B603" s="134">
        <f t="shared" ref="B603:D603" si="1137">RAND()</f>
        <v>0.6729839298</v>
      </c>
      <c r="C603" s="134">
        <f t="shared" si="1137"/>
        <v>0.2925484871</v>
      </c>
      <c r="D603" s="134">
        <f t="shared" si="1137"/>
        <v>0.06647425793</v>
      </c>
      <c r="F603" s="134">
        <f t="shared" ref="F603:H603" si="1138">RAND()</f>
        <v>0.5817664088</v>
      </c>
      <c r="G603" s="134">
        <f t="shared" si="1138"/>
        <v>0.3775142668</v>
      </c>
      <c r="H603" s="134">
        <f t="shared" si="1138"/>
        <v>0.8483766542</v>
      </c>
      <c r="J603" s="135">
        <f t="shared" si="8"/>
        <v>197606921.2</v>
      </c>
      <c r="K603" s="136">
        <f>IF(J603&gt;0,MIN(99,$B$12*Q603/(J603*12*(1-Inputs!$H$16))),99)</f>
        <v>3.461909657</v>
      </c>
      <c r="L603" s="134">
        <f t="shared" si="9"/>
        <v>1.062951162</v>
      </c>
      <c r="M603" s="134">
        <f t="shared" si="10"/>
        <v>1.027208329</v>
      </c>
      <c r="N603" s="134">
        <f t="shared" si="11"/>
        <v>0.9637283352</v>
      </c>
      <c r="O603" s="134">
        <f t="shared" si="12"/>
        <v>1.030352113</v>
      </c>
      <c r="P603" s="134">
        <f t="shared" si="13"/>
        <v>1.112512604</v>
      </c>
      <c r="Q603" s="134">
        <f t="shared" si="14"/>
        <v>1.25743737</v>
      </c>
    </row>
    <row r="604" ht="15.0" customHeight="1">
      <c r="A604" s="13">
        <v>565.0</v>
      </c>
      <c r="B604" s="134">
        <f t="shared" ref="B604:D604" si="1139">RAND()</f>
        <v>0.3889075263</v>
      </c>
      <c r="C604" s="134">
        <f t="shared" si="1139"/>
        <v>0.9779051823</v>
      </c>
      <c r="D604" s="134">
        <f t="shared" si="1139"/>
        <v>0.6467673237</v>
      </c>
      <c r="F604" s="134">
        <f t="shared" ref="F604:H604" si="1140">RAND()</f>
        <v>0.01369266371</v>
      </c>
      <c r="G604" s="134">
        <f t="shared" si="1140"/>
        <v>0.8450192176</v>
      </c>
      <c r="H604" s="134">
        <f t="shared" si="1140"/>
        <v>0.84354374</v>
      </c>
      <c r="J604" s="135">
        <f t="shared" si="8"/>
        <v>122540714.7</v>
      </c>
      <c r="K604" s="136">
        <f>IF(J604&gt;0,MIN(99,$B$12*Q604/(J604*12*(1-Inputs!$H$16))),99)</f>
        <v>5.568135948</v>
      </c>
      <c r="L604" s="134">
        <f t="shared" si="9"/>
        <v>0.9841700187</v>
      </c>
      <c r="M604" s="134">
        <f t="shared" si="10"/>
        <v>0.9922814212</v>
      </c>
      <c r="N604" s="134">
        <f t="shared" si="11"/>
        <v>1.020848775</v>
      </c>
      <c r="O604" s="134">
        <f t="shared" si="12"/>
        <v>0.9775362924</v>
      </c>
      <c r="P604" s="134">
        <f t="shared" si="13"/>
        <v>1.488412319</v>
      </c>
      <c r="Q604" s="134">
        <f t="shared" si="14"/>
        <v>1.254176677</v>
      </c>
    </row>
    <row r="605" ht="15.0" customHeight="1">
      <c r="A605" s="13">
        <v>566.0</v>
      </c>
      <c r="B605" s="134">
        <f t="shared" ref="B605:D605" si="1141">RAND()</f>
        <v>0.1562045634</v>
      </c>
      <c r="C605" s="134">
        <f t="shared" si="1141"/>
        <v>0.9515334693</v>
      </c>
      <c r="D605" s="134">
        <f t="shared" si="1141"/>
        <v>0.2103153408</v>
      </c>
      <c r="F605" s="134">
        <f t="shared" ref="F605:H605" si="1142">RAND()</f>
        <v>0.3808744801</v>
      </c>
      <c r="G605" s="134">
        <f t="shared" si="1142"/>
        <v>0.2963951931</v>
      </c>
      <c r="H605" s="134">
        <f t="shared" si="1142"/>
        <v>0.04662288887</v>
      </c>
      <c r="J605" s="135">
        <f t="shared" si="8"/>
        <v>88195447.94</v>
      </c>
      <c r="K605" s="136">
        <f>IF(J605&gt;0,MIN(99,$B$12*Q605/(J605*12*(1-Inputs!$H$16))),99)</f>
        <v>5.686648606</v>
      </c>
      <c r="L605" s="134">
        <f t="shared" si="9"/>
        <v>0.9075632429</v>
      </c>
      <c r="M605" s="134">
        <f t="shared" si="10"/>
        <v>0.9580084072</v>
      </c>
      <c r="N605" s="134">
        <f t="shared" si="11"/>
        <v>0.9830371108</v>
      </c>
      <c r="O605" s="134">
        <f t="shared" si="12"/>
        <v>1.012695763</v>
      </c>
      <c r="P605" s="134">
        <f t="shared" si="13"/>
        <v>1.065124626</v>
      </c>
      <c r="Q605" s="134">
        <f t="shared" si="14"/>
        <v>0.9218728917</v>
      </c>
    </row>
    <row r="606" ht="15.0" customHeight="1">
      <c r="A606" s="13">
        <v>567.0</v>
      </c>
      <c r="B606" s="134">
        <f t="shared" ref="B606:D606" si="1143">RAND()</f>
        <v>0.8044068604</v>
      </c>
      <c r="C606" s="134">
        <f t="shared" si="1143"/>
        <v>0.2786606339</v>
      </c>
      <c r="D606" s="134">
        <f t="shared" si="1143"/>
        <v>0.4024048836</v>
      </c>
      <c r="F606" s="134">
        <f t="shared" ref="F606:H606" si="1144">RAND()</f>
        <v>0.3267016665</v>
      </c>
      <c r="G606" s="134">
        <f t="shared" si="1144"/>
        <v>0.1980883089</v>
      </c>
      <c r="H606" s="134">
        <f t="shared" si="1144"/>
        <v>0.2423834945</v>
      </c>
      <c r="J606" s="135">
        <f t="shared" si="8"/>
        <v>233252730.2</v>
      </c>
      <c r="K606" s="136">
        <f>IF(J606&gt;0,MIN(99,$B$12*Q606/(J606*12*(1-Inputs!$H$16))),99)</f>
        <v>2.338696868</v>
      </c>
      <c r="L606" s="134">
        <f t="shared" si="9"/>
        <v>1.111005925</v>
      </c>
      <c r="M606" s="134">
        <f t="shared" si="10"/>
        <v>1.04846127</v>
      </c>
      <c r="N606" s="134">
        <f t="shared" si="11"/>
        <v>0.9999393924</v>
      </c>
      <c r="O606" s="134">
        <f t="shared" si="12"/>
        <v>1.008449448</v>
      </c>
      <c r="P606" s="134">
        <f t="shared" si="13"/>
        <v>1.011223062</v>
      </c>
      <c r="Q606" s="134">
        <f t="shared" si="14"/>
        <v>1.002695697</v>
      </c>
    </row>
    <row r="607" ht="15.0" customHeight="1">
      <c r="A607" s="13">
        <v>568.0</v>
      </c>
      <c r="B607" s="134">
        <f t="shared" ref="B607:D607" si="1145">RAND()</f>
        <v>0.199268382</v>
      </c>
      <c r="C607" s="134">
        <f t="shared" si="1145"/>
        <v>0.330545205</v>
      </c>
      <c r="D607" s="134">
        <f t="shared" si="1145"/>
        <v>0.1381265898</v>
      </c>
      <c r="F607" s="134">
        <f t="shared" ref="F607:H607" si="1146">RAND()</f>
        <v>0.4557394921</v>
      </c>
      <c r="G607" s="134">
        <f t="shared" si="1146"/>
        <v>0.1525543242</v>
      </c>
      <c r="H607" s="134">
        <f t="shared" si="1146"/>
        <v>0.4762759709</v>
      </c>
      <c r="J607" s="135">
        <f t="shared" si="8"/>
        <v>103247754.8</v>
      </c>
      <c r="K607" s="136">
        <f>IF(J607&gt;0,MIN(99,$B$12*Q607/(J607*12*(1-Inputs!$H$16))),99)</f>
        <v>5.692915471</v>
      </c>
      <c r="L607" s="134">
        <f t="shared" si="9"/>
        <v>0.9247253919</v>
      </c>
      <c r="M607" s="134">
        <f t="shared" si="10"/>
        <v>0.9656865605</v>
      </c>
      <c r="N607" s="134">
        <f t="shared" si="11"/>
        <v>0.97467527</v>
      </c>
      <c r="O607" s="134">
        <f t="shared" si="12"/>
        <v>1.018882761</v>
      </c>
      <c r="P607" s="134">
        <f t="shared" si="13"/>
        <v>0.9868197615</v>
      </c>
      <c r="Q607" s="134">
        <f t="shared" si="14"/>
        <v>1.080398153</v>
      </c>
    </row>
    <row r="608" ht="15.0" customHeight="1">
      <c r="A608" s="13">
        <v>569.0</v>
      </c>
      <c r="B608" s="134">
        <f t="shared" ref="B608:D608" si="1147">RAND()</f>
        <v>0.111465771</v>
      </c>
      <c r="C608" s="134">
        <f t="shared" si="1147"/>
        <v>0.115736759</v>
      </c>
      <c r="D608" s="134">
        <f t="shared" si="1147"/>
        <v>0.2088212395</v>
      </c>
      <c r="F608" s="134">
        <f t="shared" ref="F608:H608" si="1148">RAND()</f>
        <v>0.6320002647</v>
      </c>
      <c r="G608" s="134">
        <f t="shared" si="1148"/>
        <v>0.9270726585</v>
      </c>
      <c r="H608" s="134">
        <f t="shared" si="1148"/>
        <v>0.2738995497</v>
      </c>
      <c r="J608" s="135">
        <f t="shared" si="8"/>
        <v>50481349.12</v>
      </c>
      <c r="K608" s="136">
        <f>IF(J608&gt;0,MIN(99,$B$12*Q608/(J608*12*(1-Inputs!$H$16))),99)</f>
        <v>10.91054228</v>
      </c>
      <c r="L608" s="134">
        <f t="shared" si="9"/>
        <v>0.8869816915</v>
      </c>
      <c r="M608" s="134">
        <f t="shared" si="10"/>
        <v>0.9488004515</v>
      </c>
      <c r="N608" s="134">
        <f t="shared" si="11"/>
        <v>0.9828801714</v>
      </c>
      <c r="O608" s="134">
        <f t="shared" si="12"/>
        <v>1.035401988</v>
      </c>
      <c r="P608" s="134">
        <f t="shared" si="13"/>
        <v>1.605969976</v>
      </c>
      <c r="Q608" s="134">
        <f t="shared" si="14"/>
        <v>1.012385161</v>
      </c>
    </row>
    <row r="609" ht="15.0" customHeight="1">
      <c r="A609" s="13">
        <v>570.0</v>
      </c>
      <c r="B609" s="134">
        <f t="shared" ref="B609:D609" si="1149">RAND()</f>
        <v>0.9990802953</v>
      </c>
      <c r="C609" s="134">
        <f t="shared" si="1149"/>
        <v>0.3879242428</v>
      </c>
      <c r="D609" s="134">
        <f t="shared" si="1149"/>
        <v>0.1174084739</v>
      </c>
      <c r="F609" s="134">
        <f t="shared" ref="F609:H609" si="1150">RAND()</f>
        <v>0.6346082296</v>
      </c>
      <c r="G609" s="134">
        <f t="shared" si="1150"/>
        <v>0.8603187167</v>
      </c>
      <c r="H609" s="134">
        <f t="shared" si="1150"/>
        <v>0.7449909809</v>
      </c>
      <c r="J609" s="135">
        <f t="shared" si="8"/>
        <v>342144907.4</v>
      </c>
      <c r="K609" s="136">
        <f>IF(J609&gt;0,MIN(99,$B$12*Q609/(J609*12*(1-Inputs!$H$16))),99)</f>
        <v>1.902096035</v>
      </c>
      <c r="L609" s="134">
        <f t="shared" si="9"/>
        <v>1.263754583</v>
      </c>
      <c r="M609" s="134">
        <f t="shared" si="10"/>
        <v>1.116016659</v>
      </c>
      <c r="N609" s="134">
        <f t="shared" si="11"/>
        <v>0.9718858635</v>
      </c>
      <c r="O609" s="134">
        <f t="shared" si="12"/>
        <v>1.035673302</v>
      </c>
      <c r="P609" s="134">
        <f t="shared" si="13"/>
        <v>1.507370207</v>
      </c>
      <c r="Q609" s="134">
        <f t="shared" si="14"/>
        <v>1.196219842</v>
      </c>
    </row>
    <row r="610" ht="15.0" customHeight="1">
      <c r="A610" s="13">
        <v>571.0</v>
      </c>
      <c r="B610" s="134">
        <f t="shared" ref="B610:D610" si="1151">RAND()</f>
        <v>0.1666609257</v>
      </c>
      <c r="C610" s="134">
        <f t="shared" si="1151"/>
        <v>0.4813347182</v>
      </c>
      <c r="D610" s="134">
        <f t="shared" si="1151"/>
        <v>0.9727499192</v>
      </c>
      <c r="F610" s="134">
        <f t="shared" ref="F610:H610" si="1152">RAND()</f>
        <v>0.3224993013</v>
      </c>
      <c r="G610" s="134">
        <f t="shared" si="1152"/>
        <v>0.01964401345</v>
      </c>
      <c r="H610" s="134">
        <f t="shared" si="1152"/>
        <v>0.9297797396</v>
      </c>
      <c r="J610" s="135">
        <f t="shared" si="8"/>
        <v>81708238.43</v>
      </c>
      <c r="K610" s="136">
        <f>IF(J610&gt;0,MIN(99,$B$12*Q610/(J610*12*(1-Inputs!$H$16))),99)</f>
        <v>8.811082388</v>
      </c>
      <c r="L610" s="134">
        <f t="shared" si="9"/>
        <v>0.911928281</v>
      </c>
      <c r="M610" s="134">
        <f t="shared" si="10"/>
        <v>0.9599612764</v>
      </c>
      <c r="N610" s="134">
        <f t="shared" si="11"/>
        <v>1.071072864</v>
      </c>
      <c r="O610" s="134">
        <f t="shared" si="12"/>
        <v>1.008127313</v>
      </c>
      <c r="P610" s="134">
        <f t="shared" si="13"/>
        <v>0.8764561286</v>
      </c>
      <c r="Q610" s="134">
        <f t="shared" si="14"/>
        <v>1.323316084</v>
      </c>
    </row>
    <row r="611" ht="15.0" customHeight="1">
      <c r="A611" s="13">
        <v>572.0</v>
      </c>
      <c r="B611" s="134">
        <f t="shared" ref="B611:D611" si="1153">RAND()</f>
        <v>0.003720296811</v>
      </c>
      <c r="C611" s="134">
        <f t="shared" si="1153"/>
        <v>0.2761480797</v>
      </c>
      <c r="D611" s="134">
        <f t="shared" si="1153"/>
        <v>0.638366157</v>
      </c>
      <c r="F611" s="134">
        <f t="shared" ref="F611:H611" si="1154">RAND()</f>
        <v>0.02286770246</v>
      </c>
      <c r="G611" s="134">
        <f t="shared" si="1154"/>
        <v>0.3592596903</v>
      </c>
      <c r="H611" s="134">
        <f t="shared" si="1154"/>
        <v>0.1352800154</v>
      </c>
      <c r="J611" s="135">
        <f t="shared" si="8"/>
        <v>15259723.02</v>
      </c>
      <c r="K611" s="136">
        <f>IF(J611&gt;0,MIN(99,$B$12*Q611/(J611*12*(1-Inputs!$H$16))),99)</f>
        <v>34.44940964</v>
      </c>
      <c r="L611" s="134">
        <f t="shared" si="9"/>
        <v>0.7954580887</v>
      </c>
      <c r="M611" s="134">
        <f t="shared" si="10"/>
        <v>0.9078538159</v>
      </c>
      <c r="N611" s="134">
        <f t="shared" si="11"/>
        <v>1.020026696</v>
      </c>
      <c r="O611" s="134">
        <f t="shared" si="12"/>
        <v>0.979772655</v>
      </c>
      <c r="P611" s="134">
        <f t="shared" si="13"/>
        <v>1.10159139</v>
      </c>
      <c r="Q611" s="134">
        <f t="shared" si="14"/>
        <v>0.9662664842</v>
      </c>
    </row>
    <row r="612" ht="15.0" customHeight="1">
      <c r="A612" s="13">
        <v>573.0</v>
      </c>
      <c r="B612" s="134">
        <f t="shared" ref="B612:D612" si="1155">RAND()</f>
        <v>0.08434859477</v>
      </c>
      <c r="C612" s="134">
        <f t="shared" si="1155"/>
        <v>0.2986397242</v>
      </c>
      <c r="D612" s="134">
        <f t="shared" si="1155"/>
        <v>0.84472924</v>
      </c>
      <c r="F612" s="134">
        <f t="shared" ref="F612:H612" si="1156">RAND()</f>
        <v>0.7851571278</v>
      </c>
      <c r="G612" s="134">
        <f t="shared" si="1156"/>
        <v>0.3345937306</v>
      </c>
      <c r="H612" s="134">
        <f t="shared" si="1156"/>
        <v>0.9702419338</v>
      </c>
      <c r="J612" s="135">
        <f t="shared" si="8"/>
        <v>46117863.87</v>
      </c>
      <c r="K612" s="136">
        <f>IF(J612&gt;0,MIN(99,$B$12*Q612/(J612*12*(1-Inputs!$H$16))),99)</f>
        <v>16.18861924</v>
      </c>
      <c r="L612" s="134">
        <f t="shared" si="9"/>
        <v>0.8724126117</v>
      </c>
      <c r="M612" s="134">
        <f t="shared" si="10"/>
        <v>0.9422824082</v>
      </c>
      <c r="N612" s="134">
        <f t="shared" si="11"/>
        <v>1.044283101</v>
      </c>
      <c r="O612" s="134">
        <f t="shared" si="12"/>
        <v>1.053434167</v>
      </c>
      <c r="P612" s="134">
        <f t="shared" si="13"/>
        <v>1.087078637</v>
      </c>
      <c r="Q612" s="134">
        <f t="shared" si="14"/>
        <v>1.372294974</v>
      </c>
    </row>
    <row r="613" ht="15.0" customHeight="1">
      <c r="A613" s="13">
        <v>574.0</v>
      </c>
      <c r="B613" s="134">
        <f t="shared" ref="B613:D613" si="1157">RAND()</f>
        <v>0.09745347818</v>
      </c>
      <c r="C613" s="134">
        <f t="shared" si="1157"/>
        <v>0.04090117121</v>
      </c>
      <c r="D613" s="134">
        <f t="shared" si="1157"/>
        <v>0.6187424416</v>
      </c>
      <c r="F613" s="134">
        <f t="shared" ref="F613:H613" si="1158">RAND()</f>
        <v>0.9175021197</v>
      </c>
      <c r="G613" s="134">
        <f t="shared" si="1158"/>
        <v>0.0449184067</v>
      </c>
      <c r="H613" s="134">
        <f t="shared" si="1158"/>
        <v>0.3515588104</v>
      </c>
      <c r="J613" s="135">
        <f t="shared" si="8"/>
        <v>58728374.98</v>
      </c>
      <c r="K613" s="136">
        <f>IF(J613&gt;0,MIN(99,$B$12*Q613/(J613*12*(1-Inputs!$H$16))),99)</f>
        <v>9.608286163</v>
      </c>
      <c r="L613" s="134">
        <f t="shared" si="9"/>
        <v>0.8797068111</v>
      </c>
      <c r="M613" s="134">
        <f t="shared" si="10"/>
        <v>0.9455457514</v>
      </c>
      <c r="N613" s="134">
        <f t="shared" si="11"/>
        <v>1.018142894</v>
      </c>
      <c r="O613" s="134">
        <f t="shared" si="12"/>
        <v>1.075645426</v>
      </c>
      <c r="P613" s="134">
        <f t="shared" si="13"/>
        <v>0.90809108</v>
      </c>
      <c r="Q613" s="134">
        <f t="shared" si="14"/>
        <v>1.037199728</v>
      </c>
    </row>
    <row r="614" ht="15.0" customHeight="1">
      <c r="A614" s="13">
        <v>575.0</v>
      </c>
      <c r="B614" s="134">
        <f t="shared" ref="B614:D614" si="1159">RAND()</f>
        <v>0.9665110534</v>
      </c>
      <c r="C614" s="134">
        <f t="shared" si="1159"/>
        <v>0.9961453619</v>
      </c>
      <c r="D614" s="134">
        <f t="shared" si="1159"/>
        <v>0.5264886492</v>
      </c>
      <c r="F614" s="134">
        <f t="shared" ref="F614:H614" si="1160">RAND()</f>
        <v>0.7316235406</v>
      </c>
      <c r="G614" s="134">
        <f t="shared" si="1160"/>
        <v>0.6631660961</v>
      </c>
      <c r="H614" s="134">
        <f t="shared" si="1160"/>
        <v>0.8563496807</v>
      </c>
      <c r="J614" s="135">
        <f t="shared" si="8"/>
        <v>289835341.5</v>
      </c>
      <c r="K614" s="136">
        <f>IF(J614&gt;0,MIN(99,$B$12*Q614/(J614*12*(1-Inputs!$H$16))),99)</f>
        <v>2.370610917</v>
      </c>
      <c r="L614" s="134">
        <f t="shared" si="9"/>
        <v>1.207141838</v>
      </c>
      <c r="M614" s="134">
        <f t="shared" si="10"/>
        <v>1.090978821</v>
      </c>
      <c r="N614" s="134">
        <f t="shared" si="11"/>
        <v>1.009875401</v>
      </c>
      <c r="O614" s="134">
        <f t="shared" si="12"/>
        <v>1.04656251</v>
      </c>
      <c r="P614" s="134">
        <f t="shared" si="13"/>
        <v>1.310877763</v>
      </c>
      <c r="Q614" s="134">
        <f t="shared" si="14"/>
        <v>1.262932391</v>
      </c>
    </row>
    <row r="615" ht="15.0" customHeight="1">
      <c r="A615" s="13">
        <v>576.0</v>
      </c>
      <c r="B615" s="134">
        <f t="shared" ref="B615:D615" si="1161">RAND()</f>
        <v>0.8034266683</v>
      </c>
      <c r="C615" s="134">
        <f t="shared" si="1161"/>
        <v>0.2325122171</v>
      </c>
      <c r="D615" s="134">
        <f t="shared" si="1161"/>
        <v>0.5007208103</v>
      </c>
      <c r="F615" s="134">
        <f t="shared" ref="F615:H615" si="1162">RAND()</f>
        <v>0.7603762327</v>
      </c>
      <c r="G615" s="134">
        <f t="shared" si="1162"/>
        <v>0.8841984528</v>
      </c>
      <c r="H615" s="134">
        <f t="shared" si="1162"/>
        <v>0.678816948</v>
      </c>
      <c r="J615" s="135">
        <f t="shared" si="8"/>
        <v>204173594.5</v>
      </c>
      <c r="K615" s="136">
        <f>IF(J615&gt;0,MIN(99,$B$12*Q615/(J615*12*(1-Inputs!$H$16))),99)</f>
        <v>3.100315459</v>
      </c>
      <c r="L615" s="134">
        <f t="shared" si="9"/>
        <v>1.11059552</v>
      </c>
      <c r="M615" s="134">
        <f t="shared" si="10"/>
        <v>1.048279762</v>
      </c>
      <c r="N615" s="134">
        <f t="shared" si="11"/>
        <v>1.007713751</v>
      </c>
      <c r="O615" s="134">
        <f t="shared" si="12"/>
        <v>1.050158004</v>
      </c>
      <c r="P615" s="134">
        <f t="shared" si="13"/>
        <v>1.539172092</v>
      </c>
      <c r="Q615" s="134">
        <f t="shared" si="14"/>
        <v>1.163520238</v>
      </c>
    </row>
    <row r="616" ht="15.0" customHeight="1">
      <c r="A616" s="13">
        <v>577.0</v>
      </c>
      <c r="B616" s="134">
        <f t="shared" ref="B616:D616" si="1163">RAND()</f>
        <v>0.1102431159</v>
      </c>
      <c r="C616" s="134">
        <f t="shared" si="1163"/>
        <v>0.8844214614</v>
      </c>
      <c r="D616" s="134">
        <f t="shared" si="1163"/>
        <v>0.2891392202</v>
      </c>
      <c r="F616" s="134">
        <f t="shared" ref="F616:H616" si="1164">RAND()</f>
        <v>0.3448866172</v>
      </c>
      <c r="G616" s="134">
        <f t="shared" si="1164"/>
        <v>0.7717129415</v>
      </c>
      <c r="H616" s="134">
        <f t="shared" si="1164"/>
        <v>0.002368953096</v>
      </c>
      <c r="J616" s="135">
        <f t="shared" si="8"/>
        <v>60325352.09</v>
      </c>
      <c r="K616" s="136">
        <f>IF(J616&gt;0,MIN(99,$B$12*Q616/(J616*12*(1-Inputs!$H$16))),99)</f>
        <v>7.872981802</v>
      </c>
      <c r="L616" s="134">
        <f t="shared" si="9"/>
        <v>0.886365841</v>
      </c>
      <c r="M616" s="134">
        <f t="shared" si="10"/>
        <v>0.9485249268</v>
      </c>
      <c r="N616" s="134">
        <f t="shared" si="11"/>
        <v>0.9906456943</v>
      </c>
      <c r="O616" s="134">
        <f t="shared" si="12"/>
        <v>1.009855151</v>
      </c>
      <c r="P616" s="134">
        <f t="shared" si="13"/>
        <v>1.408422981</v>
      </c>
      <c r="Q616" s="134">
        <f t="shared" si="14"/>
        <v>0.8729866335</v>
      </c>
    </row>
    <row r="617" ht="15.0" customHeight="1">
      <c r="A617" s="13">
        <v>578.0</v>
      </c>
      <c r="B617" s="134">
        <f t="shared" ref="B617:D617" si="1165">RAND()</f>
        <v>0.4911594475</v>
      </c>
      <c r="C617" s="134">
        <f t="shared" si="1165"/>
        <v>0.1231200922</v>
      </c>
      <c r="D617" s="134">
        <f t="shared" si="1165"/>
        <v>0.7342398314</v>
      </c>
      <c r="F617" s="134">
        <f t="shared" ref="F617:H617" si="1166">RAND()</f>
        <v>0.8328924618</v>
      </c>
      <c r="G617" s="134">
        <f t="shared" si="1166"/>
        <v>0.8459053829</v>
      </c>
      <c r="H617" s="134">
        <f t="shared" si="1166"/>
        <v>0.1435506314</v>
      </c>
      <c r="J617" s="135">
        <f t="shared" si="8"/>
        <v>125235402</v>
      </c>
      <c r="K617" s="136">
        <f>IF(J617&gt;0,MIN(99,$B$12*Q617/(J617*12*(1-Inputs!$H$16))),99)</f>
        <v>4.211667018</v>
      </c>
      <c r="L617" s="134">
        <f t="shared" si="9"/>
        <v>1.010489932</v>
      </c>
      <c r="M617" s="134">
        <f t="shared" si="10"/>
        <v>1.004006562</v>
      </c>
      <c r="N617" s="134">
        <f t="shared" si="11"/>
        <v>1.03007024</v>
      </c>
      <c r="O617" s="134">
        <f t="shared" si="12"/>
        <v>1.060329056</v>
      </c>
      <c r="P617" s="134">
        <f t="shared" si="13"/>
        <v>1.489484113</v>
      </c>
      <c r="Q617" s="134">
        <f t="shared" si="14"/>
        <v>0.9695040402</v>
      </c>
    </row>
    <row r="618" ht="15.0" customHeight="1">
      <c r="A618" s="13">
        <v>579.0</v>
      </c>
      <c r="B618" s="134">
        <f t="shared" ref="B618:D618" si="1167">RAND()</f>
        <v>0.8369487622</v>
      </c>
      <c r="C618" s="134">
        <f t="shared" si="1167"/>
        <v>0.6437782964</v>
      </c>
      <c r="D618" s="134">
        <f t="shared" si="1167"/>
        <v>0.6212928145</v>
      </c>
      <c r="F618" s="134">
        <f t="shared" ref="F618:H618" si="1168">RAND()</f>
        <v>0.03050830333</v>
      </c>
      <c r="G618" s="134">
        <f t="shared" si="1168"/>
        <v>0.1550057204</v>
      </c>
      <c r="H618" s="134">
        <f t="shared" si="1168"/>
        <v>0.9020403588</v>
      </c>
      <c r="J618" s="135">
        <f t="shared" si="8"/>
        <v>245255795.3</v>
      </c>
      <c r="K618" s="136">
        <f>IF(J618&gt;0,MIN(99,$B$12*Q618/(J618*12*(1-Inputs!$H$16))),99)</f>
        <v>2.879076698</v>
      </c>
      <c r="L618" s="134">
        <f t="shared" si="9"/>
        <v>1.125268423</v>
      </c>
      <c r="M618" s="134">
        <f t="shared" si="10"/>
        <v>1.054769074</v>
      </c>
      <c r="N618" s="134">
        <f t="shared" si="11"/>
        <v>1.018384934</v>
      </c>
      <c r="O618" s="134">
        <f t="shared" si="12"/>
        <v>0.9813055503</v>
      </c>
      <c r="P618" s="134">
        <f t="shared" si="13"/>
        <v>0.988197242</v>
      </c>
      <c r="Q618" s="134">
        <f t="shared" si="14"/>
        <v>1.297899288</v>
      </c>
    </row>
    <row r="619" ht="15.0" customHeight="1">
      <c r="A619" s="13">
        <v>580.0</v>
      </c>
      <c r="B619" s="134">
        <f t="shared" ref="B619:D619" si="1169">RAND()</f>
        <v>0.03514036252</v>
      </c>
      <c r="C619" s="134">
        <f t="shared" si="1169"/>
        <v>0.05639960891</v>
      </c>
      <c r="D619" s="134">
        <f t="shared" si="1169"/>
        <v>0.6144219899</v>
      </c>
      <c r="F619" s="134">
        <f t="shared" ref="F619:H619" si="1170">RAND()</f>
        <v>0.7734483137</v>
      </c>
      <c r="G619" s="134">
        <f t="shared" si="1170"/>
        <v>0.8269356764</v>
      </c>
      <c r="H619" s="134">
        <f t="shared" si="1170"/>
        <v>0.2543873854</v>
      </c>
      <c r="J619" s="135">
        <f t="shared" si="8"/>
        <v>15404144.98</v>
      </c>
      <c r="K619" s="136">
        <f>IF(J619&gt;0,MIN(99,$B$12*Q619/(J619*12*(1-Inputs!$H$16))),99)</f>
        <v>35.54251567</v>
      </c>
      <c r="L619" s="134">
        <f t="shared" si="9"/>
        <v>0.8378752001</v>
      </c>
      <c r="M619" s="134">
        <f t="shared" si="10"/>
        <v>0.9268307568</v>
      </c>
      <c r="N619" s="134">
        <f t="shared" si="11"/>
        <v>1.017734707</v>
      </c>
      <c r="O619" s="134">
        <f t="shared" si="12"/>
        <v>1.051863893</v>
      </c>
      <c r="P619" s="134">
        <f t="shared" si="13"/>
        <v>1.467174486</v>
      </c>
      <c r="Q619" s="134">
        <f t="shared" si="14"/>
        <v>1.006362029</v>
      </c>
    </row>
    <row r="620" ht="15.0" customHeight="1">
      <c r="A620" s="13">
        <v>581.0</v>
      </c>
      <c r="B620" s="134">
        <f t="shared" ref="B620:D620" si="1171">RAND()</f>
        <v>0.8601486657</v>
      </c>
      <c r="C620" s="134">
        <f t="shared" si="1171"/>
        <v>0.427206684</v>
      </c>
      <c r="D620" s="134">
        <f t="shared" si="1171"/>
        <v>0.935882505</v>
      </c>
      <c r="F620" s="134">
        <f t="shared" ref="F620:H620" si="1172">RAND()</f>
        <v>0.2750277448</v>
      </c>
      <c r="G620" s="134">
        <f t="shared" si="1172"/>
        <v>0.03850471769</v>
      </c>
      <c r="H620" s="134">
        <f t="shared" si="1172"/>
        <v>0.4772022857</v>
      </c>
      <c r="J620" s="135">
        <f t="shared" si="8"/>
        <v>242920755.5</v>
      </c>
      <c r="K620" s="136">
        <f>IF(J620&gt;0,MIN(99,$B$12*Q620/(J620*12*(1-Inputs!$H$16))),99)</f>
        <v>2.420399252</v>
      </c>
      <c r="L620" s="134">
        <f t="shared" si="9"/>
        <v>1.136329316</v>
      </c>
      <c r="M620" s="134">
        <f t="shared" si="10"/>
        <v>1.05966092</v>
      </c>
      <c r="N620" s="134">
        <f t="shared" si="11"/>
        <v>1.060760488</v>
      </c>
      <c r="O620" s="134">
        <f t="shared" si="12"/>
        <v>1.00455552</v>
      </c>
      <c r="P620" s="134">
        <f t="shared" si="13"/>
        <v>0.9011660814</v>
      </c>
      <c r="Q620" s="134">
        <f t="shared" si="14"/>
        <v>1.080737234</v>
      </c>
    </row>
    <row r="621" ht="15.0" customHeight="1">
      <c r="A621" s="13">
        <v>582.0</v>
      </c>
      <c r="B621" s="134">
        <f t="shared" ref="B621:D621" si="1173">RAND()</f>
        <v>0.9653551792</v>
      </c>
      <c r="C621" s="134">
        <f t="shared" si="1173"/>
        <v>0.6012433844</v>
      </c>
      <c r="D621" s="134">
        <f t="shared" si="1173"/>
        <v>0.6510595129</v>
      </c>
      <c r="F621" s="134">
        <f t="shared" ref="F621:H621" si="1174">RAND()</f>
        <v>0.7906597302</v>
      </c>
      <c r="G621" s="134">
        <f t="shared" si="1174"/>
        <v>0.1430789423</v>
      </c>
      <c r="H621" s="134">
        <f t="shared" si="1174"/>
        <v>0.4008423395</v>
      </c>
      <c r="J621" s="135">
        <f t="shared" si="8"/>
        <v>297094318.7</v>
      </c>
      <c r="K621" s="136">
        <f>IF(J621&gt;0,MIN(99,$B$12*Q621/(J621*12*(1-Inputs!$H$16))),99)</f>
        <v>1.929588757</v>
      </c>
      <c r="L621" s="134">
        <f t="shared" si="9"/>
        <v>1.205980707</v>
      </c>
      <c r="M621" s="134">
        <f t="shared" si="10"/>
        <v>1.090465294</v>
      </c>
      <c r="N621" s="134">
        <f t="shared" si="11"/>
        <v>1.021272552</v>
      </c>
      <c r="O621" s="134">
        <f t="shared" si="12"/>
        <v>1.054186895</v>
      </c>
      <c r="P621" s="134">
        <f t="shared" si="13"/>
        <v>0.9813883928</v>
      </c>
      <c r="Q621" s="134">
        <f t="shared" si="14"/>
        <v>1.053725738</v>
      </c>
    </row>
    <row r="622" ht="15.0" customHeight="1">
      <c r="A622" s="13">
        <v>583.0</v>
      </c>
      <c r="B622" s="134">
        <f t="shared" ref="B622:D622" si="1175">RAND()</f>
        <v>0.4959494597</v>
      </c>
      <c r="C622" s="134">
        <f t="shared" si="1175"/>
        <v>0.3502501723</v>
      </c>
      <c r="D622" s="134">
        <f t="shared" si="1175"/>
        <v>0.05248473868</v>
      </c>
      <c r="F622" s="134">
        <f t="shared" ref="F622:H622" si="1176">RAND()</f>
        <v>0.563516952</v>
      </c>
      <c r="G622" s="134">
        <f t="shared" si="1176"/>
        <v>0.9192928613</v>
      </c>
      <c r="H622" s="134">
        <f t="shared" si="1176"/>
        <v>0.1912338031</v>
      </c>
      <c r="J622" s="135">
        <f t="shared" si="8"/>
        <v>142566486.6</v>
      </c>
      <c r="K622" s="136">
        <f>IF(J622&gt;0,MIN(99,$B$12*Q622/(J622*12*(1-Inputs!$H$16))),99)</f>
        <v>3.764840098</v>
      </c>
      <c r="L622" s="134">
        <f t="shared" si="9"/>
        <v>1.01173787</v>
      </c>
      <c r="M622" s="134">
        <f t="shared" si="10"/>
        <v>1.004558481</v>
      </c>
      <c r="N622" s="134">
        <f t="shared" si="11"/>
        <v>0.9609652906</v>
      </c>
      <c r="O622" s="134">
        <f t="shared" si="12"/>
        <v>1.028593374</v>
      </c>
      <c r="P622" s="134">
        <f t="shared" si="13"/>
        <v>1.592619658</v>
      </c>
      <c r="Q622" s="134">
        <f t="shared" si="14"/>
        <v>0.9865803555</v>
      </c>
    </row>
    <row r="623" ht="15.0" customHeight="1">
      <c r="A623" s="13">
        <v>584.0</v>
      </c>
      <c r="B623" s="134">
        <f t="shared" ref="B623:D623" si="1177">RAND()</f>
        <v>0.9048199763</v>
      </c>
      <c r="C623" s="134">
        <f t="shared" si="1177"/>
        <v>0.473372082</v>
      </c>
      <c r="D623" s="134">
        <f t="shared" si="1177"/>
        <v>0.2446304511</v>
      </c>
      <c r="F623" s="134">
        <f t="shared" ref="F623:H623" si="1178">RAND()</f>
        <v>0.111425936</v>
      </c>
      <c r="G623" s="134">
        <f t="shared" si="1178"/>
        <v>0.1547141665</v>
      </c>
      <c r="H623" s="134">
        <f t="shared" si="1178"/>
        <v>0.09079256201</v>
      </c>
      <c r="J623" s="135">
        <f t="shared" si="8"/>
        <v>279267119.5</v>
      </c>
      <c r="K623" s="136">
        <f>IF(J623&gt;0,MIN(99,$B$12*Q623/(J623*12*(1-Inputs!$H$16))),99)</f>
        <v>1.844527503</v>
      </c>
      <c r="L623" s="134">
        <f t="shared" si="9"/>
        <v>1.160600467</v>
      </c>
      <c r="M623" s="134">
        <f t="shared" si="10"/>
        <v>1.070395201</v>
      </c>
      <c r="N623" s="134">
        <f t="shared" si="11"/>
        <v>0.986499247</v>
      </c>
      <c r="O623" s="134">
        <f t="shared" si="12"/>
        <v>0.9917102255</v>
      </c>
      <c r="P623" s="134">
        <f t="shared" si="13"/>
        <v>0.9880339865</v>
      </c>
      <c r="Q623" s="134">
        <f t="shared" si="14"/>
        <v>0.9468330786</v>
      </c>
    </row>
    <row r="624" ht="15.0" customHeight="1">
      <c r="A624" s="13">
        <v>585.0</v>
      </c>
      <c r="B624" s="134">
        <f t="shared" ref="B624:D624" si="1179">RAND()</f>
        <v>0.08517044626</v>
      </c>
      <c r="C624" s="134">
        <f t="shared" si="1179"/>
        <v>0.8540691563</v>
      </c>
      <c r="D624" s="134">
        <f t="shared" si="1179"/>
        <v>0.9268313343</v>
      </c>
      <c r="F624" s="134">
        <f t="shared" ref="F624:H624" si="1180">RAND()</f>
        <v>0.4940684532</v>
      </c>
      <c r="G624" s="134">
        <f t="shared" si="1180"/>
        <v>0.9427095263</v>
      </c>
      <c r="H624" s="134">
        <f t="shared" si="1180"/>
        <v>0.6892729329</v>
      </c>
      <c r="J624" s="135">
        <f t="shared" si="8"/>
        <v>28208071.83</v>
      </c>
      <c r="K624" s="136">
        <f>IF(J624&gt;0,MIN(99,$B$12*Q624/(J624*12*(1-Inputs!$H$16))),99)</f>
        <v>22.53547695</v>
      </c>
      <c r="L624" s="134">
        <f t="shared" si="9"/>
        <v>0.8728860317</v>
      </c>
      <c r="M624" s="134">
        <f t="shared" si="10"/>
        <v>0.942494211</v>
      </c>
      <c r="N624" s="134">
        <f t="shared" si="11"/>
        <v>1.05873837</v>
      </c>
      <c r="O624" s="134">
        <f t="shared" si="12"/>
        <v>1.022215512</v>
      </c>
      <c r="P624" s="134">
        <f t="shared" si="13"/>
        <v>1.6351597</v>
      </c>
      <c r="Q624" s="134">
        <f t="shared" si="14"/>
        <v>1.168445973</v>
      </c>
    </row>
    <row r="625" ht="15.0" customHeight="1">
      <c r="A625" s="13">
        <v>586.0</v>
      </c>
      <c r="B625" s="134">
        <f t="shared" ref="B625:D625" si="1181">RAND()</f>
        <v>0.1682056201</v>
      </c>
      <c r="C625" s="134">
        <f t="shared" si="1181"/>
        <v>0.6069708638</v>
      </c>
      <c r="D625" s="134">
        <f t="shared" si="1181"/>
        <v>0.2161801169</v>
      </c>
      <c r="F625" s="134">
        <f t="shared" ref="F625:H625" si="1182">RAND()</f>
        <v>0.3461349237</v>
      </c>
      <c r="G625" s="134">
        <f t="shared" si="1182"/>
        <v>0.1268889164</v>
      </c>
      <c r="H625" s="134">
        <f t="shared" si="1182"/>
        <v>0.1380754282</v>
      </c>
      <c r="J625" s="135">
        <f t="shared" si="8"/>
        <v>95384406.36</v>
      </c>
      <c r="K625" s="136">
        <f>IF(J625&gt;0,MIN(99,$B$12*Q625/(J625*12*(1-Inputs!$H$16))),99)</f>
        <v>5.5175649</v>
      </c>
      <c r="L625" s="134">
        <f t="shared" si="9"/>
        <v>0.9125613764</v>
      </c>
      <c r="M625" s="134">
        <f t="shared" si="10"/>
        <v>0.9602445161</v>
      </c>
      <c r="N625" s="134">
        <f t="shared" si="11"/>
        <v>0.9836478187</v>
      </c>
      <c r="O625" s="134">
        <f t="shared" si="12"/>
        <v>1.009952357</v>
      </c>
      <c r="P625" s="134">
        <f t="shared" si="13"/>
        <v>0.971673893</v>
      </c>
      <c r="Q625" s="134">
        <f t="shared" si="14"/>
        <v>0.9673715539</v>
      </c>
    </row>
    <row r="626" ht="15.0" customHeight="1">
      <c r="A626" s="13">
        <v>587.0</v>
      </c>
      <c r="B626" s="134">
        <f t="shared" ref="B626:D626" si="1183">RAND()</f>
        <v>0.5679659151</v>
      </c>
      <c r="C626" s="134">
        <f t="shared" si="1183"/>
        <v>0.7314881459</v>
      </c>
      <c r="D626" s="134">
        <f t="shared" si="1183"/>
        <v>0.7750442614</v>
      </c>
      <c r="F626" s="134">
        <f t="shared" ref="F626:H626" si="1184">RAND()</f>
        <v>0.9157796496</v>
      </c>
      <c r="G626" s="134">
        <f t="shared" si="1184"/>
        <v>0.7540699615</v>
      </c>
      <c r="H626" s="134">
        <f t="shared" si="1184"/>
        <v>0.3637052574</v>
      </c>
      <c r="J626" s="135">
        <f t="shared" si="8"/>
        <v>140230457.1</v>
      </c>
      <c r="K626" s="136">
        <f>IF(J626&gt;0,MIN(99,$B$12*Q626/(J626*12*(1-Inputs!$H$16))),99)</f>
        <v>4.039509425</v>
      </c>
      <c r="L626" s="134">
        <f t="shared" si="9"/>
        <v>1.031269233</v>
      </c>
      <c r="M626" s="134">
        <f t="shared" si="10"/>
        <v>1.01319652</v>
      </c>
      <c r="N626" s="134">
        <f t="shared" si="11"/>
        <v>1.034893575</v>
      </c>
      <c r="O626" s="134">
        <f t="shared" si="12"/>
        <v>1.075269585</v>
      </c>
      <c r="P626" s="134">
        <f t="shared" si="13"/>
        <v>1.391192918</v>
      </c>
      <c r="Q626" s="134">
        <f t="shared" si="14"/>
        <v>1.0412127</v>
      </c>
    </row>
    <row r="627" ht="15.0" customHeight="1">
      <c r="A627" s="13">
        <v>588.0</v>
      </c>
      <c r="B627" s="134">
        <f t="shared" ref="B627:D627" si="1185">RAND()</f>
        <v>0.3550864075</v>
      </c>
      <c r="C627" s="134">
        <f t="shared" si="1185"/>
        <v>0.6702876537</v>
      </c>
      <c r="D627" s="134">
        <f t="shared" si="1185"/>
        <v>0.8682588528</v>
      </c>
      <c r="F627" s="134">
        <f t="shared" ref="F627:H627" si="1186">RAND()</f>
        <v>0.06680729891</v>
      </c>
      <c r="G627" s="134">
        <f t="shared" si="1186"/>
        <v>0.7860378326</v>
      </c>
      <c r="H627" s="134">
        <f t="shared" si="1186"/>
        <v>0.2892772758</v>
      </c>
      <c r="J627" s="135">
        <f t="shared" si="8"/>
        <v>111316777.4</v>
      </c>
      <c r="K627" s="136">
        <f>IF(J627&gt;0,MIN(99,$B$12*Q627/(J627*12*(1-Inputs!$H$16))),99)</f>
        <v>4.971330962</v>
      </c>
      <c r="L627" s="134">
        <f t="shared" si="9"/>
        <v>0.9748680086</v>
      </c>
      <c r="M627" s="134">
        <f t="shared" si="10"/>
        <v>0.988119806</v>
      </c>
      <c r="N627" s="134">
        <f t="shared" si="11"/>
        <v>1.047919817</v>
      </c>
      <c r="O627" s="134">
        <f t="shared" si="12"/>
        <v>0.9867847983</v>
      </c>
      <c r="P627" s="134">
        <f t="shared" si="13"/>
        <v>1.422908802</v>
      </c>
      <c r="Q627" s="134">
        <f t="shared" si="14"/>
        <v>1.0171893</v>
      </c>
    </row>
    <row r="628" ht="15.0" customHeight="1">
      <c r="A628" s="13">
        <v>589.0</v>
      </c>
      <c r="B628" s="134">
        <f t="shared" ref="B628:D628" si="1187">RAND()</f>
        <v>0.07524711228</v>
      </c>
      <c r="C628" s="134">
        <f t="shared" si="1187"/>
        <v>0.655504032</v>
      </c>
      <c r="D628" s="134">
        <f t="shared" si="1187"/>
        <v>0.8066598896</v>
      </c>
      <c r="F628" s="134">
        <f t="shared" ref="F628:H628" si="1188">RAND()</f>
        <v>0.8908020126</v>
      </c>
      <c r="G628" s="134">
        <f t="shared" si="1188"/>
        <v>0.2369541159</v>
      </c>
      <c r="H628" s="134">
        <f t="shared" si="1188"/>
        <v>0.7042371243</v>
      </c>
      <c r="J628" s="135">
        <f t="shared" si="8"/>
        <v>42997338.57</v>
      </c>
      <c r="K628" s="136">
        <f>IF(J628&gt;0,MIN(99,$B$12*Q628/(J628*12*(1-Inputs!$H$16))),99)</f>
        <v>14.8752763</v>
      </c>
      <c r="L628" s="134">
        <f t="shared" si="9"/>
        <v>0.8670070657</v>
      </c>
      <c r="M628" s="134">
        <f t="shared" si="10"/>
        <v>0.9398640274</v>
      </c>
      <c r="N628" s="134">
        <f t="shared" si="11"/>
        <v>1.038940728</v>
      </c>
      <c r="O628" s="134">
        <f t="shared" si="12"/>
        <v>1.070199078</v>
      </c>
      <c r="P628" s="134">
        <f t="shared" si="13"/>
        <v>1.032114977</v>
      </c>
      <c r="Q628" s="134">
        <f t="shared" si="14"/>
        <v>1.175642011</v>
      </c>
    </row>
    <row r="629" ht="15.0" customHeight="1">
      <c r="A629" s="13">
        <v>590.0</v>
      </c>
      <c r="B629" s="134">
        <f t="shared" ref="B629:D629" si="1189">RAND()</f>
        <v>0.8075123233</v>
      </c>
      <c r="C629" s="134">
        <f t="shared" si="1189"/>
        <v>0.7334703877</v>
      </c>
      <c r="D629" s="134">
        <f t="shared" si="1189"/>
        <v>0.562246817</v>
      </c>
      <c r="F629" s="134">
        <f t="shared" ref="F629:H629" si="1190">RAND()</f>
        <v>0.6115393779</v>
      </c>
      <c r="G629" s="134">
        <f t="shared" si="1190"/>
        <v>0.6782079292</v>
      </c>
      <c r="H629" s="134">
        <f t="shared" si="1190"/>
        <v>0.8620631127</v>
      </c>
      <c r="J629" s="135">
        <f t="shared" si="8"/>
        <v>215203415</v>
      </c>
      <c r="K629" s="136">
        <f>IF(J629&gt;0,MIN(99,$B$12*Q629/(J629*12*(1-Inputs!$H$16))),99)</f>
        <v>3.202925263</v>
      </c>
      <c r="L629" s="134">
        <f t="shared" si="9"/>
        <v>1.112313014</v>
      </c>
      <c r="M629" s="134">
        <f t="shared" si="10"/>
        <v>1.049039349</v>
      </c>
      <c r="N629" s="134">
        <f t="shared" si="11"/>
        <v>1.012975071</v>
      </c>
      <c r="O629" s="134">
        <f t="shared" si="12"/>
        <v>1.033305903</v>
      </c>
      <c r="P629" s="134">
        <f t="shared" si="13"/>
        <v>1.323341205</v>
      </c>
      <c r="Q629" s="134">
        <f t="shared" si="14"/>
        <v>1.266964497</v>
      </c>
    </row>
    <row r="630" ht="15.0" customHeight="1">
      <c r="A630" s="13">
        <v>591.0</v>
      </c>
      <c r="B630" s="134">
        <f t="shared" ref="B630:D630" si="1191">RAND()</f>
        <v>0.786648136</v>
      </c>
      <c r="C630" s="134">
        <f t="shared" si="1191"/>
        <v>0.2684258187</v>
      </c>
      <c r="D630" s="134">
        <f t="shared" si="1191"/>
        <v>0.9730773604</v>
      </c>
      <c r="F630" s="134">
        <f t="shared" ref="F630:H630" si="1192">RAND()</f>
        <v>0.5880946458</v>
      </c>
      <c r="G630" s="134">
        <f t="shared" si="1192"/>
        <v>0.1117477321</v>
      </c>
      <c r="H630" s="134">
        <f t="shared" si="1192"/>
        <v>0.2498181276</v>
      </c>
      <c r="J630" s="135">
        <f t="shared" si="8"/>
        <v>208822018.5</v>
      </c>
      <c r="K630" s="136">
        <f>IF(J630&gt;0,MIN(99,$B$12*Q630/(J630*12*(1-Inputs!$H$16))),99)</f>
        <v>2.618214952</v>
      </c>
      <c r="L630" s="134">
        <f t="shared" si="9"/>
        <v>1.103722794</v>
      </c>
      <c r="M630" s="134">
        <f t="shared" si="10"/>
        <v>1.045240195</v>
      </c>
      <c r="N630" s="134">
        <f t="shared" si="11"/>
        <v>1.071189256</v>
      </c>
      <c r="O630" s="134">
        <f t="shared" si="12"/>
        <v>1.030970911</v>
      </c>
      <c r="P630" s="134">
        <f t="shared" si="13"/>
        <v>0.9620101899</v>
      </c>
      <c r="Q630" s="134">
        <f t="shared" si="14"/>
        <v>1.004962992</v>
      </c>
    </row>
    <row r="631" ht="15.0" customHeight="1">
      <c r="A631" s="13">
        <v>592.0</v>
      </c>
      <c r="B631" s="134">
        <f t="shared" ref="B631:D631" si="1193">RAND()</f>
        <v>0.001407237247</v>
      </c>
      <c r="C631" s="134">
        <f t="shared" si="1193"/>
        <v>0.6131778786</v>
      </c>
      <c r="D631" s="134">
        <f t="shared" si="1193"/>
        <v>0.9957343604</v>
      </c>
      <c r="F631" s="134">
        <f t="shared" ref="F631:H631" si="1194">RAND()</f>
        <v>0.4746495954</v>
      </c>
      <c r="G631" s="134">
        <f t="shared" si="1194"/>
        <v>0.6930320854</v>
      </c>
      <c r="H631" s="134">
        <f t="shared" si="1194"/>
        <v>0.9057276298</v>
      </c>
      <c r="J631" s="135">
        <f t="shared" si="8"/>
        <v>-15655581.12</v>
      </c>
      <c r="K631" s="136">
        <f>IF(J631&gt;0,MIN(99,$B$12*Q631/(J631*12*(1-Inputs!$H$16))),99)</f>
        <v>99</v>
      </c>
      <c r="L631" s="134">
        <f t="shared" si="9"/>
        <v>0.7875822967</v>
      </c>
      <c r="M631" s="134">
        <f t="shared" si="10"/>
        <v>0.9043302748</v>
      </c>
      <c r="N631" s="134">
        <f t="shared" si="11"/>
        <v>1.08274548</v>
      </c>
      <c r="O631" s="134">
        <f t="shared" si="12"/>
        <v>1.020511816</v>
      </c>
      <c r="P631" s="134">
        <f t="shared" si="13"/>
        <v>1.335912676</v>
      </c>
      <c r="Q631" s="134">
        <f t="shared" si="14"/>
        <v>1.301048712</v>
      </c>
    </row>
    <row r="632" ht="15.0" customHeight="1">
      <c r="A632" s="13">
        <v>593.0</v>
      </c>
      <c r="B632" s="134">
        <f t="shared" ref="B632:D632" si="1195">RAND()</f>
        <v>0.7781730773</v>
      </c>
      <c r="C632" s="134">
        <f t="shared" si="1195"/>
        <v>0.2159922184</v>
      </c>
      <c r="D632" s="134">
        <f t="shared" si="1195"/>
        <v>0.7076510192</v>
      </c>
      <c r="F632" s="134">
        <f t="shared" ref="F632:H632" si="1196">RAND()</f>
        <v>0.4201385842</v>
      </c>
      <c r="G632" s="134">
        <f t="shared" si="1196"/>
        <v>0.5963934256</v>
      </c>
      <c r="H632" s="134">
        <f t="shared" si="1196"/>
        <v>0.6032361517</v>
      </c>
      <c r="J632" s="135">
        <f t="shared" si="8"/>
        <v>208035503.1</v>
      </c>
      <c r="K632" s="136">
        <f>IF(J632&gt;0,MIN(99,$B$12*Q632/(J632*12*(1-Inputs!$H$16))),99)</f>
        <v>2.95528744</v>
      </c>
      <c r="L632" s="134">
        <f t="shared" si="9"/>
        <v>1.100354067</v>
      </c>
      <c r="M632" s="134">
        <f t="shared" si="10"/>
        <v>1.043750325</v>
      </c>
      <c r="N632" s="134">
        <f t="shared" si="11"/>
        <v>1.027124858</v>
      </c>
      <c r="O632" s="134">
        <f t="shared" si="12"/>
        <v>1.015890863</v>
      </c>
      <c r="P632" s="134">
        <f t="shared" si="13"/>
        <v>1.258647182</v>
      </c>
      <c r="Q632" s="134">
        <f t="shared" si="14"/>
        <v>1.130070835</v>
      </c>
    </row>
    <row r="633" ht="15.0" customHeight="1">
      <c r="A633" s="13">
        <v>594.0</v>
      </c>
      <c r="B633" s="134">
        <f t="shared" ref="B633:D633" si="1197">RAND()</f>
        <v>0.5322718436</v>
      </c>
      <c r="C633" s="134">
        <f t="shared" si="1197"/>
        <v>0.6767114102</v>
      </c>
      <c r="D633" s="134">
        <f t="shared" si="1197"/>
        <v>0.3047005893</v>
      </c>
      <c r="F633" s="134">
        <f t="shared" ref="F633:H633" si="1198">RAND()</f>
        <v>0.2814928323</v>
      </c>
      <c r="G633" s="134">
        <f t="shared" si="1198"/>
        <v>0.4713634494</v>
      </c>
      <c r="H633" s="134">
        <f t="shared" si="1198"/>
        <v>0.4780548344</v>
      </c>
      <c r="J633" s="135">
        <f t="shared" si="8"/>
        <v>162609024</v>
      </c>
      <c r="K633" s="136">
        <f>IF(J633&gt;0,MIN(99,$B$12*Q633/(J633*12*(1-Inputs!$H$16))),99)</f>
        <v>3.61686657</v>
      </c>
      <c r="L633" s="134">
        <f t="shared" si="9"/>
        <v>1.021400667</v>
      </c>
      <c r="M633" s="134">
        <f t="shared" si="10"/>
        <v>1.008831998</v>
      </c>
      <c r="N633" s="134">
        <f t="shared" si="11"/>
        <v>0.9920190388</v>
      </c>
      <c r="O633" s="134">
        <f t="shared" si="12"/>
        <v>1.005034931</v>
      </c>
      <c r="P633" s="134">
        <f t="shared" si="13"/>
        <v>1.171377971</v>
      </c>
      <c r="Q633" s="134">
        <f t="shared" si="14"/>
        <v>1.081049578</v>
      </c>
    </row>
    <row r="634" ht="15.0" customHeight="1">
      <c r="A634" s="13">
        <v>595.0</v>
      </c>
      <c r="B634" s="134">
        <f t="shared" ref="B634:D634" si="1199">RAND()</f>
        <v>0.5356075254</v>
      </c>
      <c r="C634" s="134">
        <f t="shared" si="1199"/>
        <v>0.6485733399</v>
      </c>
      <c r="D634" s="134">
        <f t="shared" si="1199"/>
        <v>0.5968458642</v>
      </c>
      <c r="F634" s="134">
        <f t="shared" ref="F634:H634" si="1200">RAND()</f>
        <v>0.163133011</v>
      </c>
      <c r="G634" s="134">
        <f t="shared" si="1200"/>
        <v>0.8672634406</v>
      </c>
      <c r="H634" s="134">
        <f t="shared" si="1200"/>
        <v>0.2524765463</v>
      </c>
      <c r="J634" s="135">
        <f t="shared" si="8"/>
        <v>146396467.1</v>
      </c>
      <c r="K634" s="136">
        <f>IF(J634&gt;0,MIN(99,$B$12*Q634/(J634*12*(1-Inputs!$H$16))),99)</f>
        <v>3.73768227</v>
      </c>
      <c r="L634" s="134">
        <f t="shared" si="9"/>
        <v>1.022306579</v>
      </c>
      <c r="M634" s="134">
        <f t="shared" si="10"/>
        <v>1.009232651</v>
      </c>
      <c r="N634" s="134">
        <f t="shared" si="11"/>
        <v>1.016097272</v>
      </c>
      <c r="O634" s="134">
        <f t="shared" si="12"/>
        <v>0.9962929176</v>
      </c>
      <c r="P634" s="134">
        <f t="shared" si="13"/>
        <v>1.51631769</v>
      </c>
      <c r="Q634" s="134">
        <f t="shared" si="14"/>
        <v>1.00577644</v>
      </c>
    </row>
    <row r="635" ht="15.0" customHeight="1">
      <c r="A635" s="13">
        <v>596.0</v>
      </c>
      <c r="B635" s="134">
        <f t="shared" ref="B635:D635" si="1201">RAND()</f>
        <v>0.9559850312</v>
      </c>
      <c r="C635" s="134">
        <f t="shared" si="1201"/>
        <v>0.01924757342</v>
      </c>
      <c r="D635" s="134">
        <f t="shared" si="1201"/>
        <v>0.04220822859</v>
      </c>
      <c r="F635" s="134">
        <f t="shared" ref="F635:H635" si="1202">RAND()</f>
        <v>0.3356497578</v>
      </c>
      <c r="G635" s="134">
        <f t="shared" si="1202"/>
        <v>0.7306191127</v>
      </c>
      <c r="H635" s="134">
        <f t="shared" si="1202"/>
        <v>0.5417273933</v>
      </c>
      <c r="J635" s="135">
        <f t="shared" si="8"/>
        <v>298899900.1</v>
      </c>
      <c r="K635" s="136">
        <f>IF(J635&gt;0,MIN(99,$B$12*Q635/(J635*12*(1-Inputs!$H$16))),99)</f>
        <v>2.011523532</v>
      </c>
      <c r="L635" s="134">
        <f t="shared" si="9"/>
        <v>1.197205025</v>
      </c>
      <c r="M635" s="134">
        <f t="shared" si="10"/>
        <v>1.086584116</v>
      </c>
      <c r="N635" s="134">
        <f t="shared" si="11"/>
        <v>0.9586909366</v>
      </c>
      <c r="O635" s="134">
        <f t="shared" si="12"/>
        <v>1.009138734</v>
      </c>
      <c r="P635" s="134">
        <f t="shared" si="13"/>
        <v>1.369221162</v>
      </c>
      <c r="Q635" s="134">
        <f t="shared" si="14"/>
        <v>1.105145268</v>
      </c>
    </row>
    <row r="636" ht="15.0" customHeight="1">
      <c r="A636" s="13">
        <v>597.0</v>
      </c>
      <c r="B636" s="134">
        <f t="shared" ref="B636:D636" si="1203">RAND()</f>
        <v>0.6495021944</v>
      </c>
      <c r="C636" s="134">
        <f t="shared" si="1203"/>
        <v>0.380634304</v>
      </c>
      <c r="D636" s="134">
        <f t="shared" si="1203"/>
        <v>0.31091668</v>
      </c>
      <c r="F636" s="134">
        <f t="shared" ref="F636:H636" si="1204">RAND()</f>
        <v>0.8008312482</v>
      </c>
      <c r="G636" s="134">
        <f t="shared" si="1204"/>
        <v>0.5589235761</v>
      </c>
      <c r="H636" s="134">
        <f t="shared" si="1204"/>
        <v>0.835640203</v>
      </c>
      <c r="J636" s="135">
        <f t="shared" si="8"/>
        <v>176745174.9</v>
      </c>
      <c r="K636" s="136">
        <f>IF(J636&gt;0,MIN(99,$B$12*Q636/(J636*12*(1-Inputs!$H$16))),99)</f>
        <v>3.844406837</v>
      </c>
      <c r="L636" s="134">
        <f t="shared" si="9"/>
        <v>1.055469938</v>
      </c>
      <c r="M636" s="134">
        <f t="shared" si="10"/>
        <v>1.023899645</v>
      </c>
      <c r="N636" s="134">
        <f t="shared" si="11"/>
        <v>0.9925578003</v>
      </c>
      <c r="O636" s="134">
        <f t="shared" si="12"/>
        <v>1.055604831</v>
      </c>
      <c r="P636" s="134">
        <f t="shared" si="13"/>
        <v>1.231227</v>
      </c>
      <c r="Q636" s="134">
        <f t="shared" si="14"/>
        <v>1.248950967</v>
      </c>
    </row>
    <row r="637" ht="15.0" customHeight="1">
      <c r="A637" s="13">
        <v>598.0</v>
      </c>
      <c r="B637" s="134">
        <f t="shared" ref="B637:D637" si="1205">RAND()</f>
        <v>0.6139406317</v>
      </c>
      <c r="C637" s="134">
        <f t="shared" si="1205"/>
        <v>0.002493831317</v>
      </c>
      <c r="D637" s="134">
        <f t="shared" si="1205"/>
        <v>0.8819978313</v>
      </c>
      <c r="F637" s="134">
        <f t="shared" ref="F637:H637" si="1206">RAND()</f>
        <v>0.7604128691</v>
      </c>
      <c r="G637" s="134">
        <f t="shared" si="1206"/>
        <v>0.3292690562</v>
      </c>
      <c r="H637" s="134">
        <f t="shared" si="1206"/>
        <v>0.03971320609</v>
      </c>
      <c r="J637" s="135">
        <f t="shared" si="8"/>
        <v>162227175.8</v>
      </c>
      <c r="K637" s="136">
        <f>IF(J637&gt;0,MIN(99,$B$12*Q637/(J637*12*(1-Inputs!$H$16))),99)</f>
        <v>3.075256592</v>
      </c>
      <c r="L637" s="134">
        <f t="shared" si="9"/>
        <v>1.044602163</v>
      </c>
      <c r="M637" s="134">
        <f t="shared" si="10"/>
        <v>1.019093208</v>
      </c>
      <c r="N637" s="134">
        <f t="shared" si="11"/>
        <v>1.050195181</v>
      </c>
      <c r="O637" s="134">
        <f t="shared" si="12"/>
        <v>1.050162719</v>
      </c>
      <c r="P637" s="134">
        <f t="shared" si="13"/>
        <v>1.083981241</v>
      </c>
      <c r="Q637" s="134">
        <f t="shared" si="14"/>
        <v>0.917008681</v>
      </c>
    </row>
    <row r="638" ht="15.0" customHeight="1">
      <c r="A638" s="13">
        <v>599.0</v>
      </c>
      <c r="B638" s="134">
        <f t="shared" ref="B638:D638" si="1207">RAND()</f>
        <v>0.606894402</v>
      </c>
      <c r="C638" s="134">
        <f t="shared" si="1207"/>
        <v>0.08537180302</v>
      </c>
      <c r="D638" s="134">
        <f t="shared" si="1207"/>
        <v>0.2353080637</v>
      </c>
      <c r="F638" s="134">
        <f t="shared" ref="F638:H638" si="1208">RAND()</f>
        <v>0.0125378582</v>
      </c>
      <c r="G638" s="134">
        <f t="shared" si="1208"/>
        <v>0.9301731164</v>
      </c>
      <c r="H638" s="134">
        <f t="shared" si="1208"/>
        <v>0.2237078622</v>
      </c>
      <c r="J638" s="135">
        <f t="shared" si="8"/>
        <v>167459407.6</v>
      </c>
      <c r="K638" s="136">
        <f>IF(J638&gt;0,MIN(99,$B$12*Q638/(J638*12*(1-Inputs!$H$16))),99)</f>
        <v>3.239071449</v>
      </c>
      <c r="L638" s="134">
        <f t="shared" si="9"/>
        <v>1.042509098</v>
      </c>
      <c r="M638" s="134">
        <f t="shared" si="10"/>
        <v>1.018167519</v>
      </c>
      <c r="N638" s="134">
        <f t="shared" si="11"/>
        <v>0.9855841147</v>
      </c>
      <c r="O638" s="134">
        <f t="shared" si="12"/>
        <v>0.9772065706</v>
      </c>
      <c r="P638" s="134">
        <f t="shared" si="13"/>
        <v>1.611488022</v>
      </c>
      <c r="Q638" s="134">
        <f t="shared" si="14"/>
        <v>0.9970078083</v>
      </c>
    </row>
    <row r="639" ht="15.0" customHeight="1">
      <c r="A639" s="13">
        <v>600.0</v>
      </c>
      <c r="B639" s="134">
        <f t="shared" ref="B639:D639" si="1209">RAND()</f>
        <v>0.8577394585</v>
      </c>
      <c r="C639" s="134">
        <f t="shared" si="1209"/>
        <v>0.1236522921</v>
      </c>
      <c r="D639" s="134">
        <f t="shared" si="1209"/>
        <v>0.3361337786</v>
      </c>
      <c r="F639" s="134">
        <f t="shared" ref="F639:H639" si="1210">RAND()</f>
        <v>0.9230898896</v>
      </c>
      <c r="G639" s="134">
        <f t="shared" si="1210"/>
        <v>0.5499612129</v>
      </c>
      <c r="H639" s="134">
        <f t="shared" si="1210"/>
        <v>0.1241909808</v>
      </c>
      <c r="J639" s="135">
        <f t="shared" si="8"/>
        <v>233840343.4</v>
      </c>
      <c r="K639" s="136">
        <f>IF(J639&gt;0,MIN(99,$B$12*Q639/(J639*12*(1-Inputs!$H$16))),99)</f>
        <v>2.237595293</v>
      </c>
      <c r="L639" s="134">
        <f t="shared" si="9"/>
        <v>1.135139983</v>
      </c>
      <c r="M639" s="134">
        <f t="shared" si="10"/>
        <v>1.059134919</v>
      </c>
      <c r="N639" s="134">
        <f t="shared" si="11"/>
        <v>0.9946900477</v>
      </c>
      <c r="O639" s="134">
        <f t="shared" si="12"/>
        <v>1.076892488</v>
      </c>
      <c r="P639" s="134">
        <f t="shared" si="13"/>
        <v>1.22484305</v>
      </c>
      <c r="Q639" s="134">
        <f t="shared" si="14"/>
        <v>0.961766091</v>
      </c>
    </row>
    <row r="640" ht="15.0" customHeight="1">
      <c r="A640" s="13">
        <v>601.0</v>
      </c>
      <c r="B640" s="134">
        <f t="shared" ref="B640:D640" si="1211">RAND()</f>
        <v>0.7423970848</v>
      </c>
      <c r="C640" s="134">
        <f t="shared" si="1211"/>
        <v>0.1048085448</v>
      </c>
      <c r="D640" s="134">
        <f t="shared" si="1211"/>
        <v>0.8938773895</v>
      </c>
      <c r="F640" s="134">
        <f t="shared" ref="F640:H640" si="1212">RAND()</f>
        <v>0.7128520886</v>
      </c>
      <c r="G640" s="134">
        <f t="shared" si="1212"/>
        <v>0.03859221156</v>
      </c>
      <c r="H640" s="134">
        <f t="shared" si="1212"/>
        <v>0.1286932323</v>
      </c>
      <c r="J640" s="135">
        <f t="shared" si="8"/>
        <v>200655740.2</v>
      </c>
      <c r="K640" s="136">
        <f>IF(J640&gt;0,MIN(99,$B$12*Q640/(J640*12*(1-Inputs!$H$16))),99)</f>
        <v>2.612667827</v>
      </c>
      <c r="L640" s="134">
        <f t="shared" si="9"/>
        <v>1.086796916</v>
      </c>
      <c r="M640" s="134">
        <f t="shared" si="10"/>
        <v>1.037754472</v>
      </c>
      <c r="N640" s="134">
        <f t="shared" si="11"/>
        <v>1.052271944</v>
      </c>
      <c r="O640" s="134">
        <f t="shared" si="12"/>
        <v>1.04431839</v>
      </c>
      <c r="P640" s="134">
        <f t="shared" si="13"/>
        <v>0.9012642771</v>
      </c>
      <c r="Q640" s="134">
        <f t="shared" si="14"/>
        <v>0.9636165864</v>
      </c>
    </row>
    <row r="641" ht="15.0" customHeight="1">
      <c r="A641" s="13">
        <v>602.0</v>
      </c>
      <c r="B641" s="134">
        <f t="shared" ref="B641:D641" si="1213">RAND()</f>
        <v>0.08222217266</v>
      </c>
      <c r="C641" s="134">
        <f t="shared" si="1213"/>
        <v>0.1725034698</v>
      </c>
      <c r="D641" s="134">
        <f t="shared" si="1213"/>
        <v>0.7757669656</v>
      </c>
      <c r="F641" s="134">
        <f t="shared" ref="F641:H641" si="1214">RAND()</f>
        <v>0.8571684264</v>
      </c>
      <c r="G641" s="134">
        <f t="shared" si="1214"/>
        <v>0.1495327535</v>
      </c>
      <c r="H641" s="134">
        <f t="shared" si="1214"/>
        <v>0.6401979735</v>
      </c>
      <c r="J641" s="135">
        <f t="shared" si="8"/>
        <v>49135937.37</v>
      </c>
      <c r="K641" s="136">
        <f>IF(J641&gt;0,MIN(99,$B$12*Q641/(J641*12*(1-Inputs!$H$16))),99)</f>
        <v>12.68856539</v>
      </c>
      <c r="L641" s="134">
        <f t="shared" si="9"/>
        <v>0.8711768913</v>
      </c>
      <c r="M641" s="134">
        <f t="shared" si="10"/>
        <v>0.9417295608</v>
      </c>
      <c r="N641" s="134">
        <f t="shared" si="11"/>
        <v>1.034982787</v>
      </c>
      <c r="O641" s="134">
        <f t="shared" si="12"/>
        <v>1.06421691</v>
      </c>
      <c r="P641" s="134">
        <f t="shared" si="13"/>
        <v>0.9851065715</v>
      </c>
      <c r="Q641" s="134">
        <f t="shared" si="14"/>
        <v>1.145988472</v>
      </c>
    </row>
    <row r="642" ht="15.0" customHeight="1">
      <c r="A642" s="13">
        <v>603.0</v>
      </c>
      <c r="B642" s="134">
        <f t="shared" ref="B642:D642" si="1215">RAND()</f>
        <v>0.2609594937</v>
      </c>
      <c r="C642" s="134">
        <f t="shared" si="1215"/>
        <v>0.9432429895</v>
      </c>
      <c r="D642" s="134">
        <f t="shared" si="1215"/>
        <v>0.02122270581</v>
      </c>
      <c r="F642" s="134">
        <f t="shared" ref="F642:H642" si="1216">RAND()</f>
        <v>0.7361106666</v>
      </c>
      <c r="G642" s="134">
        <f t="shared" si="1216"/>
        <v>0.5110112666</v>
      </c>
      <c r="H642" s="134">
        <f t="shared" si="1216"/>
        <v>0.3903487088</v>
      </c>
      <c r="J642" s="135">
        <f t="shared" si="8"/>
        <v>109709408.3</v>
      </c>
      <c r="K642" s="136">
        <f>IF(J642&gt;0,MIN(99,$B$12*Q642/(J642*12*(1-Inputs!$H$16))),99)</f>
        <v>5.207624352</v>
      </c>
      <c r="L642" s="134">
        <f t="shared" si="9"/>
        <v>0.9463415975</v>
      </c>
      <c r="M642" s="134">
        <f t="shared" si="10"/>
        <v>0.975357409</v>
      </c>
      <c r="N642" s="134">
        <f t="shared" si="11"/>
        <v>0.9529431563</v>
      </c>
      <c r="O642" s="134">
        <f t="shared" si="12"/>
        <v>1.047110467</v>
      </c>
      <c r="P642" s="134">
        <f t="shared" si="13"/>
        <v>1.197810344</v>
      </c>
      <c r="Q642" s="134">
        <f t="shared" si="14"/>
        <v>1.050151611</v>
      </c>
    </row>
    <row r="643" ht="15.0" customHeight="1">
      <c r="A643" s="13">
        <v>604.0</v>
      </c>
      <c r="B643" s="134">
        <f t="shared" ref="B643:D643" si="1217">RAND()</f>
        <v>0.3574371756</v>
      </c>
      <c r="C643" s="134">
        <f t="shared" si="1217"/>
        <v>0.1248733631</v>
      </c>
      <c r="D643" s="134">
        <f t="shared" si="1217"/>
        <v>0.9087975661</v>
      </c>
      <c r="F643" s="134">
        <f t="shared" ref="F643:H643" si="1218">RAND()</f>
        <v>0.9019986299</v>
      </c>
      <c r="G643" s="134">
        <f t="shared" si="1218"/>
        <v>0.1342878652</v>
      </c>
      <c r="H643" s="134">
        <f t="shared" si="1218"/>
        <v>0.5464554691</v>
      </c>
      <c r="J643" s="135">
        <f t="shared" si="8"/>
        <v>112859962.6</v>
      </c>
      <c r="K643" s="136">
        <f>IF(J643&gt;0,MIN(99,$B$12*Q643/(J643*12*(1-Inputs!$H$16))),99)</f>
        <v>5.33628504</v>
      </c>
      <c r="L643" s="134">
        <f t="shared" si="9"/>
        <v>0.9755285073</v>
      </c>
      <c r="M643" s="134">
        <f t="shared" si="10"/>
        <v>0.9884153058</v>
      </c>
      <c r="N643" s="134">
        <f t="shared" si="11"/>
        <v>1.055052763</v>
      </c>
      <c r="O643" s="134">
        <f t="shared" si="12"/>
        <v>1.072391323</v>
      </c>
      <c r="P643" s="134">
        <f t="shared" si="13"/>
        <v>0.9761860037</v>
      </c>
      <c r="Q643" s="134">
        <f t="shared" si="14"/>
        <v>1.106999444</v>
      </c>
    </row>
    <row r="644" ht="15.0" customHeight="1">
      <c r="A644" s="13">
        <v>605.0</v>
      </c>
      <c r="B644" s="134">
        <f t="shared" ref="B644:D644" si="1219">RAND()</f>
        <v>0.7662141394</v>
      </c>
      <c r="C644" s="134">
        <f t="shared" si="1219"/>
        <v>0.5660338397</v>
      </c>
      <c r="D644" s="134">
        <f t="shared" si="1219"/>
        <v>0.6185720846</v>
      </c>
      <c r="F644" s="134">
        <f t="shared" ref="F644:H644" si="1220">RAND()</f>
        <v>0.549380329</v>
      </c>
      <c r="G644" s="134">
        <f t="shared" si="1220"/>
        <v>0.4925590204</v>
      </c>
      <c r="H644" s="134">
        <f t="shared" si="1220"/>
        <v>0.1848022608</v>
      </c>
      <c r="J644" s="135">
        <f t="shared" si="8"/>
        <v>207502209</v>
      </c>
      <c r="K644" s="136">
        <f>IF(J644&gt;0,MIN(99,$B$12*Q644/(J644*12*(1-Inputs!$H$16))),99)</f>
        <v>2.580987735</v>
      </c>
      <c r="L644" s="134">
        <f t="shared" si="9"/>
        <v>1.095708182</v>
      </c>
      <c r="M644" s="134">
        <f t="shared" si="10"/>
        <v>1.041695613</v>
      </c>
      <c r="N644" s="134">
        <f t="shared" si="11"/>
        <v>1.018126755</v>
      </c>
      <c r="O644" s="134">
        <f t="shared" si="12"/>
        <v>1.027256131</v>
      </c>
      <c r="P644" s="134">
        <f t="shared" si="13"/>
        <v>1.185380294</v>
      </c>
      <c r="Q644" s="134">
        <f t="shared" si="14"/>
        <v>0.9844125607</v>
      </c>
    </row>
    <row r="645" ht="15.0" customHeight="1">
      <c r="A645" s="13">
        <v>606.0</v>
      </c>
      <c r="B645" s="134">
        <f t="shared" ref="B645:D645" si="1221">RAND()</f>
        <v>0.5414807449</v>
      </c>
      <c r="C645" s="134">
        <f t="shared" si="1221"/>
        <v>0.3465141105</v>
      </c>
      <c r="D645" s="134">
        <f t="shared" si="1221"/>
        <v>0.5440383663</v>
      </c>
      <c r="F645" s="134">
        <f t="shared" ref="F645:H645" si="1222">RAND()</f>
        <v>0.5211390817</v>
      </c>
      <c r="G645" s="134">
        <f t="shared" si="1222"/>
        <v>0.5417099018</v>
      </c>
      <c r="H645" s="134">
        <f t="shared" si="1222"/>
        <v>0.375539056</v>
      </c>
      <c r="J645" s="135">
        <f t="shared" si="8"/>
        <v>155085456.9</v>
      </c>
      <c r="K645" s="136">
        <f>IF(J645&gt;0,MIN(99,$B$12*Q645/(J645*12*(1-Inputs!$H$16))),99)</f>
        <v>3.666426384</v>
      </c>
      <c r="L645" s="134">
        <f t="shared" si="9"/>
        <v>1.023909583</v>
      </c>
      <c r="M645" s="134">
        <f t="shared" si="10"/>
        <v>1.009941604</v>
      </c>
      <c r="N645" s="134">
        <f t="shared" si="11"/>
        <v>1.011381487</v>
      </c>
      <c r="O645" s="134">
        <f t="shared" si="12"/>
        <v>1.024646064</v>
      </c>
      <c r="P645" s="134">
        <f t="shared" si="13"/>
        <v>1.219021559</v>
      </c>
      <c r="Q645" s="134">
        <f t="shared" si="14"/>
        <v>1.045159385</v>
      </c>
    </row>
    <row r="646" ht="15.0" customHeight="1">
      <c r="A646" s="13">
        <v>607.0</v>
      </c>
      <c r="B646" s="134">
        <f t="shared" ref="B646:D646" si="1223">RAND()</f>
        <v>0.1572220611</v>
      </c>
      <c r="C646" s="134">
        <f t="shared" si="1223"/>
        <v>0.7940978091</v>
      </c>
      <c r="D646" s="134">
        <f t="shared" si="1223"/>
        <v>0.3762197691</v>
      </c>
      <c r="F646" s="134">
        <f t="shared" ref="F646:H646" si="1224">RAND()</f>
        <v>0.9471290161</v>
      </c>
      <c r="G646" s="134">
        <f t="shared" si="1224"/>
        <v>0.5876024451</v>
      </c>
      <c r="H646" s="134">
        <f t="shared" si="1224"/>
        <v>0.9311603364</v>
      </c>
      <c r="J646" s="135">
        <f t="shared" si="8"/>
        <v>66798604.69</v>
      </c>
      <c r="K646" s="136">
        <f>IF(J646&gt;0,MIN(99,$B$12*Q646/(J646*12*(1-Inputs!$H$16))),99)</f>
        <v>10.78903197</v>
      </c>
      <c r="L646" s="134">
        <f t="shared" si="9"/>
        <v>0.9079942927</v>
      </c>
      <c r="M646" s="134">
        <f t="shared" si="10"/>
        <v>0.958201254</v>
      </c>
      <c r="N646" s="134">
        <f t="shared" si="11"/>
        <v>0.9979211149</v>
      </c>
      <c r="O646" s="134">
        <f t="shared" si="12"/>
        <v>1.082863361</v>
      </c>
      <c r="P646" s="134">
        <f t="shared" si="13"/>
        <v>1.252103445</v>
      </c>
      <c r="Q646" s="134">
        <f t="shared" si="14"/>
        <v>1.324702489</v>
      </c>
    </row>
    <row r="647" ht="15.0" customHeight="1">
      <c r="A647" s="13">
        <v>608.0</v>
      </c>
      <c r="B647" s="134">
        <f t="shared" ref="B647:D647" si="1225">RAND()</f>
        <v>0.768937453</v>
      </c>
      <c r="C647" s="134">
        <f t="shared" si="1225"/>
        <v>0.4669239387</v>
      </c>
      <c r="D647" s="134">
        <f t="shared" si="1225"/>
        <v>0.7953033102</v>
      </c>
      <c r="F647" s="134">
        <f t="shared" ref="F647:H647" si="1226">RAND()</f>
        <v>0.8882926627</v>
      </c>
      <c r="G647" s="134">
        <f t="shared" si="1226"/>
        <v>0.2071375623</v>
      </c>
      <c r="H647" s="134">
        <f t="shared" si="1226"/>
        <v>0.3681272764</v>
      </c>
      <c r="J647" s="135">
        <f t="shared" si="8"/>
        <v>203045651.2</v>
      </c>
      <c r="K647" s="136">
        <f>IF(J647&gt;0,MIN(99,$B$12*Q647/(J647*12*(1-Inputs!$H$16))),99)</f>
        <v>2.793767006</v>
      </c>
      <c r="L647" s="134">
        <f t="shared" si="9"/>
        <v>1.096755504</v>
      </c>
      <c r="M647" s="134">
        <f t="shared" si="10"/>
        <v>1.042158807</v>
      </c>
      <c r="N647" s="134">
        <f t="shared" si="11"/>
        <v>1.037451336</v>
      </c>
      <c r="O647" s="134">
        <f t="shared" si="12"/>
        <v>1.069723411</v>
      </c>
      <c r="P647" s="134">
        <f t="shared" si="13"/>
        <v>1.016041355</v>
      </c>
      <c r="Q647" s="134">
        <f t="shared" si="14"/>
        <v>1.042683156</v>
      </c>
    </row>
    <row r="648" ht="15.0" customHeight="1">
      <c r="A648" s="13">
        <v>609.0</v>
      </c>
      <c r="B648" s="134">
        <f t="shared" ref="B648:D648" si="1227">RAND()</f>
        <v>0.843590967</v>
      </c>
      <c r="C648" s="134">
        <f t="shared" si="1227"/>
        <v>0.4306949745</v>
      </c>
      <c r="D648" s="134">
        <f t="shared" si="1227"/>
        <v>0.8413464064</v>
      </c>
      <c r="F648" s="134">
        <f t="shared" ref="F648:H648" si="1228">RAND()</f>
        <v>0.7168415387</v>
      </c>
      <c r="G648" s="134">
        <f t="shared" si="1228"/>
        <v>0.07293570184</v>
      </c>
      <c r="H648" s="134">
        <f t="shared" si="1228"/>
        <v>0.9606909518</v>
      </c>
      <c r="J648" s="135">
        <f t="shared" si="8"/>
        <v>232945690</v>
      </c>
      <c r="K648" s="136">
        <f>IF(J648&gt;0,MIN(99,$B$12*Q648/(J648*12*(1-Inputs!$H$16))),99)</f>
        <v>3.173111947</v>
      </c>
      <c r="L648" s="134">
        <f t="shared" si="9"/>
        <v>1.128349933</v>
      </c>
      <c r="M648" s="134">
        <f t="shared" si="10"/>
        <v>1.056131918</v>
      </c>
      <c r="N648" s="134">
        <f t="shared" si="11"/>
        <v>1.04378358</v>
      </c>
      <c r="O648" s="134">
        <f t="shared" si="12"/>
        <v>1.044789041</v>
      </c>
      <c r="P648" s="134">
        <f t="shared" si="13"/>
        <v>0.9337077354</v>
      </c>
      <c r="Q648" s="134">
        <f t="shared" si="14"/>
        <v>1.358653009</v>
      </c>
    </row>
    <row r="649" ht="15.0" customHeight="1">
      <c r="A649" s="13">
        <v>610.0</v>
      </c>
      <c r="B649" s="134">
        <f t="shared" ref="B649:D649" si="1229">RAND()</f>
        <v>0.4964261617</v>
      </c>
      <c r="C649" s="134">
        <f t="shared" si="1229"/>
        <v>0.8928963107</v>
      </c>
      <c r="D649" s="134">
        <f t="shared" si="1229"/>
        <v>0.8282224073</v>
      </c>
      <c r="F649" s="134">
        <f t="shared" ref="F649:H649" si="1230">RAND()</f>
        <v>0.1338705055</v>
      </c>
      <c r="G649" s="134">
        <f t="shared" si="1230"/>
        <v>0.1684066917</v>
      </c>
      <c r="H649" s="134">
        <f t="shared" si="1230"/>
        <v>0.9765212397</v>
      </c>
      <c r="J649" s="135">
        <f t="shared" si="8"/>
        <v>153395016.5</v>
      </c>
      <c r="K649" s="136">
        <f>IF(J649&gt;0,MIN(99,$B$12*Q649/(J649*12*(1-Inputs!$H$16))),99)</f>
        <v>4.90327962</v>
      </c>
      <c r="L649" s="134">
        <f t="shared" si="9"/>
        <v>1.011862388</v>
      </c>
      <c r="M649" s="134">
        <f t="shared" si="10"/>
        <v>1.004613551</v>
      </c>
      <c r="N649" s="134">
        <f t="shared" si="11"/>
        <v>1.041894327</v>
      </c>
      <c r="O649" s="134">
        <f t="shared" si="12"/>
        <v>0.9938075159</v>
      </c>
      <c r="P649" s="134">
        <f t="shared" si="13"/>
        <v>0.9955421208</v>
      </c>
      <c r="Q649" s="134">
        <f t="shared" si="14"/>
        <v>1.382503986</v>
      </c>
    </row>
    <row r="650" ht="15.0" customHeight="1">
      <c r="A650" s="13">
        <v>611.0</v>
      </c>
      <c r="B650" s="134">
        <f t="shared" ref="B650:D650" si="1231">RAND()</f>
        <v>0.4909680828</v>
      </c>
      <c r="C650" s="134">
        <f t="shared" si="1231"/>
        <v>0.1101675645</v>
      </c>
      <c r="D650" s="134">
        <f t="shared" si="1231"/>
        <v>0.7948429872</v>
      </c>
      <c r="F650" s="134">
        <f t="shared" ref="F650:H650" si="1232">RAND()</f>
        <v>0.7219413944</v>
      </c>
      <c r="G650" s="134">
        <f t="shared" si="1232"/>
        <v>0.1336116285</v>
      </c>
      <c r="H650" s="134">
        <f t="shared" si="1232"/>
        <v>0.1368001655</v>
      </c>
      <c r="J650" s="135">
        <f t="shared" si="8"/>
        <v>145505494.5</v>
      </c>
      <c r="K650" s="136">
        <f>IF(J650&gt;0,MIN(99,$B$12*Q650/(J650*12*(1-Inputs!$H$16))),99)</f>
        <v>3.615094735</v>
      </c>
      <c r="L650" s="134">
        <f t="shared" si="9"/>
        <v>1.010440198</v>
      </c>
      <c r="M650" s="134">
        <f t="shared" si="10"/>
        <v>1.003984566</v>
      </c>
      <c r="N650" s="134">
        <f t="shared" si="11"/>
        <v>1.037391849</v>
      </c>
      <c r="O650" s="134">
        <f t="shared" si="12"/>
        <v>1.045395547</v>
      </c>
      <c r="P650" s="134">
        <f t="shared" si="13"/>
        <v>0.9757788611</v>
      </c>
      <c r="Q650" s="134">
        <f t="shared" si="14"/>
        <v>0.9668688241</v>
      </c>
    </row>
    <row r="651" ht="15.0" customHeight="1">
      <c r="A651" s="13">
        <v>612.0</v>
      </c>
      <c r="B651" s="134">
        <f t="shared" ref="B651:D651" si="1233">RAND()</f>
        <v>0.590685639</v>
      </c>
      <c r="C651" s="134">
        <f t="shared" si="1233"/>
        <v>0.9222839611</v>
      </c>
      <c r="D651" s="134">
        <f t="shared" si="1233"/>
        <v>0.1956718744</v>
      </c>
      <c r="F651" s="134">
        <f t="shared" ref="F651:H651" si="1234">RAND()</f>
        <v>0.3063278776</v>
      </c>
      <c r="G651" s="134">
        <f t="shared" si="1234"/>
        <v>0.006208716937</v>
      </c>
      <c r="H651" s="134">
        <f t="shared" si="1234"/>
        <v>0.826644034</v>
      </c>
      <c r="J651" s="135">
        <f t="shared" si="8"/>
        <v>188721303.7</v>
      </c>
      <c r="K651" s="136">
        <f>IF(J651&gt;0,MIN(99,$B$12*Q651/(J651*12*(1-Inputs!$H$16))),99)</f>
        <v>3.583730498</v>
      </c>
      <c r="L651" s="134">
        <f t="shared" si="9"/>
        <v>1.037764411</v>
      </c>
      <c r="M651" s="134">
        <f t="shared" si="10"/>
        <v>1.01606911</v>
      </c>
      <c r="N651" s="134">
        <f t="shared" si="11"/>
        <v>0.9814740084</v>
      </c>
      <c r="O651" s="134">
        <f t="shared" si="12"/>
        <v>1.00689691</v>
      </c>
      <c r="P651" s="134">
        <f t="shared" si="13"/>
        <v>0.8494136967</v>
      </c>
      <c r="Q651" s="134">
        <f t="shared" si="14"/>
        <v>1.243153485</v>
      </c>
    </row>
    <row r="652" ht="15.0" customHeight="1">
      <c r="A652" s="13">
        <v>613.0</v>
      </c>
      <c r="B652" s="134">
        <f t="shared" ref="B652:D652" si="1235">RAND()</f>
        <v>0.4780298618</v>
      </c>
      <c r="C652" s="134">
        <f t="shared" si="1235"/>
        <v>0.06301452594</v>
      </c>
      <c r="D652" s="134">
        <f t="shared" si="1235"/>
        <v>0.6316943761</v>
      </c>
      <c r="F652" s="134">
        <f t="shared" ref="F652:H652" si="1236">RAND()</f>
        <v>0.196162759</v>
      </c>
      <c r="G652" s="134">
        <f t="shared" si="1236"/>
        <v>0.1270614771</v>
      </c>
      <c r="H652" s="134">
        <f t="shared" si="1236"/>
        <v>0.6673641745</v>
      </c>
      <c r="J652" s="135">
        <f t="shared" si="8"/>
        <v>154970917.5</v>
      </c>
      <c r="K652" s="136">
        <f>IF(J652&gt;0,MIN(99,$B$12*Q652/(J652*12*(1-Inputs!$H$16))),99)</f>
        <v>4.066033006</v>
      </c>
      <c r="L652" s="134">
        <f t="shared" si="9"/>
        <v>1.007099097</v>
      </c>
      <c r="M652" s="134">
        <f t="shared" si="10"/>
        <v>1.002506914</v>
      </c>
      <c r="N652" s="134">
        <f t="shared" si="11"/>
        <v>1.019380623</v>
      </c>
      <c r="O652" s="134">
        <f t="shared" si="12"/>
        <v>0.9988431304</v>
      </c>
      <c r="P652" s="134">
        <f t="shared" si="13"/>
        <v>0.9717806019</v>
      </c>
      <c r="Q652" s="134">
        <f t="shared" si="14"/>
        <v>1.158216067</v>
      </c>
    </row>
    <row r="653" ht="15.0" customHeight="1">
      <c r="A653" s="13">
        <v>614.0</v>
      </c>
      <c r="B653" s="134">
        <f t="shared" ref="B653:D653" si="1237">RAND()</f>
        <v>0.6495017374</v>
      </c>
      <c r="C653" s="134">
        <f t="shared" si="1237"/>
        <v>0.9858805946</v>
      </c>
      <c r="D653" s="134">
        <f t="shared" si="1237"/>
        <v>0.7532998119</v>
      </c>
      <c r="F653" s="134">
        <f t="shared" ref="F653:H653" si="1238">RAND()</f>
        <v>0.941806252</v>
      </c>
      <c r="G653" s="134">
        <f t="shared" si="1238"/>
        <v>0.6667298847</v>
      </c>
      <c r="H653" s="134">
        <f t="shared" si="1238"/>
        <v>0.4015911515</v>
      </c>
      <c r="J653" s="135">
        <f t="shared" si="8"/>
        <v>160293149.8</v>
      </c>
      <c r="K653" s="136">
        <f>IF(J653&gt;0,MIN(99,$B$12*Q653/(J653*12*(1-Inputs!$H$16))),99)</f>
        <v>3.577253683</v>
      </c>
      <c r="L653" s="134">
        <f t="shared" si="9"/>
        <v>1.055469795</v>
      </c>
      <c r="M653" s="134">
        <f t="shared" si="10"/>
        <v>1.023899582</v>
      </c>
      <c r="N653" s="134">
        <f t="shared" si="11"/>
        <v>1.032273401</v>
      </c>
      <c r="O653" s="134">
        <f t="shared" si="12"/>
        <v>1.08144001</v>
      </c>
      <c r="P653" s="134">
        <f t="shared" si="13"/>
        <v>1.313805086</v>
      </c>
      <c r="Q653" s="134">
        <f t="shared" si="14"/>
        <v>1.053981975</v>
      </c>
    </row>
    <row r="654" ht="15.0" customHeight="1">
      <c r="A654" s="13">
        <v>615.0</v>
      </c>
      <c r="B654" s="134">
        <f t="shared" ref="B654:D654" si="1239">RAND()</f>
        <v>0.7201544267</v>
      </c>
      <c r="C654" s="134">
        <f t="shared" si="1239"/>
        <v>0.158374319</v>
      </c>
      <c r="D654" s="134">
        <f t="shared" si="1239"/>
        <v>0.5394211498</v>
      </c>
      <c r="F654" s="134">
        <f t="shared" ref="F654:H654" si="1240">RAND()</f>
        <v>0.01733622926</v>
      </c>
      <c r="G654" s="134">
        <f t="shared" si="1240"/>
        <v>0.9694708119</v>
      </c>
      <c r="H654" s="134">
        <f t="shared" si="1240"/>
        <v>0.6944279905</v>
      </c>
      <c r="J654" s="135">
        <f t="shared" si="8"/>
        <v>185257594.5</v>
      </c>
      <c r="K654" s="136">
        <f>IF(J654&gt;0,MIN(99,$B$12*Q654/(J654*12*(1-Inputs!$H$16))),99)</f>
        <v>3.438564324</v>
      </c>
      <c r="L654" s="134">
        <f t="shared" si="9"/>
        <v>1.078839947</v>
      </c>
      <c r="M654" s="134">
        <f t="shared" si="10"/>
        <v>1.034235383</v>
      </c>
      <c r="N654" s="134">
        <f t="shared" si="11"/>
        <v>1.010982476</v>
      </c>
      <c r="O654" s="134">
        <f t="shared" si="12"/>
        <v>0.9784942204</v>
      </c>
      <c r="P654" s="134">
        <f t="shared" si="13"/>
        <v>1.696615904</v>
      </c>
      <c r="Q654" s="134">
        <f t="shared" si="14"/>
        <v>1.170904984</v>
      </c>
    </row>
    <row r="655" ht="15.0" customHeight="1">
      <c r="A655" s="13">
        <v>616.0</v>
      </c>
      <c r="B655" s="134">
        <f t="shared" ref="B655:D655" si="1241">RAND()</f>
        <v>0.1260006001</v>
      </c>
      <c r="C655" s="134">
        <f t="shared" si="1241"/>
        <v>0.7763755071</v>
      </c>
      <c r="D655" s="134">
        <f t="shared" si="1241"/>
        <v>0.9941346635</v>
      </c>
      <c r="F655" s="134">
        <f t="shared" ref="F655:H655" si="1242">RAND()</f>
        <v>0.3652029914</v>
      </c>
      <c r="G655" s="134">
        <f t="shared" si="1242"/>
        <v>0.6904284504</v>
      </c>
      <c r="H655" s="134">
        <f t="shared" si="1242"/>
        <v>0.0004259845279</v>
      </c>
      <c r="J655" s="135">
        <f t="shared" si="8"/>
        <v>50428458.54</v>
      </c>
      <c r="K655" s="136">
        <f>IF(J655&gt;0,MIN(99,$B$12*Q655/(J655*12*(1-Inputs!$H$16))),99)</f>
        <v>9.329706256</v>
      </c>
      <c r="L655" s="134">
        <f t="shared" si="9"/>
        <v>0.8940590925</v>
      </c>
      <c r="M655" s="134">
        <f t="shared" si="10"/>
        <v>0.9519668014</v>
      </c>
      <c r="N655" s="134">
        <f t="shared" si="11"/>
        <v>1.081426442</v>
      </c>
      <c r="O655" s="134">
        <f t="shared" si="12"/>
        <v>1.011448892</v>
      </c>
      <c r="P655" s="134">
        <f t="shared" si="13"/>
        <v>1.333683065</v>
      </c>
      <c r="Q655" s="134">
        <f t="shared" si="14"/>
        <v>0.8647929585</v>
      </c>
    </row>
    <row r="656" ht="15.0" customHeight="1">
      <c r="A656" s="13">
        <v>617.0</v>
      </c>
      <c r="B656" s="134">
        <f t="shared" ref="B656:D656" si="1243">RAND()</f>
        <v>0.8074471537</v>
      </c>
      <c r="C656" s="134">
        <f t="shared" si="1243"/>
        <v>0.3396314982</v>
      </c>
      <c r="D656" s="134">
        <f t="shared" si="1243"/>
        <v>0.8765041716</v>
      </c>
      <c r="F656" s="134">
        <f t="shared" ref="F656:H656" si="1244">RAND()</f>
        <v>0.5793857961</v>
      </c>
      <c r="G656" s="134">
        <f t="shared" si="1244"/>
        <v>0.2232462143</v>
      </c>
      <c r="H656" s="134">
        <f t="shared" si="1244"/>
        <v>0.7558063934</v>
      </c>
      <c r="J656" s="135">
        <f t="shared" si="8"/>
        <v>218307906.6</v>
      </c>
      <c r="K656" s="136">
        <f>IF(J656&gt;0,MIN(99,$B$12*Q656/(J656*12*(1-Inputs!$H$16))),99)</f>
        <v>2.995362065</v>
      </c>
      <c r="L656" s="134">
        <f t="shared" si="9"/>
        <v>1.112285476</v>
      </c>
      <c r="M656" s="134">
        <f t="shared" si="10"/>
        <v>1.04902717</v>
      </c>
      <c r="N656" s="134">
        <f t="shared" si="11"/>
        <v>1.049270244</v>
      </c>
      <c r="O656" s="134">
        <f t="shared" si="12"/>
        <v>1.030120542</v>
      </c>
      <c r="P656" s="134">
        <f t="shared" si="13"/>
        <v>1.024686983</v>
      </c>
      <c r="Q656" s="134">
        <f t="shared" si="14"/>
        <v>1.201952408</v>
      </c>
    </row>
    <row r="657" ht="15.0" customHeight="1">
      <c r="A657" s="13">
        <v>618.0</v>
      </c>
      <c r="B657" s="134">
        <f t="shared" ref="B657:D657" si="1245">RAND()</f>
        <v>0.2974479156</v>
      </c>
      <c r="C657" s="134">
        <f t="shared" si="1245"/>
        <v>0.1455631901</v>
      </c>
      <c r="D657" s="134">
        <f t="shared" si="1245"/>
        <v>0.4307275975</v>
      </c>
      <c r="F657" s="134">
        <f t="shared" ref="F657:H657" si="1246">RAND()</f>
        <v>0.3181142457</v>
      </c>
      <c r="G657" s="134">
        <f t="shared" si="1246"/>
        <v>0.9416171243</v>
      </c>
      <c r="H657" s="134">
        <f t="shared" si="1246"/>
        <v>0.4108366168</v>
      </c>
      <c r="J657" s="135">
        <f t="shared" si="8"/>
        <v>97751676.24</v>
      </c>
      <c r="K657" s="136">
        <f>IF(J657&gt;0,MIN(99,$B$12*Q657/(J657*12*(1-Inputs!$H$16))),99)</f>
        <v>5.883660673</v>
      </c>
      <c r="L657" s="134">
        <f t="shared" si="9"/>
        <v>0.9579286487</v>
      </c>
      <c r="M657" s="134">
        <f t="shared" si="10"/>
        <v>0.980541326</v>
      </c>
      <c r="N657" s="134">
        <f t="shared" si="11"/>
        <v>1.002108819</v>
      </c>
      <c r="O657" s="134">
        <f t="shared" si="12"/>
        <v>1.007792238</v>
      </c>
      <c r="P657" s="134">
        <f t="shared" si="13"/>
        <v>1.632999972</v>
      </c>
      <c r="Q657" s="134">
        <f t="shared" si="14"/>
        <v>1.057159002</v>
      </c>
    </row>
    <row r="658" ht="15.0" customHeight="1">
      <c r="A658" s="13">
        <v>619.0</v>
      </c>
      <c r="B658" s="134">
        <f t="shared" ref="B658:D658" si="1247">RAND()</f>
        <v>0.594795567</v>
      </c>
      <c r="C658" s="134">
        <f t="shared" si="1247"/>
        <v>0.3030578618</v>
      </c>
      <c r="D658" s="134">
        <f t="shared" si="1247"/>
        <v>0.07172615795</v>
      </c>
      <c r="F658" s="134">
        <f t="shared" ref="F658:H658" si="1248">RAND()</f>
        <v>0.6257844017</v>
      </c>
      <c r="G658" s="134">
        <f t="shared" si="1248"/>
        <v>0.6749215852</v>
      </c>
      <c r="H658" s="134">
        <f t="shared" si="1248"/>
        <v>0.5303271356</v>
      </c>
      <c r="J658" s="135">
        <f t="shared" si="8"/>
        <v>170902522.2</v>
      </c>
      <c r="K658" s="136">
        <f>IF(J658&gt;0,MIN(99,$B$12*Q658/(J658*12*(1-Inputs!$H$16))),99)</f>
        <v>3.503945361</v>
      </c>
      <c r="L658" s="134">
        <f t="shared" si="9"/>
        <v>1.038958458</v>
      </c>
      <c r="M658" s="134">
        <f t="shared" si="10"/>
        <v>1.016597195</v>
      </c>
      <c r="N658" s="134">
        <f t="shared" si="11"/>
        <v>0.9646892155</v>
      </c>
      <c r="O658" s="134">
        <f t="shared" si="12"/>
        <v>1.034759185</v>
      </c>
      <c r="P658" s="134">
        <f t="shared" si="13"/>
        <v>1.320593728</v>
      </c>
      <c r="Q658" s="134">
        <f t="shared" si="14"/>
        <v>1.100713464</v>
      </c>
    </row>
    <row r="659" ht="15.0" customHeight="1">
      <c r="A659" s="13">
        <v>620.0</v>
      </c>
      <c r="B659" s="134">
        <f t="shared" ref="B659:D659" si="1249">RAND()</f>
        <v>0.4863663319</v>
      </c>
      <c r="C659" s="134">
        <f t="shared" si="1249"/>
        <v>0.2825547266</v>
      </c>
      <c r="D659" s="134">
        <f t="shared" si="1249"/>
        <v>0.8153616341</v>
      </c>
      <c r="F659" s="134">
        <f t="shared" ref="F659:H659" si="1250">RAND()</f>
        <v>0.4673227351</v>
      </c>
      <c r="G659" s="134">
        <f t="shared" si="1250"/>
        <v>0.9535118726</v>
      </c>
      <c r="H659" s="134">
        <f t="shared" si="1250"/>
        <v>0.08165490333</v>
      </c>
      <c r="J659" s="135">
        <f t="shared" si="8"/>
        <v>122570391.3</v>
      </c>
      <c r="K659" s="136">
        <f>IF(J659&gt;0,MIN(99,$B$12*Q659/(J659*12*(1-Inputs!$H$16))),99)</f>
        <v>4.18241941</v>
      </c>
      <c r="L659" s="134">
        <f t="shared" si="9"/>
        <v>1.009247052</v>
      </c>
      <c r="M659" s="134">
        <f t="shared" si="10"/>
        <v>1.003456879</v>
      </c>
      <c r="N659" s="134">
        <f t="shared" si="11"/>
        <v>1.040111792</v>
      </c>
      <c r="O659" s="134">
        <f t="shared" si="12"/>
        <v>1.019877202</v>
      </c>
      <c r="P659" s="134">
        <f t="shared" si="13"/>
        <v>1.657737579</v>
      </c>
      <c r="Q659" s="134">
        <f t="shared" si="14"/>
        <v>0.9422836063</v>
      </c>
    </row>
    <row r="660" ht="15.0" customHeight="1">
      <c r="A660" s="13">
        <v>621.0</v>
      </c>
      <c r="B660" s="134">
        <f t="shared" ref="B660:D660" si="1251">RAND()</f>
        <v>0.56388508</v>
      </c>
      <c r="C660" s="134">
        <f t="shared" si="1251"/>
        <v>0.390374494</v>
      </c>
      <c r="D660" s="134">
        <f t="shared" si="1251"/>
        <v>0.3156863521</v>
      </c>
      <c r="F660" s="134">
        <f t="shared" ref="F660:H660" si="1252">RAND()</f>
        <v>0.07800691721</v>
      </c>
      <c r="G660" s="134">
        <f t="shared" si="1252"/>
        <v>0.4737406952</v>
      </c>
      <c r="H660" s="134">
        <f t="shared" si="1252"/>
        <v>0.06056391186</v>
      </c>
      <c r="J660" s="135">
        <f t="shared" si="8"/>
        <v>171484666.2</v>
      </c>
      <c r="K660" s="136">
        <f>IF(J660&gt;0,MIN(99,$B$12*Q660/(J660*12*(1-Inputs!$H$16))),99)</f>
        <v>2.952653253</v>
      </c>
      <c r="L660" s="134">
        <f t="shared" si="9"/>
        <v>1.030120843</v>
      </c>
      <c r="M660" s="134">
        <f t="shared" si="10"/>
        <v>1.012688627</v>
      </c>
      <c r="N660" s="134">
        <f t="shared" si="11"/>
        <v>0.9929675555</v>
      </c>
      <c r="O660" s="134">
        <f t="shared" si="12"/>
        <v>0.9881464311</v>
      </c>
      <c r="P660" s="134">
        <f t="shared" si="13"/>
        <v>1.172934288</v>
      </c>
      <c r="Q660" s="134">
        <f t="shared" si="14"/>
        <v>0.9306925166</v>
      </c>
    </row>
    <row r="661" ht="15.0" customHeight="1">
      <c r="A661" s="13">
        <v>622.0</v>
      </c>
      <c r="B661" s="134">
        <f t="shared" ref="B661:D661" si="1253">RAND()</f>
        <v>0.6508022902</v>
      </c>
      <c r="C661" s="134">
        <f t="shared" si="1253"/>
        <v>0.08543080028</v>
      </c>
      <c r="D661" s="134">
        <f t="shared" si="1253"/>
        <v>0.5948525731</v>
      </c>
      <c r="F661" s="134">
        <f t="shared" ref="F661:H661" si="1254">RAND()</f>
        <v>0.6754160588</v>
      </c>
      <c r="G661" s="134">
        <f t="shared" si="1254"/>
        <v>0.5688709833</v>
      </c>
      <c r="H661" s="134">
        <f t="shared" si="1254"/>
        <v>0.8998776767</v>
      </c>
      <c r="J661" s="135">
        <f t="shared" si="8"/>
        <v>174066144.2</v>
      </c>
      <c r="K661" s="136">
        <f>IF(J661&gt;0,MIN(99,$B$12*Q661/(J661*12*(1-Inputs!$H$16))),99)</f>
        <v>4.050875412</v>
      </c>
      <c r="L661" s="134">
        <f t="shared" si="9"/>
        <v>1.055877466</v>
      </c>
      <c r="M661" s="134">
        <f t="shared" si="10"/>
        <v>1.02407988</v>
      </c>
      <c r="N661" s="134">
        <f t="shared" si="11"/>
        <v>1.015913845</v>
      </c>
      <c r="O661" s="134">
        <f t="shared" si="12"/>
        <v>1.040052097</v>
      </c>
      <c r="P661" s="134">
        <f t="shared" si="13"/>
        <v>1.238389026</v>
      </c>
      <c r="Q661" s="134">
        <f t="shared" si="14"/>
        <v>1.296079606</v>
      </c>
    </row>
    <row r="662" ht="15.0" customHeight="1">
      <c r="A662" s="13">
        <v>623.0</v>
      </c>
      <c r="B662" s="134">
        <f t="shared" ref="B662:D662" si="1255">RAND()</f>
        <v>0.8119616636</v>
      </c>
      <c r="C662" s="134">
        <f t="shared" si="1255"/>
        <v>0.8467285935</v>
      </c>
      <c r="D662" s="134">
        <f t="shared" si="1255"/>
        <v>0.2827276419</v>
      </c>
      <c r="F662" s="134">
        <f t="shared" ref="F662:H662" si="1256">RAND()</f>
        <v>0.7865054252</v>
      </c>
      <c r="G662" s="134">
        <f t="shared" si="1256"/>
        <v>0.8627648069</v>
      </c>
      <c r="H662" s="134">
        <f t="shared" si="1256"/>
        <v>0.816772087</v>
      </c>
      <c r="J662" s="135">
        <f t="shared" si="8"/>
        <v>211692976.8</v>
      </c>
      <c r="K662" s="136">
        <f>IF(J662&gt;0,MIN(99,$B$12*Q662/(J662*12*(1-Inputs!$H$16))),99)</f>
        <v>3.178933835</v>
      </c>
      <c r="L662" s="134">
        <f t="shared" si="9"/>
        <v>1.114204256</v>
      </c>
      <c r="M662" s="134">
        <f t="shared" si="10"/>
        <v>1.04987578</v>
      </c>
      <c r="N662" s="134">
        <f t="shared" si="11"/>
        <v>0.9900691225</v>
      </c>
      <c r="O662" s="134">
        <f t="shared" si="12"/>
        <v>1.053617707</v>
      </c>
      <c r="P662" s="134">
        <f t="shared" si="13"/>
        <v>1.510495788</v>
      </c>
      <c r="Q662" s="134">
        <f t="shared" si="14"/>
        <v>1.236962176</v>
      </c>
    </row>
    <row r="663" ht="15.0" customHeight="1">
      <c r="A663" s="13">
        <v>624.0</v>
      </c>
      <c r="B663" s="134">
        <f t="shared" ref="B663:D663" si="1257">RAND()</f>
        <v>0.8488521381</v>
      </c>
      <c r="C663" s="134">
        <f t="shared" si="1257"/>
        <v>0.9560099051</v>
      </c>
      <c r="D663" s="134">
        <f t="shared" si="1257"/>
        <v>0.008280068672</v>
      </c>
      <c r="F663" s="134">
        <f t="shared" ref="F663:H663" si="1258">RAND()</f>
        <v>0.387141682</v>
      </c>
      <c r="G663" s="134">
        <f t="shared" si="1258"/>
        <v>0.254198602</v>
      </c>
      <c r="H663" s="134">
        <f t="shared" si="1258"/>
        <v>0.3661332494</v>
      </c>
      <c r="J663" s="135">
        <f t="shared" si="8"/>
        <v>259453270.4</v>
      </c>
      <c r="K663" s="136">
        <f>IF(J663&gt;0,MIN(99,$B$12*Q663/(J663*12*(1-Inputs!$H$16))),99)</f>
        <v>2.184983659</v>
      </c>
      <c r="L663" s="134">
        <f t="shared" si="9"/>
        <v>1.130837484</v>
      </c>
      <c r="M663" s="134">
        <f t="shared" si="10"/>
        <v>1.057232075</v>
      </c>
      <c r="N663" s="134">
        <f t="shared" si="11"/>
        <v>0.9476840204</v>
      </c>
      <c r="O663" s="134">
        <f t="shared" si="12"/>
        <v>1.013198812</v>
      </c>
      <c r="P663" s="134">
        <f t="shared" si="13"/>
        <v>1.041554783</v>
      </c>
      <c r="Q663" s="134">
        <f t="shared" si="14"/>
        <v>1.042019446</v>
      </c>
    </row>
    <row r="664" ht="15.0" customHeight="1">
      <c r="A664" s="13">
        <v>625.0</v>
      </c>
      <c r="B664" s="134">
        <f t="shared" ref="B664:D664" si="1259">RAND()</f>
        <v>0.2855590528</v>
      </c>
      <c r="C664" s="134">
        <f t="shared" si="1259"/>
        <v>0.0242924309</v>
      </c>
      <c r="D664" s="134">
        <f t="shared" si="1259"/>
        <v>0.6061384483</v>
      </c>
      <c r="F664" s="134">
        <f t="shared" ref="F664:H664" si="1260">RAND()</f>
        <v>0.06288788309</v>
      </c>
      <c r="G664" s="134">
        <f t="shared" si="1260"/>
        <v>0.3026693035</v>
      </c>
      <c r="H664" s="134">
        <f t="shared" si="1260"/>
        <v>0.9618367972</v>
      </c>
      <c r="J664" s="135">
        <f t="shared" si="8"/>
        <v>117072935.5</v>
      </c>
      <c r="K664" s="136">
        <f>IF(J664&gt;0,MIN(99,$B$12*Q664/(J664*12*(1-Inputs!$H$16))),99)</f>
        <v>6.320858575</v>
      </c>
      <c r="L664" s="134">
        <f t="shared" si="9"/>
        <v>0.9542355808</v>
      </c>
      <c r="M664" s="134">
        <f t="shared" si="10"/>
        <v>0.9788890888</v>
      </c>
      <c r="N664" s="134">
        <f t="shared" si="11"/>
        <v>1.016958443</v>
      </c>
      <c r="O664" s="134">
        <f t="shared" si="12"/>
        <v>0.9862815921</v>
      </c>
      <c r="P664" s="134">
        <f t="shared" si="13"/>
        <v>1.068688912</v>
      </c>
      <c r="Q664" s="134">
        <f t="shared" si="14"/>
        <v>1.360194652</v>
      </c>
    </row>
    <row r="665" ht="15.0" customHeight="1">
      <c r="A665" s="13">
        <v>626.0</v>
      </c>
      <c r="B665" s="134">
        <f t="shared" ref="B665:D665" si="1261">RAND()</f>
        <v>0.6276360177</v>
      </c>
      <c r="C665" s="134">
        <f t="shared" si="1261"/>
        <v>0.7722197861</v>
      </c>
      <c r="D665" s="134">
        <f t="shared" si="1261"/>
        <v>0.7561640968</v>
      </c>
      <c r="F665" s="134">
        <f t="shared" ref="F665:H665" si="1262">RAND()</f>
        <v>0.0162658901</v>
      </c>
      <c r="G665" s="134">
        <f t="shared" si="1262"/>
        <v>0.02325992882</v>
      </c>
      <c r="H665" s="134">
        <f t="shared" si="1262"/>
        <v>0.5625471628</v>
      </c>
      <c r="J665" s="135">
        <f t="shared" si="8"/>
        <v>188824439.8</v>
      </c>
      <c r="K665" s="136">
        <f>IF(J665&gt;0,MIN(99,$B$12*Q665/(J665*12*(1-Inputs!$H$16))),99)</f>
        <v>3.207880007</v>
      </c>
      <c r="L665" s="134">
        <f t="shared" si="9"/>
        <v>1.048725725</v>
      </c>
      <c r="M665" s="134">
        <f t="shared" si="10"/>
        <v>1.020916915</v>
      </c>
      <c r="N665" s="134">
        <f t="shared" si="11"/>
        <v>1.032611747</v>
      </c>
      <c r="O665" s="134">
        <f t="shared" si="12"/>
        <v>0.9782242413</v>
      </c>
      <c r="P665" s="134">
        <f t="shared" si="13"/>
        <v>0.8819010263</v>
      </c>
      <c r="Q665" s="134">
        <f t="shared" si="14"/>
        <v>1.113383551</v>
      </c>
    </row>
    <row r="666" ht="15.0" customHeight="1">
      <c r="A666" s="13">
        <v>627.0</v>
      </c>
      <c r="B666" s="134">
        <f t="shared" ref="B666:D666" si="1263">RAND()</f>
        <v>0.5110181312</v>
      </c>
      <c r="C666" s="134">
        <f t="shared" si="1263"/>
        <v>0.7426171118</v>
      </c>
      <c r="D666" s="134">
        <f t="shared" si="1263"/>
        <v>0.09835586733</v>
      </c>
      <c r="F666" s="134">
        <f t="shared" ref="F666:H666" si="1264">RAND()</f>
        <v>0.3994091363</v>
      </c>
      <c r="G666" s="134">
        <f t="shared" si="1264"/>
        <v>0.2550099047</v>
      </c>
      <c r="H666" s="134">
        <f t="shared" si="1264"/>
        <v>0.2034760183</v>
      </c>
      <c r="J666" s="135">
        <f t="shared" si="8"/>
        <v>166868603.4</v>
      </c>
      <c r="K666" s="136">
        <f>IF(J666&gt;0,MIN(99,$B$12*Q666/(J666*12*(1-Inputs!$H$16))),99)</f>
        <v>3.22967496</v>
      </c>
      <c r="L666" s="134">
        <f t="shared" si="9"/>
        <v>1.01570286</v>
      </c>
      <c r="M666" s="134">
        <f t="shared" si="10"/>
        <v>1.006312057</v>
      </c>
      <c r="N666" s="134">
        <f t="shared" si="11"/>
        <v>0.9690938459</v>
      </c>
      <c r="O666" s="134">
        <f t="shared" si="12"/>
        <v>1.014190984</v>
      </c>
      <c r="P666" s="134">
        <f t="shared" si="13"/>
        <v>1.042001572</v>
      </c>
      <c r="Q666" s="134">
        <f t="shared" si="14"/>
        <v>0.9906082232</v>
      </c>
    </row>
    <row r="667" ht="15.0" customHeight="1">
      <c r="A667" s="13">
        <v>628.0</v>
      </c>
      <c r="B667" s="134">
        <f t="shared" ref="B667:D667" si="1265">RAND()</f>
        <v>0.956949382</v>
      </c>
      <c r="C667" s="134">
        <f t="shared" si="1265"/>
        <v>0.2056199131</v>
      </c>
      <c r="D667" s="134">
        <f t="shared" si="1265"/>
        <v>0.6913029167</v>
      </c>
      <c r="F667" s="134">
        <f t="shared" ref="F667:H667" si="1266">RAND()</f>
        <v>0.113674082</v>
      </c>
      <c r="G667" s="134">
        <f t="shared" si="1266"/>
        <v>0.4415175039</v>
      </c>
      <c r="H667" s="134">
        <f t="shared" si="1266"/>
        <v>0.7483399291</v>
      </c>
      <c r="J667" s="135">
        <f t="shared" si="8"/>
        <v>293490821.3</v>
      </c>
      <c r="K667" s="136">
        <f>IF(J667&gt;0,MIN(99,$B$12*Q667/(J667*12*(1-Inputs!$H$16))),99)</f>
        <v>2.220686099</v>
      </c>
      <c r="L667" s="134">
        <f t="shared" si="9"/>
        <v>1.198061973</v>
      </c>
      <c r="M667" s="134">
        <f t="shared" si="10"/>
        <v>1.086963115</v>
      </c>
      <c r="N667" s="134">
        <f t="shared" si="11"/>
        <v>1.025380111</v>
      </c>
      <c r="O667" s="134">
        <f t="shared" si="12"/>
        <v>0.9919292936</v>
      </c>
      <c r="P667" s="134">
        <f t="shared" si="13"/>
        <v>1.152128621</v>
      </c>
      <c r="Q667" s="134">
        <f t="shared" si="14"/>
        <v>1.197981686</v>
      </c>
    </row>
    <row r="668" ht="15.0" customHeight="1">
      <c r="A668" s="13">
        <v>629.0</v>
      </c>
      <c r="B668" s="134">
        <f t="shared" ref="B668:D668" si="1267">RAND()</f>
        <v>0.2346403325</v>
      </c>
      <c r="C668" s="134">
        <f t="shared" si="1267"/>
        <v>0.8197337851</v>
      </c>
      <c r="D668" s="134">
        <f t="shared" si="1267"/>
        <v>0.04322700153</v>
      </c>
      <c r="F668" s="134">
        <f t="shared" ref="F668:H668" si="1268">RAND()</f>
        <v>0.5403099605</v>
      </c>
      <c r="G668" s="134">
        <f t="shared" si="1268"/>
        <v>0.9638874042</v>
      </c>
      <c r="H668" s="134">
        <f t="shared" si="1268"/>
        <v>0.8964335394</v>
      </c>
      <c r="J668" s="135">
        <f t="shared" si="8"/>
        <v>87552069.75</v>
      </c>
      <c r="K668" s="136">
        <f>IF(J668&gt;0,MIN(99,$B$12*Q668/(J668*12*(1-Inputs!$H$16))),99)</f>
        <v>8.035966569</v>
      </c>
      <c r="L668" s="134">
        <f t="shared" si="9"/>
        <v>0.9374716511</v>
      </c>
      <c r="M668" s="134">
        <f t="shared" si="10"/>
        <v>0.9713890942</v>
      </c>
      <c r="N668" s="134">
        <f t="shared" si="11"/>
        <v>0.9589279625</v>
      </c>
      <c r="O668" s="134">
        <f t="shared" si="12"/>
        <v>1.02640915</v>
      </c>
      <c r="P668" s="134">
        <f t="shared" si="13"/>
        <v>1.682060092</v>
      </c>
      <c r="Q668" s="134">
        <f t="shared" si="14"/>
        <v>1.293221809</v>
      </c>
    </row>
    <row r="669" ht="15.0" customHeight="1">
      <c r="A669" s="13">
        <v>630.0</v>
      </c>
      <c r="B669" s="134">
        <f t="shared" ref="B669:D669" si="1269">RAND()</f>
        <v>0.4316159972</v>
      </c>
      <c r="C669" s="134">
        <f t="shared" si="1269"/>
        <v>0.1742149431</v>
      </c>
      <c r="D669" s="134">
        <f t="shared" si="1269"/>
        <v>0.6385060007</v>
      </c>
      <c r="F669" s="134">
        <f t="shared" ref="F669:H669" si="1270">RAND()</f>
        <v>0.3045151865</v>
      </c>
      <c r="G669" s="134">
        <f t="shared" si="1270"/>
        <v>0.4558372803</v>
      </c>
      <c r="H669" s="134">
        <f t="shared" si="1270"/>
        <v>0.2725284033</v>
      </c>
      <c r="J669" s="135">
        <f t="shared" si="8"/>
        <v>138045637.3</v>
      </c>
      <c r="K669" s="136">
        <f>IF(J669&gt;0,MIN(99,$B$12*Q669/(J669*12*(1-Inputs!$H$16))),99)</f>
        <v>3.988153554</v>
      </c>
      <c r="L669" s="134">
        <f t="shared" si="9"/>
        <v>0.9953560748</v>
      </c>
      <c r="M669" s="134">
        <f t="shared" si="10"/>
        <v>0.9972859375</v>
      </c>
      <c r="N669" s="134">
        <f t="shared" si="11"/>
        <v>1.020040302</v>
      </c>
      <c r="O669" s="134">
        <f t="shared" si="12"/>
        <v>1.006759889</v>
      </c>
      <c r="P669" s="134">
        <f t="shared" si="13"/>
        <v>1.161298336</v>
      </c>
      <c r="Q669" s="134">
        <f t="shared" si="14"/>
        <v>1.011959283</v>
      </c>
    </row>
    <row r="670" ht="15.0" customHeight="1">
      <c r="A670" s="13">
        <v>631.0</v>
      </c>
      <c r="B670" s="134">
        <f t="shared" ref="B670:D670" si="1271">RAND()</f>
        <v>0.9965882824</v>
      </c>
      <c r="C670" s="134">
        <f t="shared" si="1271"/>
        <v>0.9981424119</v>
      </c>
      <c r="D670" s="134">
        <f t="shared" si="1271"/>
        <v>0.837035346</v>
      </c>
      <c r="F670" s="134">
        <f t="shared" ref="F670:H670" si="1272">RAND()</f>
        <v>0.8993169582</v>
      </c>
      <c r="G670" s="134">
        <f t="shared" si="1272"/>
        <v>0.4254678182</v>
      </c>
      <c r="H670" s="134">
        <f t="shared" si="1272"/>
        <v>0.06930289905</v>
      </c>
      <c r="J670" s="135">
        <f t="shared" si="8"/>
        <v>321711888.2</v>
      </c>
      <c r="K670" s="136">
        <f>IF(J670&gt;0,MIN(99,$B$12*Q670/(J670*12*(1-Inputs!$H$16))),99)</f>
        <v>1.582356989</v>
      </c>
      <c r="L670" s="134">
        <f t="shared" si="9"/>
        <v>1.253341026</v>
      </c>
      <c r="M670" s="134">
        <f t="shared" si="10"/>
        <v>1.111411106</v>
      </c>
      <c r="N670" s="134">
        <f t="shared" si="11"/>
        <v>1.04315465</v>
      </c>
      <c r="O670" s="134">
        <f t="shared" si="12"/>
        <v>1.071855315</v>
      </c>
      <c r="P670" s="134">
        <f t="shared" si="13"/>
        <v>1.141989787</v>
      </c>
      <c r="Q670" s="134">
        <f t="shared" si="14"/>
        <v>0.9357073923</v>
      </c>
    </row>
    <row r="671" ht="15.0" customHeight="1">
      <c r="A671" s="13">
        <v>632.0</v>
      </c>
      <c r="B671" s="134">
        <f t="shared" ref="B671:D671" si="1273">RAND()</f>
        <v>0.5035276417</v>
      </c>
      <c r="C671" s="134">
        <f t="shared" si="1273"/>
        <v>0.2647407866</v>
      </c>
      <c r="D671" s="134">
        <f t="shared" si="1273"/>
        <v>0.2672009894</v>
      </c>
      <c r="F671" s="134">
        <f t="shared" ref="F671:H671" si="1274">RAND()</f>
        <v>0.3372686965</v>
      </c>
      <c r="G671" s="134">
        <f t="shared" si="1274"/>
        <v>0.4528443137</v>
      </c>
      <c r="H671" s="134">
        <f t="shared" si="1274"/>
        <v>0.2217130163</v>
      </c>
      <c r="J671" s="135">
        <f t="shared" si="8"/>
        <v>157559764.7</v>
      </c>
      <c r="K671" s="136">
        <f>IF(J671&gt;0,MIN(99,$B$12*Q671/(J671*12*(1-Inputs!$H$16))),99)</f>
        <v>3.440452546</v>
      </c>
      <c r="L671" s="134">
        <f t="shared" si="9"/>
        <v>1.013724381</v>
      </c>
      <c r="M671" s="134">
        <f t="shared" si="10"/>
        <v>1.005437045</v>
      </c>
      <c r="N671" s="134">
        <f t="shared" si="11"/>
        <v>0.988645165</v>
      </c>
      <c r="O671" s="134">
        <f t="shared" si="12"/>
        <v>1.009263938</v>
      </c>
      <c r="P671" s="134">
        <f t="shared" si="13"/>
        <v>1.159371899</v>
      </c>
      <c r="Q671" s="134">
        <f t="shared" si="14"/>
        <v>0.996390038</v>
      </c>
    </row>
    <row r="672" ht="15.0" customHeight="1">
      <c r="A672" s="13">
        <v>633.0</v>
      </c>
      <c r="B672" s="134">
        <f t="shared" ref="B672:D672" si="1275">RAND()</f>
        <v>0.1626500163</v>
      </c>
      <c r="C672" s="134">
        <f t="shared" si="1275"/>
        <v>0.8582406927</v>
      </c>
      <c r="D672" s="134">
        <f t="shared" si="1275"/>
        <v>0.8824446026</v>
      </c>
      <c r="F672" s="134">
        <f t="shared" ref="F672:H672" si="1276">RAND()</f>
        <v>0.5947188756</v>
      </c>
      <c r="G672" s="134">
        <f t="shared" si="1276"/>
        <v>0.05220189742</v>
      </c>
      <c r="H672" s="134">
        <f t="shared" si="1276"/>
        <v>0.7989177762</v>
      </c>
      <c r="J672" s="135">
        <f t="shared" si="8"/>
        <v>79319829.13</v>
      </c>
      <c r="K672" s="136">
        <f>IF(J672&gt;0,MIN(99,$B$12*Q672/(J672*12*(1-Inputs!$H$16))),99)</f>
        <v>8.410115048</v>
      </c>
      <c r="L672" s="134">
        <f t="shared" si="9"/>
        <v>0.910270569</v>
      </c>
      <c r="M672" s="134">
        <f t="shared" si="10"/>
        <v>0.9592196346</v>
      </c>
      <c r="N672" s="134">
        <f t="shared" si="11"/>
        <v>1.050271339</v>
      </c>
      <c r="O672" s="134">
        <f t="shared" si="12"/>
        <v>1.031623765</v>
      </c>
      <c r="P672" s="134">
        <f t="shared" si="13"/>
        <v>0.9153793415</v>
      </c>
      <c r="Q672" s="134">
        <f t="shared" si="14"/>
        <v>1.22617424</v>
      </c>
    </row>
    <row r="673" ht="15.0" customHeight="1">
      <c r="A673" s="13">
        <v>634.0</v>
      </c>
      <c r="B673" s="134">
        <f t="shared" ref="B673:D673" si="1277">RAND()</f>
        <v>0.01452064332</v>
      </c>
      <c r="C673" s="134">
        <f t="shared" si="1277"/>
        <v>0.776631256</v>
      </c>
      <c r="D673" s="134">
        <f t="shared" si="1277"/>
        <v>0.08240745847</v>
      </c>
      <c r="F673" s="134">
        <f t="shared" ref="F673:H673" si="1278">RAND()</f>
        <v>0.06823800587</v>
      </c>
      <c r="G673" s="134">
        <f t="shared" si="1278"/>
        <v>0.7846689805</v>
      </c>
      <c r="H673" s="134">
        <f t="shared" si="1278"/>
        <v>0.4266559698</v>
      </c>
      <c r="J673" s="135">
        <f t="shared" si="8"/>
        <v>23265085.43</v>
      </c>
      <c r="K673" s="136">
        <f>IF(J673&gt;0,MIN(99,$B$12*Q673/(J673*12*(1-Inputs!$H$16))),99)</f>
        <v>24.84954848</v>
      </c>
      <c r="L673" s="134">
        <f t="shared" si="9"/>
        <v>0.8154174761</v>
      </c>
      <c r="M673" s="134">
        <f t="shared" si="10"/>
        <v>0.9167834225</v>
      </c>
      <c r="N673" s="134">
        <f t="shared" si="11"/>
        <v>0.9665404681</v>
      </c>
      <c r="O673" s="134">
        <f t="shared" si="12"/>
        <v>0.9869647906</v>
      </c>
      <c r="P673" s="134">
        <f t="shared" si="13"/>
        <v>1.421504022</v>
      </c>
      <c r="Q673" s="134">
        <f t="shared" si="14"/>
        <v>1.062653397</v>
      </c>
    </row>
    <row r="674" ht="15.0" customHeight="1">
      <c r="A674" s="13">
        <v>635.0</v>
      </c>
      <c r="B674" s="134">
        <f t="shared" ref="B674:D674" si="1279">RAND()</f>
        <v>0.5308223167</v>
      </c>
      <c r="C674" s="134">
        <f t="shared" si="1279"/>
        <v>0.3550232536</v>
      </c>
      <c r="D674" s="134">
        <f t="shared" si="1279"/>
        <v>0.7738540402</v>
      </c>
      <c r="F674" s="134">
        <f t="shared" ref="F674:H674" si="1280">RAND()</f>
        <v>0.239467345</v>
      </c>
      <c r="G674" s="134">
        <f t="shared" si="1280"/>
        <v>0.7769337538</v>
      </c>
      <c r="H674" s="134">
        <f t="shared" si="1280"/>
        <v>0.6065305918</v>
      </c>
      <c r="J674" s="135">
        <f t="shared" si="8"/>
        <v>144299687.8</v>
      </c>
      <c r="K674" s="136">
        <f>IF(J674&gt;0,MIN(99,$B$12*Q674/(J674*12*(1-Inputs!$H$16))),99)</f>
        <v>4.265842383</v>
      </c>
      <c r="L674" s="134">
        <f t="shared" si="9"/>
        <v>1.021008009</v>
      </c>
      <c r="M674" s="134">
        <f t="shared" si="10"/>
        <v>1.008658339</v>
      </c>
      <c r="N674" s="134">
        <f t="shared" si="11"/>
        <v>1.034746963</v>
      </c>
      <c r="O674" s="134">
        <f t="shared" si="12"/>
        <v>1.001955968</v>
      </c>
      <c r="P674" s="134">
        <f t="shared" si="13"/>
        <v>1.413648331</v>
      </c>
      <c r="Q674" s="134">
        <f t="shared" si="14"/>
        <v>1.131458625</v>
      </c>
    </row>
    <row r="675" ht="15.0" customHeight="1">
      <c r="A675" s="13">
        <v>636.0</v>
      </c>
      <c r="B675" s="134">
        <f t="shared" ref="B675:D675" si="1281">RAND()</f>
        <v>0.2152764052</v>
      </c>
      <c r="C675" s="134">
        <f t="shared" si="1281"/>
        <v>0.3750527446</v>
      </c>
      <c r="D675" s="134">
        <f t="shared" si="1281"/>
        <v>0.6215163514</v>
      </c>
      <c r="F675" s="134">
        <f t="shared" ref="F675:H675" si="1282">RAND()</f>
        <v>0.1793124348</v>
      </c>
      <c r="G675" s="134">
        <f t="shared" si="1282"/>
        <v>0.1931812781</v>
      </c>
      <c r="H675" s="134">
        <f t="shared" si="1282"/>
        <v>0.1273542814</v>
      </c>
      <c r="J675" s="135">
        <f t="shared" si="8"/>
        <v>101212555.3</v>
      </c>
      <c r="K675" s="136">
        <f>IF(J675&gt;0,MIN(99,$B$12*Q675/(J675*12*(1-Inputs!$H$16))),99)</f>
        <v>5.176721994</v>
      </c>
      <c r="L675" s="134">
        <f t="shared" si="9"/>
        <v>0.9306232488</v>
      </c>
      <c r="M675" s="134">
        <f t="shared" si="10"/>
        <v>0.9683251957</v>
      </c>
      <c r="N675" s="134">
        <f t="shared" si="11"/>
        <v>1.018406187</v>
      </c>
      <c r="O675" s="134">
        <f t="shared" si="12"/>
        <v>0.9975714909</v>
      </c>
      <c r="P675" s="134">
        <f t="shared" si="13"/>
        <v>1.008621668</v>
      </c>
      <c r="Q675" s="134">
        <f t="shared" si="14"/>
        <v>0.9630696866</v>
      </c>
    </row>
    <row r="676" ht="15.0" customHeight="1">
      <c r="A676" s="13">
        <v>637.0</v>
      </c>
      <c r="B676" s="134">
        <f t="shared" ref="B676:D676" si="1283">RAND()</f>
        <v>0.5350671532</v>
      </c>
      <c r="C676" s="134">
        <f t="shared" si="1283"/>
        <v>0.8642514702</v>
      </c>
      <c r="D676" s="134">
        <f t="shared" si="1283"/>
        <v>0.2986257301</v>
      </c>
      <c r="F676" s="134">
        <f t="shared" ref="F676:H676" si="1284">RAND()</f>
        <v>0.2359355731</v>
      </c>
      <c r="G676" s="134">
        <f t="shared" si="1284"/>
        <v>0.9711208163</v>
      </c>
      <c r="H676" s="134">
        <f t="shared" si="1284"/>
        <v>0.08650270995</v>
      </c>
      <c r="J676" s="135">
        <f t="shared" si="8"/>
        <v>143818874.7</v>
      </c>
      <c r="K676" s="136">
        <f>IF(J676&gt;0,MIN(99,$B$12*Q676/(J676*12*(1-Inputs!$H$16))),99)</f>
        <v>3.573732693</v>
      </c>
      <c r="L676" s="134">
        <f t="shared" si="9"/>
        <v>1.022159603</v>
      </c>
      <c r="M676" s="134">
        <f t="shared" si="10"/>
        <v>1.009167649</v>
      </c>
      <c r="N676" s="134">
        <f t="shared" si="11"/>
        <v>0.9914871821</v>
      </c>
      <c r="O676" s="134">
        <f t="shared" si="12"/>
        <v>1.001701136</v>
      </c>
      <c r="P676" s="134">
        <f t="shared" si="13"/>
        <v>1.701168211</v>
      </c>
      <c r="Q676" s="134">
        <f t="shared" si="14"/>
        <v>0.9447272286</v>
      </c>
    </row>
    <row r="677" ht="15.0" customHeight="1">
      <c r="A677" s="13">
        <v>638.0</v>
      </c>
      <c r="B677" s="134">
        <f t="shared" ref="B677:D677" si="1285">RAND()</f>
        <v>0.3446267913</v>
      </c>
      <c r="C677" s="134">
        <f t="shared" si="1285"/>
        <v>0.5765118307</v>
      </c>
      <c r="D677" s="134">
        <f t="shared" si="1285"/>
        <v>0.04298110892</v>
      </c>
      <c r="F677" s="134">
        <f t="shared" ref="F677:H677" si="1286">RAND()</f>
        <v>0.9036811132</v>
      </c>
      <c r="G677" s="134">
        <f t="shared" si="1286"/>
        <v>0.9344500671</v>
      </c>
      <c r="H677" s="134">
        <f t="shared" si="1286"/>
        <v>0.3763751842</v>
      </c>
      <c r="J677" s="135">
        <f t="shared" si="8"/>
        <v>106140171.7</v>
      </c>
      <c r="K677" s="136">
        <f>IF(J677&gt;0,MIN(99,$B$12*Q677/(J677*12*(1-Inputs!$H$16))),99)</f>
        <v>5.35859211</v>
      </c>
      <c r="L677" s="134">
        <f t="shared" si="9"/>
        <v>0.9719022956</v>
      </c>
      <c r="M677" s="134">
        <f t="shared" si="10"/>
        <v>0.9867929792</v>
      </c>
      <c r="N677" s="134">
        <f t="shared" si="11"/>
        <v>0.9588710115</v>
      </c>
      <c r="O677" s="134">
        <f t="shared" si="12"/>
        <v>1.072731366</v>
      </c>
      <c r="P677" s="134">
        <f t="shared" si="13"/>
        <v>1.619305104</v>
      </c>
      <c r="Q677" s="134">
        <f t="shared" si="14"/>
        <v>1.04543965</v>
      </c>
    </row>
    <row r="678" ht="15.0" customHeight="1">
      <c r="A678" s="13">
        <v>639.0</v>
      </c>
      <c r="B678" s="134">
        <f t="shared" ref="B678:D678" si="1287">RAND()</f>
        <v>0.7719075842</v>
      </c>
      <c r="C678" s="134">
        <f t="shared" si="1287"/>
        <v>0.8796075524</v>
      </c>
      <c r="D678" s="134">
        <f t="shared" si="1287"/>
        <v>0.7265841782</v>
      </c>
      <c r="F678" s="134">
        <f t="shared" ref="F678:H678" si="1288">RAND()</f>
        <v>0.1061623853</v>
      </c>
      <c r="G678" s="134">
        <f t="shared" si="1288"/>
        <v>0.3064567466</v>
      </c>
      <c r="H678" s="134">
        <f t="shared" si="1288"/>
        <v>0.847802907</v>
      </c>
      <c r="J678" s="135">
        <f t="shared" si="8"/>
        <v>216900211.4</v>
      </c>
      <c r="K678" s="136">
        <f>IF(J678&gt;0,MIN(99,$B$12*Q678/(J678*12*(1-Inputs!$H$16))),99)</f>
        <v>3.152994837</v>
      </c>
      <c r="L678" s="134">
        <f t="shared" si="9"/>
        <v>1.097904808</v>
      </c>
      <c r="M678" s="134">
        <f t="shared" si="10"/>
        <v>1.042667104</v>
      </c>
      <c r="N678" s="134">
        <f t="shared" si="11"/>
        <v>1.029207645</v>
      </c>
      <c r="O678" s="134">
        <f t="shared" si="12"/>
        <v>0.9911885148</v>
      </c>
      <c r="P678" s="134">
        <f t="shared" si="13"/>
        <v>1.070848301</v>
      </c>
      <c r="Q678" s="134">
        <f t="shared" si="14"/>
        <v>1.25704758</v>
      </c>
    </row>
    <row r="679" ht="15.0" customHeight="1">
      <c r="A679" s="13">
        <v>640.0</v>
      </c>
      <c r="B679" s="134">
        <f t="shared" ref="B679:D679" si="1289">RAND()</f>
        <v>0.1699128029</v>
      </c>
      <c r="C679" s="134">
        <f t="shared" si="1289"/>
        <v>0.7020136389</v>
      </c>
      <c r="D679" s="134">
        <f t="shared" si="1289"/>
        <v>0.5553287626</v>
      </c>
      <c r="F679" s="134">
        <f t="shared" ref="F679:H679" si="1290">RAND()</f>
        <v>0.9129395025</v>
      </c>
      <c r="G679" s="134">
        <f t="shared" si="1290"/>
        <v>0.6660018716</v>
      </c>
      <c r="H679" s="134">
        <f t="shared" si="1290"/>
        <v>0.6687638917</v>
      </c>
      <c r="J679" s="135">
        <f t="shared" si="8"/>
        <v>66503343.59</v>
      </c>
      <c r="K679" s="136">
        <f>IF(J679&gt;0,MIN(99,$B$12*Q679/(J679*12*(1-Inputs!$H$16))),99)</f>
        <v>9.48022785</v>
      </c>
      <c r="L679" s="134">
        <f t="shared" si="9"/>
        <v>0.9132576954</v>
      </c>
      <c r="M679" s="134">
        <f t="shared" si="10"/>
        <v>0.9605560415</v>
      </c>
      <c r="N679" s="134">
        <f t="shared" si="11"/>
        <v>1.012365776</v>
      </c>
      <c r="O679" s="134">
        <f t="shared" si="12"/>
        <v>1.074658166</v>
      </c>
      <c r="P679" s="134">
        <f t="shared" si="13"/>
        <v>1.313205823</v>
      </c>
      <c r="Q679" s="134">
        <f t="shared" si="14"/>
        <v>1.158859373</v>
      </c>
    </row>
    <row r="680" ht="15.0" customHeight="1">
      <c r="A680" s="13">
        <v>641.0</v>
      </c>
      <c r="B680" s="134">
        <f t="shared" ref="B680:D680" si="1291">RAND()</f>
        <v>0.07773066896</v>
      </c>
      <c r="C680" s="134">
        <f t="shared" si="1291"/>
        <v>0.07608175004</v>
      </c>
      <c r="D680" s="134">
        <f t="shared" si="1291"/>
        <v>0.8960822538</v>
      </c>
      <c r="F680" s="134">
        <f t="shared" ref="F680:H680" si="1292">RAND()</f>
        <v>0.2770836593</v>
      </c>
      <c r="G680" s="134">
        <f t="shared" si="1292"/>
        <v>0.8212731001</v>
      </c>
      <c r="H680" s="134">
        <f t="shared" si="1292"/>
        <v>0.6147261072</v>
      </c>
      <c r="J680" s="135">
        <f t="shared" si="8"/>
        <v>36116848.7</v>
      </c>
      <c r="K680" s="136">
        <f>IF(J680&gt;0,MIN(99,$B$12*Q680/(J680*12*(1-Inputs!$H$16))),99)</f>
        <v>17.09594854</v>
      </c>
      <c r="L680" s="134">
        <f t="shared" si="9"/>
        <v>0.8685131021</v>
      </c>
      <c r="M680" s="134">
        <f t="shared" si="10"/>
        <v>0.9405378113</v>
      </c>
      <c r="N680" s="134">
        <f t="shared" si="11"/>
        <v>1.052669973</v>
      </c>
      <c r="O680" s="134">
        <f t="shared" si="12"/>
        <v>1.004707742</v>
      </c>
      <c r="P680" s="134">
        <f t="shared" si="13"/>
        <v>1.460754797</v>
      </c>
      <c r="Q680" s="134">
        <f t="shared" si="14"/>
        <v>1.134936421</v>
      </c>
    </row>
    <row r="681" ht="15.0" customHeight="1">
      <c r="A681" s="13">
        <v>642.0</v>
      </c>
      <c r="B681" s="134">
        <f t="shared" ref="B681:D681" si="1293">RAND()</f>
        <v>0.2549238988</v>
      </c>
      <c r="C681" s="134">
        <f t="shared" si="1293"/>
        <v>0.9346137131</v>
      </c>
      <c r="D681" s="134">
        <f t="shared" si="1293"/>
        <v>0.7883760762</v>
      </c>
      <c r="F681" s="134">
        <f t="shared" ref="F681:H681" si="1294">RAND()</f>
        <v>0.8397421355</v>
      </c>
      <c r="G681" s="134">
        <f t="shared" si="1294"/>
        <v>0.1630285059</v>
      </c>
      <c r="H681" s="134">
        <f t="shared" si="1294"/>
        <v>0.9888946145</v>
      </c>
      <c r="J681" s="135">
        <f t="shared" si="8"/>
        <v>96705239.94</v>
      </c>
      <c r="K681" s="136">
        <f>IF(J681&gt;0,MIN(99,$B$12*Q681/(J681*12*(1-Inputs!$H$16))),99)</f>
        <v>7.920188318</v>
      </c>
      <c r="L681" s="134">
        <f t="shared" si="9"/>
        <v>0.9443485713</v>
      </c>
      <c r="M681" s="134">
        <f t="shared" si="10"/>
        <v>0.9744657514</v>
      </c>
      <c r="N681" s="134">
        <f t="shared" si="11"/>
        <v>1.036563077</v>
      </c>
      <c r="O681" s="134">
        <f t="shared" si="12"/>
        <v>1.061395689</v>
      </c>
      <c r="P681" s="134">
        <f t="shared" si="13"/>
        <v>0.9926308391</v>
      </c>
      <c r="Q681" s="134">
        <f t="shared" si="14"/>
        <v>1.407842255</v>
      </c>
    </row>
    <row r="682" ht="15.0" customHeight="1">
      <c r="A682" s="13">
        <v>643.0</v>
      </c>
      <c r="B682" s="134">
        <f t="shared" ref="B682:D682" si="1295">RAND()</f>
        <v>0.4523562961</v>
      </c>
      <c r="C682" s="134">
        <f t="shared" si="1295"/>
        <v>0.4260969818</v>
      </c>
      <c r="D682" s="134">
        <f t="shared" si="1295"/>
        <v>0.1203720559</v>
      </c>
      <c r="F682" s="134">
        <f t="shared" ref="F682:H682" si="1296">RAND()</f>
        <v>0.44051384</v>
      </c>
      <c r="G682" s="134">
        <f t="shared" si="1296"/>
        <v>0.9787949144</v>
      </c>
      <c r="H682" s="134">
        <f t="shared" si="1296"/>
        <v>0.3250101402</v>
      </c>
      <c r="J682" s="135">
        <f t="shared" si="8"/>
        <v>128949875.9</v>
      </c>
      <c r="K682" s="136">
        <f>IF(J682&gt;0,MIN(99,$B$12*Q682/(J682*12*(1-Inputs!$H$16))),99)</f>
        <v>4.339494132</v>
      </c>
      <c r="L682" s="134">
        <f t="shared" si="9"/>
        <v>1.000589706</v>
      </c>
      <c r="M682" s="134">
        <f t="shared" si="10"/>
        <v>0.9996267787</v>
      </c>
      <c r="N682" s="134">
        <f t="shared" si="11"/>
        <v>0.9722991644</v>
      </c>
      <c r="O682" s="134">
        <f t="shared" si="12"/>
        <v>1.017591573</v>
      </c>
      <c r="P682" s="134">
        <f t="shared" si="13"/>
        <v>1.7242937</v>
      </c>
      <c r="Q682" s="134">
        <f t="shared" si="14"/>
        <v>1.028557358</v>
      </c>
    </row>
    <row r="683" ht="15.0" customHeight="1">
      <c r="A683" s="13">
        <v>644.0</v>
      </c>
      <c r="B683" s="134">
        <f t="shared" ref="B683:D683" si="1297">RAND()</f>
        <v>0.120600372</v>
      </c>
      <c r="C683" s="134">
        <f t="shared" si="1297"/>
        <v>0.5161290918</v>
      </c>
      <c r="D683" s="134">
        <f t="shared" si="1297"/>
        <v>0.871351045</v>
      </c>
      <c r="F683" s="134">
        <f t="shared" ref="F683:H683" si="1298">RAND()</f>
        <v>0.1034882793</v>
      </c>
      <c r="G683" s="134">
        <f t="shared" si="1298"/>
        <v>0.9191673481</v>
      </c>
      <c r="H683" s="134">
        <f t="shared" si="1298"/>
        <v>0.5158783179</v>
      </c>
      <c r="J683" s="135">
        <f t="shared" si="8"/>
        <v>48780025.14</v>
      </c>
      <c r="K683" s="136">
        <f>IF(J683&gt;0,MIN(99,$B$12*Q683/(J683*12*(1-Inputs!$H$16))),99)</f>
        <v>12.21440391</v>
      </c>
      <c r="L683" s="134">
        <f t="shared" si="9"/>
        <v>0.8914797916</v>
      </c>
      <c r="M683" s="134">
        <f t="shared" si="10"/>
        <v>0.9508128511</v>
      </c>
      <c r="N683" s="134">
        <f t="shared" si="11"/>
        <v>1.048421167</v>
      </c>
      <c r="O683" s="134">
        <f t="shared" si="12"/>
        <v>0.990918507</v>
      </c>
      <c r="P683" s="134">
        <f t="shared" si="13"/>
        <v>1.592409677</v>
      </c>
      <c r="Q683" s="134">
        <f t="shared" si="14"/>
        <v>1.095173126</v>
      </c>
    </row>
    <row r="684" ht="15.0" customHeight="1">
      <c r="A684" s="13">
        <v>645.0</v>
      </c>
      <c r="B684" s="134">
        <f t="shared" ref="B684:D684" si="1299">RAND()</f>
        <v>0.5398404534</v>
      </c>
      <c r="C684" s="134">
        <f t="shared" si="1299"/>
        <v>0.518380306</v>
      </c>
      <c r="D684" s="134">
        <f t="shared" si="1299"/>
        <v>0.3402455302</v>
      </c>
      <c r="F684" s="134">
        <f t="shared" ref="F684:H684" si="1300">RAND()</f>
        <v>0.8392117891</v>
      </c>
      <c r="G684" s="134">
        <f t="shared" si="1300"/>
        <v>0.4558674381</v>
      </c>
      <c r="H684" s="134">
        <f t="shared" si="1300"/>
        <v>0.6256645799</v>
      </c>
      <c r="J684" s="135">
        <f t="shared" si="8"/>
        <v>154423430.6</v>
      </c>
      <c r="K684" s="136">
        <f>IF(J684&gt;0,MIN(99,$B$12*Q684/(J684*12*(1-Inputs!$H$16))),99)</f>
        <v>4.014991379</v>
      </c>
      <c r="L684" s="134">
        <f t="shared" si="9"/>
        <v>1.023460863</v>
      </c>
      <c r="M684" s="134">
        <f t="shared" si="10"/>
        <v>1.00974315</v>
      </c>
      <c r="N684" s="134">
        <f t="shared" si="11"/>
        <v>0.9950300351</v>
      </c>
      <c r="O684" s="134">
        <f t="shared" si="12"/>
        <v>1.061312299</v>
      </c>
      <c r="P684" s="134">
        <f t="shared" si="13"/>
        <v>1.161317774</v>
      </c>
      <c r="Q684" s="134">
        <f t="shared" si="14"/>
        <v>1.139636354</v>
      </c>
    </row>
    <row r="685" ht="15.0" customHeight="1">
      <c r="A685" s="13">
        <v>646.0</v>
      </c>
      <c r="B685" s="134">
        <f t="shared" ref="B685:D685" si="1301">RAND()</f>
        <v>0.528900917</v>
      </c>
      <c r="C685" s="134">
        <f t="shared" si="1301"/>
        <v>0.3580425995</v>
      </c>
      <c r="D685" s="134">
        <f t="shared" si="1301"/>
        <v>0.9135623056</v>
      </c>
      <c r="F685" s="134">
        <f t="shared" ref="F685:H685" si="1302">RAND()</f>
        <v>0.8437679759</v>
      </c>
      <c r="G685" s="134">
        <f t="shared" si="1302"/>
        <v>0.546644171</v>
      </c>
      <c r="H685" s="134">
        <f t="shared" si="1302"/>
        <v>0.3258550574</v>
      </c>
      <c r="J685" s="135">
        <f t="shared" si="8"/>
        <v>136457755.6</v>
      </c>
      <c r="K685" s="136">
        <f>IF(J685&gt;0,MIN(99,$B$12*Q685/(J685*12*(1-Inputs!$H$16))),99)</f>
        <v>4.101822014</v>
      </c>
      <c r="L685" s="134">
        <f t="shared" si="9"/>
        <v>1.02048846</v>
      </c>
      <c r="M685" s="134">
        <f t="shared" si="10"/>
        <v>1.008428561</v>
      </c>
      <c r="N685" s="134">
        <f t="shared" si="11"/>
        <v>1.055988139</v>
      </c>
      <c r="O685" s="134">
        <f t="shared" si="12"/>
        <v>1.062033252</v>
      </c>
      <c r="P685" s="134">
        <f t="shared" si="13"/>
        <v>1.222496438</v>
      </c>
      <c r="Q685" s="134">
        <f t="shared" si="14"/>
        <v>1.028829757</v>
      </c>
    </row>
    <row r="686" ht="15.0" customHeight="1">
      <c r="A686" s="13">
        <v>647.0</v>
      </c>
      <c r="B686" s="134">
        <f t="shared" ref="B686:D686" si="1303">RAND()</f>
        <v>0.1884588434</v>
      </c>
      <c r="C686" s="134">
        <f t="shared" si="1303"/>
        <v>0.5456955788</v>
      </c>
      <c r="D686" s="134">
        <f t="shared" si="1303"/>
        <v>0.9107663486</v>
      </c>
      <c r="F686" s="134">
        <f t="shared" ref="F686:H686" si="1304">RAND()</f>
        <v>0.5785980854</v>
      </c>
      <c r="G686" s="134">
        <f t="shared" si="1304"/>
        <v>0.07600698066</v>
      </c>
      <c r="H686" s="134">
        <f t="shared" si="1304"/>
        <v>0.9096890785</v>
      </c>
      <c r="J686" s="135">
        <f t="shared" si="8"/>
        <v>84525047.52</v>
      </c>
      <c r="K686" s="136">
        <f>IF(J686&gt;0,MIN(99,$B$12*Q686/(J686*12*(1-Inputs!$H$16))),99)</f>
        <v>8.396354418</v>
      </c>
      <c r="L686" s="134">
        <f t="shared" si="9"/>
        <v>0.9206077604</v>
      </c>
      <c r="M686" s="134">
        <f t="shared" si="10"/>
        <v>0.9638443783</v>
      </c>
      <c r="N686" s="134">
        <f t="shared" si="11"/>
        <v>1.055436224</v>
      </c>
      <c r="O686" s="134">
        <f t="shared" si="12"/>
        <v>1.030044062</v>
      </c>
      <c r="P686" s="134">
        <f t="shared" si="13"/>
        <v>0.9361878181</v>
      </c>
      <c r="Q686" s="134">
        <f t="shared" si="14"/>
        <v>1.304501753</v>
      </c>
    </row>
    <row r="687" ht="15.0" customHeight="1">
      <c r="A687" s="13">
        <v>648.0</v>
      </c>
      <c r="B687" s="134">
        <f t="shared" ref="B687:D687" si="1305">RAND()</f>
        <v>0.3764367583</v>
      </c>
      <c r="C687" s="134">
        <f t="shared" si="1305"/>
        <v>0.7611636495</v>
      </c>
      <c r="D687" s="134">
        <f t="shared" si="1305"/>
        <v>0.9317432671</v>
      </c>
      <c r="F687" s="134">
        <f t="shared" ref="F687:H687" si="1306">RAND()</f>
        <v>0.8093607961</v>
      </c>
      <c r="G687" s="134">
        <f t="shared" si="1306"/>
        <v>0.3938367033</v>
      </c>
      <c r="H687" s="134">
        <f t="shared" si="1306"/>
        <v>0.1585977164</v>
      </c>
      <c r="J687" s="135">
        <f t="shared" si="8"/>
        <v>112548259.5</v>
      </c>
      <c r="K687" s="136">
        <f>IF(J687&gt;0,MIN(99,$B$12*Q687/(J687*12*(1-Inputs!$H$16))),99)</f>
        <v>4.713789621</v>
      </c>
      <c r="L687" s="134">
        <f t="shared" si="9"/>
        <v>0.9807890554</v>
      </c>
      <c r="M687" s="134">
        <f t="shared" si="10"/>
        <v>0.9907688161</v>
      </c>
      <c r="N687" s="134">
        <f t="shared" si="11"/>
        <v>1.059819139</v>
      </c>
      <c r="O687" s="134">
        <f t="shared" si="12"/>
        <v>1.056822038</v>
      </c>
      <c r="P687" s="134">
        <f t="shared" si="13"/>
        <v>1.122414286</v>
      </c>
      <c r="Q687" s="134">
        <f t="shared" si="14"/>
        <v>0.9751635516</v>
      </c>
    </row>
    <row r="688" ht="15.0" customHeight="1">
      <c r="A688" s="13">
        <v>649.0</v>
      </c>
      <c r="B688" s="134">
        <f t="shared" ref="B688:D688" si="1307">RAND()</f>
        <v>0.3818406454</v>
      </c>
      <c r="C688" s="134">
        <f t="shared" si="1307"/>
        <v>0.4722331623</v>
      </c>
      <c r="D688" s="134">
        <f t="shared" si="1307"/>
        <v>0.1198789833</v>
      </c>
      <c r="F688" s="134">
        <f t="shared" ref="F688:H688" si="1308">RAND()</f>
        <v>0.829564846</v>
      </c>
      <c r="G688" s="134">
        <f t="shared" si="1308"/>
        <v>0.5130349436</v>
      </c>
      <c r="H688" s="134">
        <f t="shared" si="1308"/>
        <v>0.08642295268</v>
      </c>
      <c r="J688" s="135">
        <f t="shared" si="8"/>
        <v>128675881.3</v>
      </c>
      <c r="K688" s="136">
        <f>IF(J688&gt;0,MIN(99,$B$12*Q688/(J688*12*(1-Inputs!$H$16))),99)</f>
        <v>3.9941335</v>
      </c>
      <c r="L688" s="134">
        <f t="shared" si="9"/>
        <v>0.9822608806</v>
      </c>
      <c r="M688" s="134">
        <f t="shared" si="10"/>
        <v>0.9914272942</v>
      </c>
      <c r="N688" s="134">
        <f t="shared" si="11"/>
        <v>0.9722307563</v>
      </c>
      <c r="O688" s="134">
        <f t="shared" si="12"/>
        <v>1.059818772</v>
      </c>
      <c r="P688" s="134">
        <f t="shared" si="13"/>
        <v>1.199187728</v>
      </c>
      <c r="Q688" s="134">
        <f t="shared" si="14"/>
        <v>0.9446875878</v>
      </c>
    </row>
    <row r="689" ht="15.0" customHeight="1">
      <c r="A689" s="13">
        <v>650.0</v>
      </c>
      <c r="B689" s="134">
        <f t="shared" ref="B689:D689" si="1309">RAND()</f>
        <v>0.7966901045</v>
      </c>
      <c r="C689" s="134">
        <f t="shared" si="1309"/>
        <v>0.01493670727</v>
      </c>
      <c r="D689" s="134">
        <f t="shared" si="1309"/>
        <v>0.3242622809</v>
      </c>
      <c r="F689" s="134">
        <f t="shared" ref="F689:H689" si="1310">RAND()</f>
        <v>0.1020046614</v>
      </c>
      <c r="G689" s="134">
        <f t="shared" si="1310"/>
        <v>0.8607301695</v>
      </c>
      <c r="H689" s="134">
        <f t="shared" si="1310"/>
        <v>0.4048775981</v>
      </c>
      <c r="J689" s="135">
        <f t="shared" si="8"/>
        <v>216460285.4</v>
      </c>
      <c r="K689" s="136">
        <f>IF(J689&gt;0,MIN(99,$B$12*Q689/(J689*12*(1-Inputs!$H$16))),99)</f>
        <v>2.651858832</v>
      </c>
      <c r="L689" s="134">
        <f t="shared" si="9"/>
        <v>1.107802181</v>
      </c>
      <c r="M689" s="134">
        <f t="shared" si="10"/>
        <v>1.047044366</v>
      </c>
      <c r="N689" s="134">
        <f t="shared" si="11"/>
        <v>0.9936965889</v>
      </c>
      <c r="O689" s="134">
        <f t="shared" si="12"/>
        <v>0.9907671985</v>
      </c>
      <c r="P689" s="134">
        <f t="shared" si="13"/>
        <v>1.50789403</v>
      </c>
      <c r="Q689" s="134">
        <f t="shared" si="14"/>
        <v>1.055108469</v>
      </c>
    </row>
    <row r="690" ht="15.0" customHeight="1">
      <c r="A690" s="13">
        <v>651.0</v>
      </c>
      <c r="B690" s="134">
        <f t="shared" ref="B690:D690" si="1311">RAND()</f>
        <v>0.8913920604</v>
      </c>
      <c r="C690" s="134">
        <f t="shared" si="1311"/>
        <v>0.3063121099</v>
      </c>
      <c r="D690" s="134">
        <f t="shared" si="1311"/>
        <v>0.9488555501</v>
      </c>
      <c r="F690" s="134">
        <f t="shared" ref="F690:H690" si="1312">RAND()</f>
        <v>0.837931944</v>
      </c>
      <c r="G690" s="134">
        <f t="shared" si="1312"/>
        <v>0.7202321105</v>
      </c>
      <c r="H690" s="134">
        <f t="shared" si="1312"/>
        <v>0.5261351003</v>
      </c>
      <c r="J690" s="135">
        <f t="shared" si="8"/>
        <v>228183234.1</v>
      </c>
      <c r="K690" s="136">
        <f>IF(J690&gt;0,MIN(99,$B$12*Q690/(J690*12*(1-Inputs!$H$16))),99)</f>
        <v>2.620498758</v>
      </c>
      <c r="L690" s="134">
        <f t="shared" si="9"/>
        <v>1.152796924</v>
      </c>
      <c r="M690" s="134">
        <f t="shared" si="10"/>
        <v>1.066943967</v>
      </c>
      <c r="N690" s="134">
        <f t="shared" si="11"/>
        <v>1.06392691</v>
      </c>
      <c r="O690" s="134">
        <f t="shared" si="12"/>
        <v>1.061111625</v>
      </c>
      <c r="P690" s="134">
        <f t="shared" si="13"/>
        <v>1.359795909</v>
      </c>
      <c r="Q690" s="134">
        <f t="shared" si="14"/>
        <v>1.099097375</v>
      </c>
    </row>
    <row r="691" ht="15.0" customHeight="1">
      <c r="A691" s="13">
        <v>652.0</v>
      </c>
      <c r="B691" s="134">
        <f t="shared" ref="B691:D691" si="1313">RAND()</f>
        <v>0.09353402087</v>
      </c>
      <c r="C691" s="134">
        <f t="shared" si="1313"/>
        <v>0.2485811092</v>
      </c>
      <c r="D691" s="134">
        <f t="shared" si="1313"/>
        <v>0.4366996105</v>
      </c>
      <c r="F691" s="134">
        <f t="shared" ref="F691:H691" si="1314">RAND()</f>
        <v>0.2271048113</v>
      </c>
      <c r="G691" s="134">
        <f t="shared" si="1314"/>
        <v>0.8199549375</v>
      </c>
      <c r="H691" s="134">
        <f t="shared" si="1314"/>
        <v>0.03815437107</v>
      </c>
      <c r="J691" s="135">
        <f t="shared" si="8"/>
        <v>51936928.96</v>
      </c>
      <c r="K691" s="136">
        <f>IF(J691&gt;0,MIN(99,$B$12*Q691/(J691*12*(1-Inputs!$H$16))),99)</f>
        <v>9.593598082</v>
      </c>
      <c r="L691" s="134">
        <f t="shared" si="9"/>
        <v>0.8775796147</v>
      </c>
      <c r="M691" s="134">
        <f t="shared" si="10"/>
        <v>0.9445940675</v>
      </c>
      <c r="N691" s="134">
        <f t="shared" si="11"/>
        <v>1.002573087</v>
      </c>
      <c r="O691" s="134">
        <f t="shared" si="12"/>
        <v>1.001066527</v>
      </c>
      <c r="P691" s="134">
        <f t="shared" si="13"/>
        <v>1.459275045</v>
      </c>
      <c r="Q691" s="134">
        <f t="shared" si="14"/>
        <v>0.9158540439</v>
      </c>
    </row>
    <row r="692" ht="15.0" customHeight="1">
      <c r="A692" s="13">
        <v>653.0</v>
      </c>
      <c r="B692" s="134">
        <f t="shared" ref="B692:D692" si="1315">RAND()</f>
        <v>0.6911936447</v>
      </c>
      <c r="C692" s="134">
        <f t="shared" si="1315"/>
        <v>0.8463152557</v>
      </c>
      <c r="D692" s="134">
        <f t="shared" si="1315"/>
        <v>0.6686512623</v>
      </c>
      <c r="F692" s="134">
        <f t="shared" ref="F692:H692" si="1316">RAND()</f>
        <v>0.2726852075</v>
      </c>
      <c r="G692" s="134">
        <f t="shared" si="1316"/>
        <v>0.07962736465</v>
      </c>
      <c r="H692" s="134">
        <f t="shared" si="1316"/>
        <v>0.9728607356</v>
      </c>
      <c r="J692" s="135">
        <f t="shared" si="8"/>
        <v>199368491.9</v>
      </c>
      <c r="K692" s="136">
        <f>IF(J692&gt;0,MIN(99,$B$12*Q692/(J692*12*(1-Inputs!$H$16))),99)</f>
        <v>3.755968763</v>
      </c>
      <c r="L692" s="134">
        <f t="shared" si="9"/>
        <v>1.068939635</v>
      </c>
      <c r="M692" s="134">
        <f t="shared" si="10"/>
        <v>1.029856821</v>
      </c>
      <c r="N692" s="134">
        <f t="shared" si="11"/>
        <v>1.023037279</v>
      </c>
      <c r="O692" s="134">
        <f t="shared" si="12"/>
        <v>1.00438234</v>
      </c>
      <c r="P692" s="134">
        <f t="shared" si="13"/>
        <v>0.9390478095</v>
      </c>
      <c r="Q692" s="134">
        <f t="shared" si="14"/>
        <v>1.37640733</v>
      </c>
    </row>
    <row r="693" ht="15.0" customHeight="1">
      <c r="A693" s="13">
        <v>654.0</v>
      </c>
      <c r="B693" s="134">
        <f t="shared" ref="B693:D693" si="1317">RAND()</f>
        <v>0.7606416825</v>
      </c>
      <c r="C693" s="134">
        <f t="shared" si="1317"/>
        <v>0.5412884872</v>
      </c>
      <c r="D693" s="134">
        <f t="shared" si="1317"/>
        <v>0.9171343436</v>
      </c>
      <c r="F693" s="134">
        <f t="shared" ref="F693:H693" si="1318">RAND()</f>
        <v>0.09181910211</v>
      </c>
      <c r="G693" s="134">
        <f t="shared" si="1318"/>
        <v>0.2894121424</v>
      </c>
      <c r="H693" s="134">
        <f t="shared" si="1318"/>
        <v>0.01814242143</v>
      </c>
      <c r="J693" s="135">
        <f t="shared" si="8"/>
        <v>207771839.8</v>
      </c>
      <c r="K693" s="136">
        <f>IF(J693&gt;0,MIN(99,$B$12*Q693/(J693*12*(1-Inputs!$H$16))),99)</f>
        <v>2.351711858</v>
      </c>
      <c r="L693" s="134">
        <f t="shared" si="9"/>
        <v>1.09358399</v>
      </c>
      <c r="M693" s="134">
        <f t="shared" si="10"/>
        <v>1.040756157</v>
      </c>
      <c r="N693" s="134">
        <f t="shared" si="11"/>
        <v>1.056706407</v>
      </c>
      <c r="O693" s="134">
        <f t="shared" si="12"/>
        <v>0.9896972363</v>
      </c>
      <c r="P693" s="134">
        <f t="shared" si="13"/>
        <v>1.061176231</v>
      </c>
      <c r="Q693" s="134">
        <f t="shared" si="14"/>
        <v>0.8981301497</v>
      </c>
    </row>
    <row r="694" ht="15.0" customHeight="1">
      <c r="A694" s="13">
        <v>655.0</v>
      </c>
      <c r="B694" s="134">
        <f t="shared" ref="B694:D694" si="1319">RAND()</f>
        <v>0.1108236447</v>
      </c>
      <c r="C694" s="134">
        <f t="shared" si="1319"/>
        <v>0.6602980557</v>
      </c>
      <c r="D694" s="134">
        <f t="shared" si="1319"/>
        <v>0.8576365918</v>
      </c>
      <c r="F694" s="134">
        <f t="shared" ref="F694:H694" si="1320">RAND()</f>
        <v>0.1760315991</v>
      </c>
      <c r="G694" s="134">
        <f t="shared" si="1320"/>
        <v>0.8770612726</v>
      </c>
      <c r="H694" s="134">
        <f t="shared" si="1320"/>
        <v>0.8512706524</v>
      </c>
      <c r="J694" s="135">
        <f t="shared" si="8"/>
        <v>47432664.69</v>
      </c>
      <c r="K694" s="136">
        <f>IF(J694&gt;0,MIN(99,$B$12*Q694/(J694*12*(1-Inputs!$H$16))),99)</f>
        <v>14.44517463</v>
      </c>
      <c r="L694" s="134">
        <f t="shared" si="9"/>
        <v>0.8866586764</v>
      </c>
      <c r="M694" s="134">
        <f t="shared" si="10"/>
        <v>0.9486559381</v>
      </c>
      <c r="N694" s="134">
        <f t="shared" si="11"/>
        <v>1.046240939</v>
      </c>
      <c r="O694" s="134">
        <f t="shared" si="12"/>
        <v>0.9973170414</v>
      </c>
      <c r="P694" s="134">
        <f t="shared" si="13"/>
        <v>1.52934917</v>
      </c>
      <c r="Q694" s="134">
        <f t="shared" si="14"/>
        <v>1.259414824</v>
      </c>
    </row>
    <row r="695" ht="15.0" customHeight="1">
      <c r="A695" s="13">
        <v>656.0</v>
      </c>
      <c r="B695" s="134">
        <f t="shared" ref="B695:D695" si="1321">RAND()</f>
        <v>0.668127253</v>
      </c>
      <c r="C695" s="134">
        <f t="shared" si="1321"/>
        <v>0.3669166441</v>
      </c>
      <c r="D695" s="134">
        <f t="shared" si="1321"/>
        <v>0.634775993</v>
      </c>
      <c r="F695" s="134">
        <f t="shared" ref="F695:H695" si="1322">RAND()</f>
        <v>0.4389518839</v>
      </c>
      <c r="G695" s="134">
        <f t="shared" si="1322"/>
        <v>0.888819079</v>
      </c>
      <c r="H695" s="134">
        <f t="shared" si="1322"/>
        <v>0.3840861754</v>
      </c>
      <c r="J695" s="135">
        <f t="shared" si="8"/>
        <v>169436627</v>
      </c>
      <c r="K695" s="136">
        <f>IF(J695&gt;0,MIN(99,$B$12*Q695/(J695*12*(1-Inputs!$H$16))),99)</f>
        <v>3.365110103</v>
      </c>
      <c r="L695" s="134">
        <f t="shared" si="9"/>
        <v>1.061382345</v>
      </c>
      <c r="M695" s="134">
        <f t="shared" si="10"/>
        <v>1.026514496</v>
      </c>
      <c r="N695" s="134">
        <f t="shared" si="11"/>
        <v>1.019678303</v>
      </c>
      <c r="O695" s="134">
        <f t="shared" si="12"/>
        <v>1.017460113</v>
      </c>
      <c r="P695" s="134">
        <f t="shared" si="13"/>
        <v>1.545693713</v>
      </c>
      <c r="Q695" s="134">
        <f t="shared" si="14"/>
        <v>1.048033239</v>
      </c>
    </row>
    <row r="696" ht="15.0" customHeight="1">
      <c r="A696" s="13">
        <v>657.0</v>
      </c>
      <c r="B696" s="134">
        <f t="shared" ref="B696:D696" si="1323">RAND()</f>
        <v>0.005030993203</v>
      </c>
      <c r="C696" s="134">
        <f t="shared" si="1323"/>
        <v>0.8409661143</v>
      </c>
      <c r="D696" s="134">
        <f t="shared" si="1323"/>
        <v>0.07583713039</v>
      </c>
      <c r="F696" s="134">
        <f t="shared" ref="F696:H696" si="1324">RAND()</f>
        <v>0.6870013266</v>
      </c>
      <c r="G696" s="134">
        <f t="shared" si="1324"/>
        <v>0.2670186159</v>
      </c>
      <c r="H696" s="134">
        <f t="shared" si="1324"/>
        <v>0.9919944146</v>
      </c>
      <c r="J696" s="135">
        <f t="shared" si="8"/>
        <v>18341687.16</v>
      </c>
      <c r="K696" s="136">
        <f>IF(J696&gt;0,MIN(99,$B$12*Q696/(J696*12*(1-Inputs!$H$16))),99)</f>
        <v>42.00851747</v>
      </c>
      <c r="L696" s="134">
        <f t="shared" si="9"/>
        <v>0.7987904757</v>
      </c>
      <c r="M696" s="134">
        <f t="shared" si="10"/>
        <v>0.9093446886</v>
      </c>
      <c r="N696" s="134">
        <f t="shared" si="11"/>
        <v>0.9654170399</v>
      </c>
      <c r="O696" s="134">
        <f t="shared" si="12"/>
        <v>1.041344785</v>
      </c>
      <c r="P696" s="134">
        <f t="shared" si="13"/>
        <v>1.048643518</v>
      </c>
      <c r="Q696" s="134">
        <f t="shared" si="14"/>
        <v>1.416266941</v>
      </c>
    </row>
    <row r="697" ht="15.0" customHeight="1">
      <c r="A697" s="13">
        <v>658.0</v>
      </c>
      <c r="B697" s="134">
        <f t="shared" ref="B697:D697" si="1325">RAND()</f>
        <v>0.2469415038</v>
      </c>
      <c r="C697" s="134">
        <f t="shared" si="1325"/>
        <v>0.4900328389</v>
      </c>
      <c r="D697" s="134">
        <f t="shared" si="1325"/>
        <v>0.2848518321</v>
      </c>
      <c r="F697" s="134">
        <f t="shared" ref="F697:H697" si="1326">RAND()</f>
        <v>0.8778523167</v>
      </c>
      <c r="G697" s="134">
        <f t="shared" si="1326"/>
        <v>0.6243809879</v>
      </c>
      <c r="H697" s="134">
        <f t="shared" si="1326"/>
        <v>0.6221888408</v>
      </c>
      <c r="J697" s="135">
        <f t="shared" si="8"/>
        <v>92369667.77</v>
      </c>
      <c r="K697" s="136">
        <f>IF(J697&gt;0,MIN(99,$B$12*Q697/(J697*12*(1-Inputs!$H$16))),99)</f>
        <v>6.703415461</v>
      </c>
      <c r="L697" s="134">
        <f t="shared" si="9"/>
        <v>0.9416760906</v>
      </c>
      <c r="M697" s="134">
        <f t="shared" si="10"/>
        <v>0.9732701134</v>
      </c>
      <c r="N697" s="134">
        <f t="shared" si="11"/>
        <v>0.9902608612</v>
      </c>
      <c r="O697" s="134">
        <f t="shared" si="12"/>
        <v>1.067799488</v>
      </c>
      <c r="P697" s="134">
        <f t="shared" si="13"/>
        <v>1.279969376</v>
      </c>
      <c r="Q697" s="134">
        <f t="shared" si="14"/>
        <v>1.138135578</v>
      </c>
    </row>
    <row r="698" ht="15.0" customHeight="1">
      <c r="A698" s="13">
        <v>659.0</v>
      </c>
      <c r="B698" s="134">
        <f t="shared" ref="B698:D698" si="1327">RAND()</f>
        <v>0.7834550756</v>
      </c>
      <c r="C698" s="134">
        <f t="shared" si="1327"/>
        <v>0.4518046214</v>
      </c>
      <c r="D698" s="134">
        <f t="shared" si="1327"/>
        <v>0.2553391098</v>
      </c>
      <c r="F698" s="134">
        <f t="shared" ref="F698:H698" si="1328">RAND()</f>
        <v>0.6259198741</v>
      </c>
      <c r="G698" s="134">
        <f t="shared" si="1328"/>
        <v>0.5385057405</v>
      </c>
      <c r="H698" s="134">
        <f t="shared" si="1328"/>
        <v>0.8194158949</v>
      </c>
      <c r="J698" s="135">
        <f t="shared" si="8"/>
        <v>217450523.1</v>
      </c>
      <c r="K698" s="136">
        <f>IF(J698&gt;0,MIN(99,$B$12*Q698/(J698*12*(1-Inputs!$H$16))),99)</f>
        <v>3.09887023</v>
      </c>
      <c r="L698" s="134">
        <f t="shared" si="9"/>
        <v>1.102445872</v>
      </c>
      <c r="M698" s="134">
        <f t="shared" si="10"/>
        <v>1.044675458</v>
      </c>
      <c r="N698" s="134">
        <f t="shared" si="11"/>
        <v>0.9875291996</v>
      </c>
      <c r="O698" s="134">
        <f t="shared" si="12"/>
        <v>1.034773137</v>
      </c>
      <c r="P698" s="134">
        <f t="shared" si="13"/>
        <v>1.21677509</v>
      </c>
      <c r="Q698" s="134">
        <f t="shared" si="14"/>
        <v>1.238603571</v>
      </c>
    </row>
    <row r="699" ht="15.0" customHeight="1">
      <c r="A699" s="13">
        <v>660.0</v>
      </c>
      <c r="B699" s="134">
        <f t="shared" ref="B699:D699" si="1329">RAND()</f>
        <v>0.2913132829</v>
      </c>
      <c r="C699" s="134">
        <f t="shared" si="1329"/>
        <v>0.3754470315</v>
      </c>
      <c r="D699" s="134">
        <f t="shared" si="1329"/>
        <v>0.1690906407</v>
      </c>
      <c r="F699" s="134">
        <f t="shared" ref="F699:H699" si="1330">RAND()</f>
        <v>0.7267093538</v>
      </c>
      <c r="G699" s="134">
        <f t="shared" si="1330"/>
        <v>0.5513850586</v>
      </c>
      <c r="H699" s="134">
        <f t="shared" si="1330"/>
        <v>0.1152449053</v>
      </c>
      <c r="J699" s="135">
        <f t="shared" si="8"/>
        <v>110317749.3</v>
      </c>
      <c r="K699" s="136">
        <f>IF(J699&gt;0,MIN(99,$B$12*Q699/(J699*12*(1-Inputs!$H$16))),99)</f>
        <v>4.724388785</v>
      </c>
      <c r="L699" s="134">
        <f t="shared" si="9"/>
        <v>0.95603244</v>
      </c>
      <c r="M699" s="134">
        <f t="shared" si="10"/>
        <v>0.9796929834</v>
      </c>
      <c r="N699" s="134">
        <f t="shared" si="11"/>
        <v>0.9784790696</v>
      </c>
      <c r="O699" s="134">
        <f t="shared" si="12"/>
        <v>1.045967633</v>
      </c>
      <c r="P699" s="134">
        <f t="shared" si="13"/>
        <v>1.225852989</v>
      </c>
      <c r="Q699" s="134">
        <f t="shared" si="14"/>
        <v>0.9579867535</v>
      </c>
    </row>
    <row r="700" ht="15.0" customHeight="1">
      <c r="A700" s="13">
        <v>661.0</v>
      </c>
      <c r="B700" s="134">
        <f t="shared" ref="B700:D700" si="1331">RAND()</f>
        <v>0.8758926035</v>
      </c>
      <c r="C700" s="134">
        <f t="shared" si="1331"/>
        <v>0.7667921596</v>
      </c>
      <c r="D700" s="134">
        <f t="shared" si="1331"/>
        <v>0.3981391282</v>
      </c>
      <c r="F700" s="134">
        <f t="shared" ref="F700:H700" si="1332">RAND()</f>
        <v>0.7942877572</v>
      </c>
      <c r="G700" s="134">
        <f t="shared" si="1332"/>
        <v>0.3866846669</v>
      </c>
      <c r="H700" s="134">
        <f t="shared" si="1332"/>
        <v>0.9562410875</v>
      </c>
      <c r="J700" s="135">
        <f t="shared" si="8"/>
        <v>247652543</v>
      </c>
      <c r="K700" s="136">
        <f>IF(J700&gt;0,MIN(99,$B$12*Q700/(J700*12*(1-Inputs!$H$16))),99)</f>
        <v>2.971971054</v>
      </c>
      <c r="L700" s="134">
        <f t="shared" si="9"/>
        <v>1.144367818</v>
      </c>
      <c r="M700" s="134">
        <f t="shared" si="10"/>
        <v>1.063216068</v>
      </c>
      <c r="N700" s="134">
        <f t="shared" si="11"/>
        <v>0.9996151768</v>
      </c>
      <c r="O700" s="134">
        <f t="shared" si="12"/>
        <v>1.054688615</v>
      </c>
      <c r="P700" s="134">
        <f t="shared" si="13"/>
        <v>1.11805944</v>
      </c>
      <c r="Q700" s="134">
        <f t="shared" si="14"/>
        <v>1.352869321</v>
      </c>
    </row>
    <row r="701" ht="15.0" customHeight="1">
      <c r="A701" s="13">
        <v>662.0</v>
      </c>
      <c r="B701" s="134">
        <f t="shared" ref="B701:D701" si="1333">RAND()</f>
        <v>0.5886732722</v>
      </c>
      <c r="C701" s="134">
        <f t="shared" si="1333"/>
        <v>0.593818734</v>
      </c>
      <c r="D701" s="134">
        <f t="shared" si="1333"/>
        <v>0.4085107558</v>
      </c>
      <c r="F701" s="134">
        <f t="shared" ref="F701:H701" si="1334">RAND()</f>
        <v>0.5105521878</v>
      </c>
      <c r="G701" s="134">
        <f t="shared" si="1334"/>
        <v>0.8726025542</v>
      </c>
      <c r="H701" s="134">
        <f t="shared" si="1334"/>
        <v>0.38441654</v>
      </c>
      <c r="J701" s="135">
        <f t="shared" si="8"/>
        <v>155808683.9</v>
      </c>
      <c r="K701" s="136">
        <f>IF(J701&gt;0,MIN(99,$B$12*Q701/(J701*12*(1-Inputs!$H$16))),99)</f>
        <v>3.659831663</v>
      </c>
      <c r="L701" s="134">
        <f t="shared" si="9"/>
        <v>1.03718195</v>
      </c>
      <c r="M701" s="134">
        <f t="shared" si="10"/>
        <v>1.015811507</v>
      </c>
      <c r="N701" s="134">
        <f t="shared" si="11"/>
        <v>1.000402699</v>
      </c>
      <c r="O701" s="134">
        <f t="shared" si="12"/>
        <v>1.023687533</v>
      </c>
      <c r="P701" s="134">
        <f t="shared" si="13"/>
        <v>1.523356866</v>
      </c>
      <c r="Q701" s="134">
        <f t="shared" si="14"/>
        <v>1.048144719</v>
      </c>
    </row>
    <row r="702" ht="15.0" customHeight="1">
      <c r="A702" s="13">
        <v>663.0</v>
      </c>
      <c r="B702" s="134">
        <f t="shared" ref="B702:D702" si="1335">RAND()</f>
        <v>0.2817977221</v>
      </c>
      <c r="C702" s="134">
        <f t="shared" si="1335"/>
        <v>0.890693246</v>
      </c>
      <c r="D702" s="134">
        <f t="shared" si="1335"/>
        <v>0.2092801442</v>
      </c>
      <c r="F702" s="134">
        <f t="shared" ref="F702:H702" si="1336">RAND()</f>
        <v>0.5737972408</v>
      </c>
      <c r="G702" s="134">
        <f t="shared" si="1336"/>
        <v>0.4574190717</v>
      </c>
      <c r="H702" s="134">
        <f t="shared" si="1336"/>
        <v>0.7354584781</v>
      </c>
      <c r="J702" s="135">
        <f t="shared" si="8"/>
        <v>112480674.4</v>
      </c>
      <c r="K702" s="136">
        <f>IF(J702&gt;0,MIN(99,$B$12*Q702/(J702*12*(1-Inputs!$H$16))),99)</f>
        <v>5.761861556</v>
      </c>
      <c r="L702" s="134">
        <f t="shared" si="9"/>
        <v>0.9530512391</v>
      </c>
      <c r="M702" s="134">
        <f t="shared" si="10"/>
        <v>0.9783592275</v>
      </c>
      <c r="N702" s="134">
        <f t="shared" si="11"/>
        <v>0.982928434</v>
      </c>
      <c r="O702" s="134">
        <f t="shared" si="12"/>
        <v>1.029579482</v>
      </c>
      <c r="P702" s="134">
        <f t="shared" si="13"/>
        <v>1.162318604</v>
      </c>
      <c r="Q702" s="134">
        <f t="shared" si="14"/>
        <v>1.191267276</v>
      </c>
    </row>
    <row r="703" ht="15.0" customHeight="1">
      <c r="A703" s="13">
        <v>664.0</v>
      </c>
      <c r="B703" s="134">
        <f t="shared" ref="B703:D703" si="1337">RAND()</f>
        <v>0.6244337876</v>
      </c>
      <c r="C703" s="134">
        <f t="shared" si="1337"/>
        <v>0.06343941137</v>
      </c>
      <c r="D703" s="134">
        <f t="shared" si="1337"/>
        <v>0.2879435165</v>
      </c>
      <c r="F703" s="134">
        <f t="shared" ref="F703:H703" si="1338">RAND()</f>
        <v>0.2528177768</v>
      </c>
      <c r="G703" s="134">
        <f t="shared" si="1338"/>
        <v>0.9403931764</v>
      </c>
      <c r="H703" s="134">
        <f t="shared" si="1338"/>
        <v>0.1251818195</v>
      </c>
      <c r="J703" s="135">
        <f t="shared" si="8"/>
        <v>165198016.2</v>
      </c>
      <c r="K703" s="136">
        <f>IF(J703&gt;0,MIN(99,$B$12*Q703/(J703*12*(1-Inputs!$H$16))),99)</f>
        <v>3.168701238</v>
      </c>
      <c r="L703" s="134">
        <f t="shared" si="9"/>
        <v>1.047754859</v>
      </c>
      <c r="M703" s="134">
        <f t="shared" si="10"/>
        <v>1.020487535</v>
      </c>
      <c r="N703" s="134">
        <f t="shared" si="11"/>
        <v>0.9905386573</v>
      </c>
      <c r="O703" s="134">
        <f t="shared" si="12"/>
        <v>1.002924642</v>
      </c>
      <c r="P703" s="134">
        <f t="shared" si="13"/>
        <v>1.630604037</v>
      </c>
      <c r="Q703" s="134">
        <f t="shared" si="14"/>
        <v>0.9621761829</v>
      </c>
    </row>
    <row r="704" ht="15.0" customHeight="1">
      <c r="A704" s="13">
        <v>665.0</v>
      </c>
      <c r="B704" s="134">
        <f t="shared" ref="B704:D704" si="1339">RAND()</f>
        <v>0.9552437268</v>
      </c>
      <c r="C704" s="134">
        <f t="shared" si="1339"/>
        <v>0.1303751554</v>
      </c>
      <c r="D704" s="134">
        <f t="shared" si="1339"/>
        <v>0.1481002255</v>
      </c>
      <c r="F704" s="134">
        <f t="shared" ref="F704:H704" si="1340">RAND()</f>
        <v>0.7253573461</v>
      </c>
      <c r="G704" s="134">
        <f t="shared" si="1340"/>
        <v>0.6018127247</v>
      </c>
      <c r="H704" s="134">
        <f t="shared" si="1340"/>
        <v>0.5236449564</v>
      </c>
      <c r="J704" s="135">
        <f t="shared" si="8"/>
        <v>291819684.8</v>
      </c>
      <c r="K704" s="136">
        <f>IF(J704&gt;0,MIN(99,$B$12*Q704/(J704*12*(1-Inputs!$H$16))),99)</f>
        <v>2.047269193</v>
      </c>
      <c r="L704" s="134">
        <f t="shared" si="9"/>
        <v>1.196552645</v>
      </c>
      <c r="M704" s="134">
        <f t="shared" si="10"/>
        <v>1.086295592</v>
      </c>
      <c r="N704" s="134">
        <f t="shared" si="11"/>
        <v>0.9759431944</v>
      </c>
      <c r="O704" s="134">
        <f t="shared" si="12"/>
        <v>1.045804908</v>
      </c>
      <c r="P704" s="134">
        <f t="shared" si="13"/>
        <v>1.262716696</v>
      </c>
      <c r="Q704" s="134">
        <f t="shared" si="14"/>
        <v>1.098140772</v>
      </c>
    </row>
    <row r="705" ht="15.0" customHeight="1">
      <c r="A705" s="13">
        <v>666.0</v>
      </c>
      <c r="B705" s="134">
        <f t="shared" ref="B705:D705" si="1341">RAND()</f>
        <v>0.8857665399</v>
      </c>
      <c r="C705" s="134">
        <f t="shared" si="1341"/>
        <v>0.8654206214</v>
      </c>
      <c r="D705" s="134">
        <f t="shared" si="1341"/>
        <v>0.9648378504</v>
      </c>
      <c r="F705" s="134">
        <f t="shared" ref="F705:H705" si="1342">RAND()</f>
        <v>0.8830737504</v>
      </c>
      <c r="G705" s="134">
        <f t="shared" si="1342"/>
        <v>0.4823683327</v>
      </c>
      <c r="H705" s="134">
        <f t="shared" si="1342"/>
        <v>0.574306619</v>
      </c>
      <c r="J705" s="135">
        <f t="shared" si="8"/>
        <v>230192988.6</v>
      </c>
      <c r="K705" s="136">
        <f>IF(J705&gt;0,MIN(99,$B$12*Q705/(J705*12*(1-Inputs!$H$16))),99)</f>
        <v>2.642586454</v>
      </c>
      <c r="L705" s="134">
        <f t="shared" si="9"/>
        <v>1.149672027</v>
      </c>
      <c r="M705" s="134">
        <f t="shared" si="10"/>
        <v>1.065561934</v>
      </c>
      <c r="N705" s="134">
        <f t="shared" si="11"/>
        <v>1.068447365</v>
      </c>
      <c r="O705" s="134">
        <f t="shared" si="12"/>
        <v>1.068750941</v>
      </c>
      <c r="P705" s="134">
        <f t="shared" si="13"/>
        <v>1.178612301</v>
      </c>
      <c r="Q705" s="134">
        <f t="shared" si="14"/>
        <v>1.118123505</v>
      </c>
    </row>
    <row r="706" ht="15.0" customHeight="1">
      <c r="A706" s="13">
        <v>667.0</v>
      </c>
      <c r="B706" s="134">
        <f t="shared" ref="B706:D706" si="1343">RAND()</f>
        <v>0.3625772747</v>
      </c>
      <c r="C706" s="134">
        <f t="shared" si="1343"/>
        <v>0.3365363205</v>
      </c>
      <c r="D706" s="134">
        <f t="shared" si="1343"/>
        <v>0.1329267913</v>
      </c>
      <c r="F706" s="134">
        <f t="shared" ref="F706:H706" si="1344">RAND()</f>
        <v>0.585694653</v>
      </c>
      <c r="G706" s="134">
        <f t="shared" si="1344"/>
        <v>0.7593309653</v>
      </c>
      <c r="H706" s="134">
        <f t="shared" si="1344"/>
        <v>0.06652188134</v>
      </c>
      <c r="J706" s="135">
        <f t="shared" si="8"/>
        <v>121972251.9</v>
      </c>
      <c r="K706" s="136">
        <f>IF(J706&gt;0,MIN(99,$B$12*Q706/(J706*12*(1-Inputs!$H$16))),99)</f>
        <v>4.166640449</v>
      </c>
      <c r="L706" s="134">
        <f t="shared" si="9"/>
        <v>0.9769652035</v>
      </c>
      <c r="M706" s="134">
        <f t="shared" si="10"/>
        <v>0.9890580675</v>
      </c>
      <c r="N706" s="134">
        <f t="shared" si="11"/>
        <v>0.9739960537</v>
      </c>
      <c r="O706" s="134">
        <f t="shared" si="12"/>
        <v>1.030735675</v>
      </c>
      <c r="P706" s="134">
        <f t="shared" si="13"/>
        <v>1.396264199</v>
      </c>
      <c r="Q706" s="134">
        <f t="shared" si="14"/>
        <v>0.9341477</v>
      </c>
    </row>
    <row r="707" ht="15.0" customHeight="1">
      <c r="A707" s="13">
        <v>668.0</v>
      </c>
      <c r="B707" s="134">
        <f t="shared" ref="B707:D707" si="1345">RAND()</f>
        <v>0.9847818742</v>
      </c>
      <c r="C707" s="134">
        <f t="shared" si="1345"/>
        <v>0.7994235119</v>
      </c>
      <c r="D707" s="134">
        <f t="shared" si="1345"/>
        <v>0.2040649847</v>
      </c>
      <c r="F707" s="134">
        <f t="shared" ref="F707:H707" si="1346">RAND()</f>
        <v>0.7775497941</v>
      </c>
      <c r="G707" s="134">
        <f t="shared" si="1346"/>
        <v>0.5950532501</v>
      </c>
      <c r="H707" s="134">
        <f t="shared" si="1346"/>
        <v>0.7654178611</v>
      </c>
      <c r="J707" s="135">
        <f t="shared" si="8"/>
        <v>316515276.4</v>
      </c>
      <c r="K707" s="136">
        <f>IF(J707&gt;0,MIN(99,$B$12*Q707/(J707*12*(1-Inputs!$H$16))),99)</f>
        <v>2.074911807</v>
      </c>
      <c r="L707" s="134">
        <f t="shared" si="9"/>
        <v>1.229256232</v>
      </c>
      <c r="M707" s="134">
        <f t="shared" si="10"/>
        <v>1.100759244</v>
      </c>
      <c r="N707" s="134">
        <f t="shared" si="11"/>
        <v>0.9823768027</v>
      </c>
      <c r="O707" s="134">
        <f t="shared" si="12"/>
        <v>1.052409222</v>
      </c>
      <c r="P707" s="134">
        <f t="shared" si="13"/>
        <v>1.257645024</v>
      </c>
      <c r="Q707" s="134">
        <f t="shared" si="14"/>
        <v>1.207154337</v>
      </c>
    </row>
    <row r="708" ht="15.0" customHeight="1">
      <c r="A708" s="13">
        <v>669.0</v>
      </c>
      <c r="B708" s="134">
        <f t="shared" ref="B708:D708" si="1347">RAND()</f>
        <v>0.0891845571</v>
      </c>
      <c r="C708" s="134">
        <f t="shared" si="1347"/>
        <v>0.1318926208</v>
      </c>
      <c r="D708" s="134">
        <f t="shared" si="1347"/>
        <v>0.8793039283</v>
      </c>
      <c r="F708" s="134">
        <f t="shared" ref="F708:H708" si="1348">RAND()</f>
        <v>0.5425723566</v>
      </c>
      <c r="G708" s="134">
        <f t="shared" si="1348"/>
        <v>0.9009176206</v>
      </c>
      <c r="H708" s="134">
        <f t="shared" si="1348"/>
        <v>0.3004552448</v>
      </c>
      <c r="J708" s="135">
        <f t="shared" si="8"/>
        <v>33307641.45</v>
      </c>
      <c r="K708" s="136">
        <f>IF(J708&gt;0,MIN(99,$B$12*Q708/(J708*12*(1-Inputs!$H$16))),99)</f>
        <v>16.67215549</v>
      </c>
      <c r="L708" s="134">
        <f t="shared" si="9"/>
        <v>0.8751661753</v>
      </c>
      <c r="M708" s="134">
        <f t="shared" si="10"/>
        <v>0.9435143217</v>
      </c>
      <c r="N708" s="134">
        <f t="shared" si="11"/>
        <v>1.049738994</v>
      </c>
      <c r="O708" s="134">
        <f t="shared" si="12"/>
        <v>1.026619622</v>
      </c>
      <c r="P708" s="134">
        <f t="shared" si="13"/>
        <v>1.563442129</v>
      </c>
      <c r="Q708" s="134">
        <f t="shared" si="14"/>
        <v>1.0207141</v>
      </c>
    </row>
    <row r="709" ht="15.0" customHeight="1">
      <c r="A709" s="13">
        <v>670.0</v>
      </c>
      <c r="B709" s="134">
        <f t="shared" ref="B709:D709" si="1349">RAND()</f>
        <v>0.7585595954</v>
      </c>
      <c r="C709" s="134">
        <f t="shared" si="1349"/>
        <v>0.4435350972</v>
      </c>
      <c r="D709" s="134">
        <f t="shared" si="1349"/>
        <v>0.5719601404</v>
      </c>
      <c r="F709" s="134">
        <f t="shared" ref="F709:H709" si="1350">RAND()</f>
        <v>0.9113234641</v>
      </c>
      <c r="G709" s="134">
        <f t="shared" si="1350"/>
        <v>0.7184783268</v>
      </c>
      <c r="H709" s="134">
        <f t="shared" si="1350"/>
        <v>0.6211704258</v>
      </c>
      <c r="J709" s="135">
        <f t="shared" si="8"/>
        <v>191918365.1</v>
      </c>
      <c r="K709" s="136">
        <f>IF(J709&gt;0,MIN(99,$B$12*Q709/(J709*12*(1-Inputs!$H$16))),99)</f>
        <v>3.225088624</v>
      </c>
      <c r="L709" s="134">
        <f t="shared" si="9"/>
        <v>1.092796664</v>
      </c>
      <c r="M709" s="134">
        <f t="shared" si="10"/>
        <v>1.04040795</v>
      </c>
      <c r="N709" s="134">
        <f t="shared" si="11"/>
        <v>1.013838738</v>
      </c>
      <c r="O709" s="134">
        <f t="shared" si="12"/>
        <v>1.074314717</v>
      </c>
      <c r="P709" s="134">
        <f t="shared" si="13"/>
        <v>1.358221885</v>
      </c>
      <c r="Q709" s="134">
        <f t="shared" si="14"/>
        <v>1.137697149</v>
      </c>
    </row>
    <row r="710" ht="15.0" customHeight="1">
      <c r="A710" s="13">
        <v>671.0</v>
      </c>
      <c r="B710" s="134">
        <f t="shared" ref="B710:D710" si="1351">RAND()</f>
        <v>0.5995144245</v>
      </c>
      <c r="C710" s="134">
        <f t="shared" si="1351"/>
        <v>0.5340958802</v>
      </c>
      <c r="D710" s="134">
        <f t="shared" si="1351"/>
        <v>0.9491950516</v>
      </c>
      <c r="F710" s="134">
        <f t="shared" ref="F710:H710" si="1352">RAND()</f>
        <v>0.4127772084</v>
      </c>
      <c r="G710" s="134">
        <f t="shared" si="1352"/>
        <v>0.9930027083</v>
      </c>
      <c r="H710" s="134">
        <f t="shared" si="1352"/>
        <v>0.5300822795</v>
      </c>
      <c r="J710" s="135">
        <f t="shared" si="8"/>
        <v>135460456.4</v>
      </c>
      <c r="K710" s="136">
        <f>IF(J710&gt;0,MIN(99,$B$12*Q710/(J710*12*(1-Inputs!$H$16))),99)</f>
        <v>4.420342684</v>
      </c>
      <c r="L710" s="134">
        <f t="shared" si="9"/>
        <v>1.040336908</v>
      </c>
      <c r="M710" s="134">
        <f t="shared" si="10"/>
        <v>1.017206835</v>
      </c>
      <c r="N710" s="134">
        <f t="shared" si="11"/>
        <v>1.064014879</v>
      </c>
      <c r="O710" s="134">
        <f t="shared" si="12"/>
        <v>1.015283781</v>
      </c>
      <c r="P710" s="134">
        <f t="shared" si="13"/>
        <v>1.78322198</v>
      </c>
      <c r="Q710" s="134">
        <f t="shared" si="14"/>
        <v>1.100618871</v>
      </c>
    </row>
    <row r="711" ht="15.0" customHeight="1">
      <c r="A711" s="13">
        <v>672.0</v>
      </c>
      <c r="B711" s="134">
        <f t="shared" ref="B711:D711" si="1353">RAND()</f>
        <v>0.3932252985</v>
      </c>
      <c r="C711" s="134">
        <f t="shared" si="1353"/>
        <v>0.7693454917</v>
      </c>
      <c r="D711" s="134">
        <f t="shared" si="1353"/>
        <v>0.9736179844</v>
      </c>
      <c r="F711" s="134">
        <f t="shared" ref="F711:H711" si="1354">RAND()</f>
        <v>0.4807403496</v>
      </c>
      <c r="G711" s="134">
        <f t="shared" si="1354"/>
        <v>0.8789452425</v>
      </c>
      <c r="H711" s="134">
        <f t="shared" si="1354"/>
        <v>0.3645195889</v>
      </c>
      <c r="J711" s="135">
        <f t="shared" si="8"/>
        <v>103730540.8</v>
      </c>
      <c r="K711" s="136">
        <f>IF(J711&gt;0,MIN(99,$B$12*Q711/(J711*12*(1-Inputs!$H$16))),99)</f>
        <v>5.462319586</v>
      </c>
      <c r="L711" s="134">
        <f t="shared" si="9"/>
        <v>0.9853279489</v>
      </c>
      <c r="M711" s="134">
        <f t="shared" si="10"/>
        <v>0.9927994662</v>
      </c>
      <c r="N711" s="134">
        <f t="shared" si="11"/>
        <v>1.071382986</v>
      </c>
      <c r="O711" s="134">
        <f t="shared" si="12"/>
        <v>1.021042742</v>
      </c>
      <c r="P711" s="134">
        <f t="shared" si="13"/>
        <v>1.531913751</v>
      </c>
      <c r="Q711" s="134">
        <f t="shared" si="14"/>
        <v>1.041483105</v>
      </c>
    </row>
    <row r="712" ht="15.0" customHeight="1">
      <c r="A712" s="13">
        <v>673.0</v>
      </c>
      <c r="B712" s="134">
        <f t="shared" ref="B712:D712" si="1355">RAND()</f>
        <v>0.421744336</v>
      </c>
      <c r="C712" s="134">
        <f t="shared" si="1355"/>
        <v>0.5329325029</v>
      </c>
      <c r="D712" s="134">
        <f t="shared" si="1355"/>
        <v>0.914534962</v>
      </c>
      <c r="F712" s="134">
        <f t="shared" ref="F712:H712" si="1356">RAND()</f>
        <v>0.33823875</v>
      </c>
      <c r="G712" s="134">
        <f t="shared" si="1356"/>
        <v>0.9904197873</v>
      </c>
      <c r="H712" s="134">
        <f t="shared" si="1356"/>
        <v>0.3659006024</v>
      </c>
      <c r="J712" s="135">
        <f t="shared" si="8"/>
        <v>105125967.6</v>
      </c>
      <c r="K712" s="136">
        <f>IF(J712&gt;0,MIN(99,$B$12*Q712/(J712*12*(1-Inputs!$H$16))),99)</f>
        <v>5.392188794</v>
      </c>
      <c r="L712" s="134">
        <f t="shared" si="9"/>
        <v>0.9928215733</v>
      </c>
      <c r="M712" s="134">
        <f t="shared" si="10"/>
        <v>0.9961520299</v>
      </c>
      <c r="N712" s="134">
        <f t="shared" si="11"/>
        <v>1.056182227</v>
      </c>
      <c r="O712" s="134">
        <f t="shared" si="12"/>
        <v>1.009339033</v>
      </c>
      <c r="P712" s="134">
        <f t="shared" si="13"/>
        <v>1.769691601</v>
      </c>
      <c r="Q712" s="134">
        <f t="shared" si="14"/>
        <v>1.041942078</v>
      </c>
    </row>
    <row r="713" ht="15.0" customHeight="1">
      <c r="A713" s="13">
        <v>674.0</v>
      </c>
      <c r="B713" s="134">
        <f t="shared" ref="B713:D713" si="1357">RAND()</f>
        <v>0.3142463098</v>
      </c>
      <c r="C713" s="134">
        <f t="shared" si="1357"/>
        <v>0.006747100382</v>
      </c>
      <c r="D713" s="134">
        <f t="shared" si="1357"/>
        <v>0.02503591132</v>
      </c>
      <c r="F713" s="134">
        <f t="shared" ref="F713:H713" si="1358">RAND()</f>
        <v>0.4419629302</v>
      </c>
      <c r="G713" s="134">
        <f t="shared" si="1358"/>
        <v>0.06988839228</v>
      </c>
      <c r="H713" s="134">
        <f t="shared" si="1358"/>
        <v>0.3252730627</v>
      </c>
      <c r="J713" s="135">
        <f t="shared" si="8"/>
        <v>136056021.6</v>
      </c>
      <c r="K713" s="136">
        <f>IF(J713&gt;0,MIN(99,$B$12*Q713/(J713*12*(1-Inputs!$H$16))),99)</f>
        <v>4.113183153</v>
      </c>
      <c r="L713" s="134">
        <f t="shared" si="9"/>
        <v>0.9630231631</v>
      </c>
      <c r="M713" s="134">
        <f t="shared" si="10"/>
        <v>0.9828205547</v>
      </c>
      <c r="N713" s="134">
        <f t="shared" si="11"/>
        <v>0.9541498381</v>
      </c>
      <c r="O713" s="134">
        <f t="shared" si="12"/>
        <v>1.017713698</v>
      </c>
      <c r="P713" s="134">
        <f t="shared" si="13"/>
        <v>0.9311948424</v>
      </c>
      <c r="Q713" s="134">
        <f t="shared" si="14"/>
        <v>1.028642105</v>
      </c>
    </row>
    <row r="714" ht="15.0" customHeight="1">
      <c r="A714" s="13">
        <v>675.0</v>
      </c>
      <c r="B714" s="134">
        <f t="shared" ref="B714:D714" si="1359">RAND()</f>
        <v>0.1518300414</v>
      </c>
      <c r="C714" s="134">
        <f t="shared" si="1359"/>
        <v>0.02076969854</v>
      </c>
      <c r="D714" s="134">
        <f t="shared" si="1359"/>
        <v>0.2346151124</v>
      </c>
      <c r="F714" s="134">
        <f t="shared" ref="F714:H714" si="1360">RAND()</f>
        <v>0.009069352555</v>
      </c>
      <c r="G714" s="134">
        <f t="shared" si="1360"/>
        <v>0.697615708</v>
      </c>
      <c r="H714" s="134">
        <f t="shared" si="1360"/>
        <v>0.9255861509</v>
      </c>
      <c r="J714" s="135">
        <f t="shared" si="8"/>
        <v>82202143.01</v>
      </c>
      <c r="K714" s="136">
        <f>IF(J714&gt;0,MIN(99,$B$12*Q714/(J714*12*(1-Inputs!$H$16))),99)</f>
        <v>8.730810253</v>
      </c>
      <c r="L714" s="134">
        <f t="shared" si="9"/>
        <v>0.9056938394</v>
      </c>
      <c r="M714" s="134">
        <f t="shared" si="10"/>
        <v>0.957172057</v>
      </c>
      <c r="N714" s="134">
        <f t="shared" si="11"/>
        <v>0.9855153732</v>
      </c>
      <c r="O714" s="134">
        <f t="shared" si="12"/>
        <v>0.9761121289</v>
      </c>
      <c r="P714" s="134">
        <f t="shared" si="13"/>
        <v>1.339860939</v>
      </c>
      <c r="Q714" s="134">
        <f t="shared" si="14"/>
        <v>1.319186417</v>
      </c>
    </row>
    <row r="715" ht="15.0" customHeight="1">
      <c r="A715" s="13">
        <v>676.0</v>
      </c>
      <c r="B715" s="134">
        <f t="shared" ref="B715:D715" si="1361">RAND()</f>
        <v>0.3285032865</v>
      </c>
      <c r="C715" s="134">
        <f t="shared" si="1361"/>
        <v>0.5081265456</v>
      </c>
      <c r="D715" s="134">
        <f t="shared" si="1361"/>
        <v>0.3842418268</v>
      </c>
      <c r="F715" s="134">
        <f t="shared" ref="F715:H715" si="1362">RAND()</f>
        <v>0.8871020329</v>
      </c>
      <c r="G715" s="134">
        <f t="shared" si="1362"/>
        <v>0.2249548052</v>
      </c>
      <c r="H715" s="134">
        <f t="shared" si="1362"/>
        <v>0.1765659285</v>
      </c>
      <c r="J715" s="135">
        <f t="shared" si="8"/>
        <v>117567316</v>
      </c>
      <c r="K715" s="136">
        <f>IF(J715&gt;0,MIN(99,$B$12*Q715/(J715*12*(1-Inputs!$H$16))),99)</f>
        <v>4.542248354</v>
      </c>
      <c r="L715" s="134">
        <f t="shared" si="9"/>
        <v>0.9672410459</v>
      </c>
      <c r="M715" s="134">
        <f t="shared" si="10"/>
        <v>0.9847075883</v>
      </c>
      <c r="N715" s="134">
        <f t="shared" si="11"/>
        <v>0.998546694</v>
      </c>
      <c r="O715" s="134">
        <f t="shared" si="12"/>
        <v>1.069499587</v>
      </c>
      <c r="P715" s="134">
        <f t="shared" si="13"/>
        <v>1.025609233</v>
      </c>
      <c r="Q715" s="134">
        <f t="shared" si="14"/>
        <v>0.9815805882</v>
      </c>
    </row>
    <row r="716" ht="15.0" customHeight="1">
      <c r="A716" s="13">
        <v>677.0</v>
      </c>
      <c r="B716" s="134">
        <f t="shared" ref="B716:D716" si="1363">RAND()</f>
        <v>0.7833785499</v>
      </c>
      <c r="C716" s="134">
        <f t="shared" si="1363"/>
        <v>0.4475116384</v>
      </c>
      <c r="D716" s="134">
        <f t="shared" si="1363"/>
        <v>0.1703000702</v>
      </c>
      <c r="F716" s="134">
        <f t="shared" ref="F716:H716" si="1364">RAND()</f>
        <v>0.3876735856</v>
      </c>
      <c r="G716" s="134">
        <f t="shared" si="1364"/>
        <v>0.2353654838</v>
      </c>
      <c r="H716" s="134">
        <f t="shared" si="1364"/>
        <v>0.1237313053</v>
      </c>
      <c r="J716" s="135">
        <f t="shared" si="8"/>
        <v>230142328.2</v>
      </c>
      <c r="K716" s="136">
        <f>IF(J716&gt;0,MIN(99,$B$12*Q716/(J716*12*(1-Inputs!$H$16))),99)</f>
        <v>2.273098776</v>
      </c>
      <c r="L716" s="134">
        <f t="shared" si="9"/>
        <v>1.102415385</v>
      </c>
      <c r="M716" s="134">
        <f t="shared" si="10"/>
        <v>1.044661974</v>
      </c>
      <c r="N716" s="134">
        <f t="shared" si="11"/>
        <v>0.9786202454</v>
      </c>
      <c r="O716" s="134">
        <f t="shared" si="12"/>
        <v>1.013241624</v>
      </c>
      <c r="P716" s="134">
        <f t="shared" si="13"/>
        <v>1.031250735</v>
      </c>
      <c r="Q716" s="134">
        <f t="shared" si="14"/>
        <v>0.9615752834</v>
      </c>
    </row>
    <row r="717" ht="15.0" customHeight="1">
      <c r="A717" s="13">
        <v>678.0</v>
      </c>
      <c r="B717" s="134">
        <f t="shared" ref="B717:D717" si="1365">RAND()</f>
        <v>0.1792649211</v>
      </c>
      <c r="C717" s="134">
        <f t="shared" si="1365"/>
        <v>0.5247391658</v>
      </c>
      <c r="D717" s="134">
        <f t="shared" si="1365"/>
        <v>0.331836356</v>
      </c>
      <c r="F717" s="134">
        <f t="shared" ref="F717:H717" si="1366">RAND()</f>
        <v>0.8644772281</v>
      </c>
      <c r="G717" s="134">
        <f t="shared" si="1366"/>
        <v>0.9569417117</v>
      </c>
      <c r="H717" s="134">
        <f t="shared" si="1366"/>
        <v>0.9054675315</v>
      </c>
      <c r="J717" s="135">
        <f t="shared" si="8"/>
        <v>60774519.82</v>
      </c>
      <c r="K717" s="136">
        <f>IF(J717&gt;0,MIN(99,$B$12*Q717/(J717*12*(1-Inputs!$H$16))),99)</f>
        <v>11.64471085</v>
      </c>
      <c r="L717" s="134">
        <f t="shared" si="9"/>
        <v>0.917011632</v>
      </c>
      <c r="M717" s="134">
        <f t="shared" si="10"/>
        <v>0.9622355107</v>
      </c>
      <c r="N717" s="134">
        <f t="shared" si="11"/>
        <v>0.9943324779</v>
      </c>
      <c r="O717" s="134">
        <f t="shared" si="12"/>
        <v>1.065451215</v>
      </c>
      <c r="P717" s="134">
        <f t="shared" si="13"/>
        <v>1.665445862</v>
      </c>
      <c r="Q717" s="134">
        <f t="shared" si="14"/>
        <v>1.300824556</v>
      </c>
    </row>
    <row r="718" ht="15.0" customHeight="1">
      <c r="A718" s="13">
        <v>679.0</v>
      </c>
      <c r="B718" s="134">
        <f t="shared" ref="B718:D718" si="1367">RAND()</f>
        <v>0.2676759841</v>
      </c>
      <c r="C718" s="134">
        <f t="shared" si="1367"/>
        <v>0.2868460735</v>
      </c>
      <c r="D718" s="134">
        <f t="shared" si="1367"/>
        <v>0.2318448074</v>
      </c>
      <c r="F718" s="134">
        <f t="shared" ref="F718:H718" si="1368">RAND()</f>
        <v>0.8807241255</v>
      </c>
      <c r="G718" s="134">
        <f t="shared" si="1368"/>
        <v>0.3623560826</v>
      </c>
      <c r="H718" s="134">
        <f t="shared" si="1368"/>
        <v>0.2669722305</v>
      </c>
      <c r="J718" s="135">
        <f t="shared" si="8"/>
        <v>104659109</v>
      </c>
      <c r="K718" s="136">
        <f>IF(J718&gt;0,MIN(99,$B$12*Q718/(J718*12*(1-Inputs!$H$16))),99)</f>
        <v>5.251435415</v>
      </c>
      <c r="L718" s="134">
        <f t="shared" si="9"/>
        <v>0.9485325566</v>
      </c>
      <c r="M718" s="134">
        <f t="shared" si="10"/>
        <v>0.9763376196</v>
      </c>
      <c r="N718" s="134">
        <f t="shared" si="11"/>
        <v>0.985239537</v>
      </c>
      <c r="O718" s="134">
        <f t="shared" si="12"/>
        <v>1.068320216</v>
      </c>
      <c r="P718" s="134">
        <f t="shared" si="13"/>
        <v>1.103432814</v>
      </c>
      <c r="Q718" s="134">
        <f t="shared" si="14"/>
        <v>1.010237634</v>
      </c>
    </row>
    <row r="719" ht="15.0" customHeight="1">
      <c r="A719" s="13">
        <v>680.0</v>
      </c>
      <c r="B719" s="134">
        <f t="shared" ref="B719:D719" si="1369">RAND()</f>
        <v>0.05736812375</v>
      </c>
      <c r="C719" s="134">
        <f t="shared" si="1369"/>
        <v>0.66606281</v>
      </c>
      <c r="D719" s="134">
        <f t="shared" si="1369"/>
        <v>0.9908404692</v>
      </c>
      <c r="F719" s="134">
        <f t="shared" ref="F719:H719" si="1370">RAND()</f>
        <v>0.3560938498</v>
      </c>
      <c r="G719" s="134">
        <f t="shared" si="1370"/>
        <v>0.1154774077</v>
      </c>
      <c r="H719" s="134">
        <f t="shared" si="1370"/>
        <v>0.2395051765</v>
      </c>
      <c r="J719" s="135">
        <f t="shared" si="8"/>
        <v>40783990.36</v>
      </c>
      <c r="K719" s="136">
        <f>IF(J719&gt;0,MIN(99,$B$12*Q719/(J719*12*(1-Inputs!$H$16))),99)</f>
        <v>13.36385922</v>
      </c>
      <c r="L719" s="134">
        <f t="shared" si="9"/>
        <v>0.8553362553</v>
      </c>
      <c r="M719" s="134">
        <f t="shared" si="10"/>
        <v>0.9346426375</v>
      </c>
      <c r="N719" s="134">
        <f t="shared" si="11"/>
        <v>1.079189367</v>
      </c>
      <c r="O719" s="134">
        <f t="shared" si="12"/>
        <v>1.010731209</v>
      </c>
      <c r="P719" s="134">
        <f t="shared" si="13"/>
        <v>0.9644485111</v>
      </c>
      <c r="Q719" s="134">
        <f t="shared" si="14"/>
        <v>1.001820902</v>
      </c>
    </row>
    <row r="720" ht="15.0" customHeight="1">
      <c r="A720" s="13">
        <v>681.0</v>
      </c>
      <c r="B720" s="134">
        <f t="shared" ref="B720:D720" si="1371">RAND()</f>
        <v>0.7057639947</v>
      </c>
      <c r="C720" s="134">
        <f t="shared" si="1371"/>
        <v>0.9852829154</v>
      </c>
      <c r="D720" s="134">
        <f t="shared" si="1371"/>
        <v>0.7195853549</v>
      </c>
      <c r="F720" s="134">
        <f t="shared" ref="F720:H720" si="1372">RAND()</f>
        <v>0.836712324</v>
      </c>
      <c r="G720" s="134">
        <f t="shared" si="1372"/>
        <v>0.09094717203</v>
      </c>
      <c r="H720" s="134">
        <f t="shared" si="1372"/>
        <v>0.0110776202</v>
      </c>
      <c r="J720" s="135">
        <f t="shared" si="8"/>
        <v>192026472</v>
      </c>
      <c r="K720" s="136">
        <f>IF(J720&gt;0,MIN(99,$B$12*Q720/(J720*12*(1-Inputs!$H$16))),99)</f>
        <v>2.520159953</v>
      </c>
      <c r="L720" s="134">
        <f t="shared" si="9"/>
        <v>1.073859624</v>
      </c>
      <c r="M720" s="134">
        <f t="shared" si="10"/>
        <v>1.03203276</v>
      </c>
      <c r="N720" s="134">
        <f t="shared" si="11"/>
        <v>1.028429565</v>
      </c>
      <c r="O720" s="134">
        <f t="shared" si="12"/>
        <v>1.06092113</v>
      </c>
      <c r="P720" s="134">
        <f t="shared" si="13"/>
        <v>0.9475936512</v>
      </c>
      <c r="Q720" s="134">
        <f t="shared" si="14"/>
        <v>0.8895240412</v>
      </c>
    </row>
    <row r="721" ht="15.0" customHeight="1">
      <c r="A721" s="13">
        <v>682.0</v>
      </c>
      <c r="B721" s="134">
        <f t="shared" ref="B721:D721" si="1373">RAND()</f>
        <v>0.6157254954</v>
      </c>
      <c r="C721" s="134">
        <f t="shared" si="1373"/>
        <v>0.09335636891</v>
      </c>
      <c r="D721" s="134">
        <f t="shared" si="1373"/>
        <v>0.1484059652</v>
      </c>
      <c r="F721" s="134">
        <f t="shared" ref="F721:H721" si="1374">RAND()</f>
        <v>0.005951172558</v>
      </c>
      <c r="G721" s="134">
        <f t="shared" si="1374"/>
        <v>0.4203441984</v>
      </c>
      <c r="H721" s="134">
        <f t="shared" si="1374"/>
        <v>0.7940145924</v>
      </c>
      <c r="J721" s="135">
        <f t="shared" si="8"/>
        <v>189790954.2</v>
      </c>
      <c r="K721" s="136">
        <f>IF(J721&gt;0,MIN(99,$B$12*Q721/(J721*12*(1-Inputs!$H$16))),99)</f>
        <v>3.506611843</v>
      </c>
      <c r="L721" s="134">
        <f t="shared" si="9"/>
        <v>1.045135378</v>
      </c>
      <c r="M721" s="134">
        <f t="shared" si="10"/>
        <v>1.019329031</v>
      </c>
      <c r="N721" s="134">
        <f t="shared" si="11"/>
        <v>0.9759813769</v>
      </c>
      <c r="O721" s="134">
        <f t="shared" si="12"/>
        <v>0.9749294309</v>
      </c>
      <c r="P721" s="134">
        <f t="shared" si="13"/>
        <v>1.138783015</v>
      </c>
      <c r="Q721" s="134">
        <f t="shared" si="14"/>
        <v>1.223296367</v>
      </c>
    </row>
    <row r="722" ht="15.0" customHeight="1">
      <c r="A722" s="13">
        <v>683.0</v>
      </c>
      <c r="B722" s="134">
        <f t="shared" ref="B722:D722" si="1375">RAND()</f>
        <v>0.7507929526</v>
      </c>
      <c r="C722" s="134">
        <f t="shared" si="1375"/>
        <v>0.4110098468</v>
      </c>
      <c r="D722" s="134">
        <f t="shared" si="1375"/>
        <v>0.07211444054</v>
      </c>
      <c r="F722" s="134">
        <f t="shared" ref="F722:H722" si="1376">RAND()</f>
        <v>0.8525601342</v>
      </c>
      <c r="G722" s="134">
        <f t="shared" si="1376"/>
        <v>0.7332595683</v>
      </c>
      <c r="H722" s="134">
        <f t="shared" si="1376"/>
        <v>0.1651027096</v>
      </c>
      <c r="J722" s="135">
        <f t="shared" si="8"/>
        <v>202531238.9</v>
      </c>
      <c r="K722" s="136">
        <f>IF(J722&gt;0,MIN(99,$B$12*Q722/(J722*12*(1-Inputs!$H$16))),99)</f>
        <v>2.62583932</v>
      </c>
      <c r="L722" s="134">
        <f t="shared" si="9"/>
        <v>1.089889306</v>
      </c>
      <c r="M722" s="134">
        <f t="shared" si="10"/>
        <v>1.039122128</v>
      </c>
      <c r="N722" s="134">
        <f t="shared" si="11"/>
        <v>0.9647588359</v>
      </c>
      <c r="O722" s="134">
        <f t="shared" si="12"/>
        <v>1.063454849</v>
      </c>
      <c r="P722" s="134">
        <f t="shared" si="13"/>
        <v>1.371645968</v>
      </c>
      <c r="Q722" s="134">
        <f t="shared" si="14"/>
        <v>0.9775267439</v>
      </c>
    </row>
    <row r="723" ht="15.0" customHeight="1">
      <c r="A723" s="13">
        <v>684.0</v>
      </c>
      <c r="B723" s="134">
        <f t="shared" ref="B723:D723" si="1377">RAND()</f>
        <v>0.9654066241</v>
      </c>
      <c r="C723" s="134">
        <f t="shared" si="1377"/>
        <v>0.3196673825</v>
      </c>
      <c r="D723" s="134">
        <f t="shared" si="1377"/>
        <v>0.6184810531</v>
      </c>
      <c r="F723" s="134">
        <f t="shared" ref="F723:H723" si="1378">RAND()</f>
        <v>0.5904751098</v>
      </c>
      <c r="G723" s="134">
        <f t="shared" si="1378"/>
        <v>0.5117887586</v>
      </c>
      <c r="H723" s="134">
        <f t="shared" si="1378"/>
        <v>0.242065559</v>
      </c>
      <c r="J723" s="135">
        <f t="shared" si="8"/>
        <v>293595796.9</v>
      </c>
      <c r="K723" s="136">
        <f>IF(J723&gt;0,MIN(99,$B$12*Q723/(J723*12*(1-Inputs!$H$16))),99)</f>
        <v>1.857842725</v>
      </c>
      <c r="L723" s="134">
        <f t="shared" si="9"/>
        <v>1.20603197</v>
      </c>
      <c r="M723" s="134">
        <f t="shared" si="10"/>
        <v>1.090487966</v>
      </c>
      <c r="N723" s="134">
        <f t="shared" si="11"/>
        <v>1.018118133</v>
      </c>
      <c r="O723" s="134">
        <f t="shared" si="12"/>
        <v>1.03120491</v>
      </c>
      <c r="P723" s="134">
        <f t="shared" si="13"/>
        <v>1.198339194</v>
      </c>
      <c r="Q723" s="134">
        <f t="shared" si="14"/>
        <v>1.002598987</v>
      </c>
    </row>
    <row r="724" ht="15.0" customHeight="1">
      <c r="A724" s="13">
        <v>685.0</v>
      </c>
      <c r="B724" s="134">
        <f t="shared" ref="B724:D724" si="1379">RAND()</f>
        <v>0.2487133686</v>
      </c>
      <c r="C724" s="134">
        <f t="shared" si="1379"/>
        <v>0.8331440165</v>
      </c>
      <c r="D724" s="134">
        <f t="shared" si="1379"/>
        <v>0.2044526906</v>
      </c>
      <c r="F724" s="134">
        <f t="shared" ref="F724:H724" si="1380">RAND()</f>
        <v>0.1856498567</v>
      </c>
      <c r="G724" s="134">
        <f t="shared" si="1380"/>
        <v>0.5622076547</v>
      </c>
      <c r="H724" s="134">
        <f t="shared" si="1380"/>
        <v>0.002398686812</v>
      </c>
      <c r="J724" s="135">
        <f t="shared" si="8"/>
        <v>107759396.3</v>
      </c>
      <c r="K724" s="136">
        <f>IF(J724&gt;0,MIN(99,$B$12*Q724/(J724*12*(1-Inputs!$H$16))),99)</f>
        <v>4.407864526</v>
      </c>
      <c r="L724" s="134">
        <f t="shared" si="9"/>
        <v>0.9422729924</v>
      </c>
      <c r="M724" s="134">
        <f t="shared" si="10"/>
        <v>0.9735371606</v>
      </c>
      <c r="N724" s="134">
        <f t="shared" si="11"/>
        <v>0.9824180529</v>
      </c>
      <c r="O724" s="134">
        <f t="shared" si="12"/>
        <v>0.9980564911</v>
      </c>
      <c r="P724" s="134">
        <f t="shared" si="13"/>
        <v>1.233582486</v>
      </c>
      <c r="Q724" s="134">
        <f t="shared" si="14"/>
        <v>0.8730756359</v>
      </c>
    </row>
    <row r="725" ht="15.0" customHeight="1">
      <c r="A725" s="13">
        <v>686.0</v>
      </c>
      <c r="B725" s="134">
        <f t="shared" ref="B725:D725" si="1381">RAND()</f>
        <v>0.9362620569</v>
      </c>
      <c r="C725" s="134">
        <f t="shared" si="1381"/>
        <v>0.6089284628</v>
      </c>
      <c r="D725" s="134">
        <f t="shared" si="1381"/>
        <v>0.03621894223</v>
      </c>
      <c r="F725" s="134">
        <f t="shared" ref="F725:H725" si="1382">RAND()</f>
        <v>0.5209867891</v>
      </c>
      <c r="G725" s="134">
        <f t="shared" si="1382"/>
        <v>0.9203320784</v>
      </c>
      <c r="H725" s="134">
        <f t="shared" si="1382"/>
        <v>0.3480524421</v>
      </c>
      <c r="J725" s="135">
        <f t="shared" si="8"/>
        <v>275121477.7</v>
      </c>
      <c r="K725" s="136">
        <f>IF(J725&gt;0,MIN(99,$B$12*Q725/(J725*12*(1-Inputs!$H$16))),99)</f>
        <v>2.048740827</v>
      </c>
      <c r="L725" s="134">
        <f t="shared" si="9"/>
        <v>1.181383937</v>
      </c>
      <c r="M725" s="134">
        <f t="shared" si="10"/>
        <v>1.079587003</v>
      </c>
      <c r="N725" s="134">
        <f t="shared" si="11"/>
        <v>0.9572355172</v>
      </c>
      <c r="O725" s="134">
        <f t="shared" si="12"/>
        <v>1.024632201</v>
      </c>
      <c r="P725" s="134">
        <f t="shared" si="13"/>
        <v>1.594364549</v>
      </c>
      <c r="Q725" s="134">
        <f t="shared" si="14"/>
        <v>1.036048291</v>
      </c>
    </row>
    <row r="726" ht="15.0" customHeight="1">
      <c r="A726" s="13">
        <v>687.0</v>
      </c>
      <c r="B726" s="134">
        <f t="shared" ref="B726:D726" si="1383">RAND()</f>
        <v>0.7290491973</v>
      </c>
      <c r="C726" s="134">
        <f t="shared" si="1383"/>
        <v>0.3163935881</v>
      </c>
      <c r="D726" s="134">
        <f t="shared" si="1383"/>
        <v>0.2845376894</v>
      </c>
      <c r="F726" s="134">
        <f t="shared" ref="F726:H726" si="1384">RAND()</f>
        <v>0.3854417403</v>
      </c>
      <c r="G726" s="134">
        <f t="shared" si="1384"/>
        <v>0.7825330345</v>
      </c>
      <c r="H726" s="134">
        <f t="shared" si="1384"/>
        <v>0.08196074073</v>
      </c>
      <c r="J726" s="135">
        <f t="shared" si="8"/>
        <v>197158145</v>
      </c>
      <c r="K726" s="136">
        <f>IF(J726&gt;0,MIN(99,$B$12*Q726/(J726*12*(1-Inputs!$H$16))),99)</f>
        <v>2.600581386</v>
      </c>
      <c r="L726" s="134">
        <f t="shared" si="9"/>
        <v>1.081982552</v>
      </c>
      <c r="M726" s="134">
        <f t="shared" si="10"/>
        <v>1.035625247</v>
      </c>
      <c r="N726" s="134">
        <f t="shared" si="11"/>
        <v>0.9902325505</v>
      </c>
      <c r="O726" s="134">
        <f t="shared" si="12"/>
        <v>1.013062109</v>
      </c>
      <c r="P726" s="134">
        <f t="shared" si="13"/>
        <v>1.419320903</v>
      </c>
      <c r="Q726" s="134">
        <f t="shared" si="14"/>
        <v>0.942439878</v>
      </c>
    </row>
    <row r="727" ht="15.0" customHeight="1">
      <c r="A727" s="13">
        <v>688.0</v>
      </c>
      <c r="B727" s="134">
        <f t="shared" ref="B727:D727" si="1385">RAND()</f>
        <v>0.4002909905</v>
      </c>
      <c r="C727" s="134">
        <f t="shared" si="1385"/>
        <v>0.03596947776</v>
      </c>
      <c r="D727" s="134">
        <f t="shared" si="1385"/>
        <v>0.3636838519</v>
      </c>
      <c r="F727" s="134">
        <f t="shared" ref="F727:H727" si="1386">RAND()</f>
        <v>0.1420910126</v>
      </c>
      <c r="G727" s="134">
        <f t="shared" si="1386"/>
        <v>0.7833933522</v>
      </c>
      <c r="H727" s="134">
        <f t="shared" si="1386"/>
        <v>0.6472964659</v>
      </c>
      <c r="J727" s="135">
        <f t="shared" si="8"/>
        <v>129488611.5</v>
      </c>
      <c r="K727" s="136">
        <f>IF(J727&gt;0,MIN(99,$B$12*Q727/(J727*12*(1-Inputs!$H$16))),99)</f>
        <v>4.828052637</v>
      </c>
      <c r="L727" s="134">
        <f t="shared" si="9"/>
        <v>0.9872091808</v>
      </c>
      <c r="M727" s="134">
        <f t="shared" si="10"/>
        <v>0.9936411083</v>
      </c>
      <c r="N727" s="134">
        <f t="shared" si="11"/>
        <v>0.9969300247</v>
      </c>
      <c r="O727" s="134">
        <f t="shared" si="12"/>
        <v>0.9945310508</v>
      </c>
      <c r="P727" s="134">
        <f t="shared" si="13"/>
        <v>1.420198926</v>
      </c>
      <c r="Q727" s="134">
        <f t="shared" si="14"/>
        <v>1.149137644</v>
      </c>
    </row>
    <row r="728" ht="15.0" customHeight="1">
      <c r="A728" s="13">
        <v>689.0</v>
      </c>
      <c r="B728" s="134">
        <f t="shared" ref="B728:D728" si="1387">RAND()</f>
        <v>0.4510074136</v>
      </c>
      <c r="C728" s="134">
        <f t="shared" si="1387"/>
        <v>0.7999357389</v>
      </c>
      <c r="D728" s="134">
        <f t="shared" si="1387"/>
        <v>0.4610548905</v>
      </c>
      <c r="F728" s="134">
        <f t="shared" ref="F728:H728" si="1388">RAND()</f>
        <v>0.3950846151</v>
      </c>
      <c r="G728" s="134">
        <f t="shared" si="1388"/>
        <v>0.1052888069</v>
      </c>
      <c r="H728" s="134">
        <f t="shared" si="1388"/>
        <v>0.03477338145</v>
      </c>
      <c r="J728" s="135">
        <f t="shared" si="8"/>
        <v>151362088.1</v>
      </c>
      <c r="K728" s="136">
        <f>IF(J728&gt;0,MIN(99,$B$12*Q728/(J728*12*(1-Inputs!$H$16))),99)</f>
        <v>3.282551678</v>
      </c>
      <c r="L728" s="134">
        <f t="shared" si="9"/>
        <v>1.000251969</v>
      </c>
      <c r="M728" s="134">
        <f t="shared" si="10"/>
        <v>0.9994761911</v>
      </c>
      <c r="N728" s="134">
        <f t="shared" si="11"/>
        <v>1.004492459</v>
      </c>
      <c r="O728" s="134">
        <f t="shared" si="12"/>
        <v>1.013840077</v>
      </c>
      <c r="P728" s="134">
        <f t="shared" si="13"/>
        <v>0.9576892785</v>
      </c>
      <c r="Q728" s="134">
        <f t="shared" si="14"/>
        <v>0.913265735</v>
      </c>
    </row>
    <row r="729" ht="15.0" customHeight="1">
      <c r="A729" s="13">
        <v>690.0</v>
      </c>
      <c r="B729" s="134">
        <f t="shared" ref="B729:D729" si="1389">RAND()</f>
        <v>0.6592345509</v>
      </c>
      <c r="C729" s="134">
        <f t="shared" si="1389"/>
        <v>0.07729001701</v>
      </c>
      <c r="D729" s="134">
        <f t="shared" si="1389"/>
        <v>0.8147879169</v>
      </c>
      <c r="F729" s="134">
        <f t="shared" ref="F729:H729" si="1390">RAND()</f>
        <v>0.6542336498</v>
      </c>
      <c r="G729" s="134">
        <f t="shared" si="1390"/>
        <v>0.8520195203</v>
      </c>
      <c r="H729" s="134">
        <f t="shared" si="1390"/>
        <v>0.9372194527</v>
      </c>
      <c r="J729" s="135">
        <f t="shared" si="8"/>
        <v>161153921.1</v>
      </c>
      <c r="K729" s="136">
        <f>IF(J729&gt;0,MIN(99,$B$12*Q729/(J729*12*(1-Inputs!$H$16))),99)</f>
        <v>4.493193099</v>
      </c>
      <c r="L729" s="134">
        <f t="shared" si="9"/>
        <v>1.058539266</v>
      </c>
      <c r="M729" s="134">
        <f t="shared" si="10"/>
        <v>1.025257102</v>
      </c>
      <c r="N729" s="134">
        <f t="shared" si="11"/>
        <v>1.040033743</v>
      </c>
      <c r="O729" s="134">
        <f t="shared" si="12"/>
        <v>1.037746855</v>
      </c>
      <c r="P729" s="134">
        <f t="shared" si="13"/>
        <v>1.496964574</v>
      </c>
      <c r="Q729" s="134">
        <f t="shared" si="14"/>
        <v>1.330958277</v>
      </c>
    </row>
    <row r="730" ht="15.0" customHeight="1">
      <c r="A730" s="13">
        <v>691.0</v>
      </c>
      <c r="B730" s="134">
        <f t="shared" ref="B730:D730" si="1391">RAND()</f>
        <v>0.4551152132</v>
      </c>
      <c r="C730" s="134">
        <f t="shared" si="1391"/>
        <v>0.4965701884</v>
      </c>
      <c r="D730" s="134">
        <f t="shared" si="1391"/>
        <v>0.6858253018</v>
      </c>
      <c r="F730" s="134">
        <f t="shared" ref="F730:H730" si="1392">RAND()</f>
        <v>0.9071795218</v>
      </c>
      <c r="G730" s="134">
        <f t="shared" si="1392"/>
        <v>0.2971701985</v>
      </c>
      <c r="H730" s="134">
        <f t="shared" si="1392"/>
        <v>0.0325720686</v>
      </c>
      <c r="J730" s="135">
        <f t="shared" si="8"/>
        <v>133692584.5</v>
      </c>
      <c r="K730" s="136">
        <f>IF(J730&gt;0,MIN(99,$B$12*Q730/(J730*12*(1-Inputs!$H$16))),99)</f>
        <v>3.709255397</v>
      </c>
      <c r="L730" s="134">
        <f t="shared" si="9"/>
        <v>1.001281791</v>
      </c>
      <c r="M730" s="134">
        <f t="shared" si="10"/>
        <v>0.9999340833</v>
      </c>
      <c r="N730" s="134">
        <f t="shared" si="11"/>
        <v>1.024805895</v>
      </c>
      <c r="O730" s="134">
        <f t="shared" si="12"/>
        <v>1.073448064</v>
      </c>
      <c r="P730" s="134">
        <f t="shared" si="13"/>
        <v>1.065564039</v>
      </c>
      <c r="Q730" s="134">
        <f t="shared" si="14"/>
        <v>0.9115123085</v>
      </c>
    </row>
    <row r="731" ht="15.0" customHeight="1">
      <c r="A731" s="13">
        <v>692.0</v>
      </c>
      <c r="B731" s="134">
        <f t="shared" ref="B731:D731" si="1393">RAND()</f>
        <v>0.1573721379</v>
      </c>
      <c r="C731" s="134">
        <f t="shared" si="1393"/>
        <v>0.3299495989</v>
      </c>
      <c r="D731" s="134">
        <f t="shared" si="1393"/>
        <v>0.3685479431</v>
      </c>
      <c r="F731" s="134">
        <f t="shared" ref="F731:H731" si="1394">RAND()</f>
        <v>0.9490997953</v>
      </c>
      <c r="G731" s="134">
        <f t="shared" si="1394"/>
        <v>0.05632673657</v>
      </c>
      <c r="H731" s="134">
        <f t="shared" si="1394"/>
        <v>0.00148233207</v>
      </c>
      <c r="J731" s="135">
        <f t="shared" si="8"/>
        <v>79439720.46</v>
      </c>
      <c r="K731" s="136">
        <f>IF(J731&gt;0,MIN(99,$B$12*Q731/(J731*12*(1-Inputs!$H$16))),99)</f>
        <v>5.958266771</v>
      </c>
      <c r="L731" s="134">
        <f t="shared" si="9"/>
        <v>0.9080577526</v>
      </c>
      <c r="M731" s="134">
        <f t="shared" si="10"/>
        <v>0.9582296453</v>
      </c>
      <c r="N731" s="134">
        <f t="shared" si="11"/>
        <v>0.9973165776</v>
      </c>
      <c r="O731" s="134">
        <f t="shared" si="12"/>
        <v>1.083408437</v>
      </c>
      <c r="P731" s="134">
        <f t="shared" si="13"/>
        <v>0.9192818759</v>
      </c>
      <c r="Q731" s="134">
        <f t="shared" si="14"/>
        <v>0.8700137824</v>
      </c>
    </row>
    <row r="732" ht="15.0" customHeight="1">
      <c r="A732" s="13">
        <v>693.0</v>
      </c>
      <c r="B732" s="134">
        <f t="shared" ref="B732:D732" si="1395">RAND()</f>
        <v>0.6241693413</v>
      </c>
      <c r="C732" s="134">
        <f t="shared" si="1395"/>
        <v>0.06864584998</v>
      </c>
      <c r="D732" s="134">
        <f t="shared" si="1395"/>
        <v>0.7518750889</v>
      </c>
      <c r="F732" s="134">
        <f t="shared" ref="F732:H732" si="1396">RAND()</f>
        <v>0.7838629739</v>
      </c>
      <c r="G732" s="134">
        <f t="shared" si="1396"/>
        <v>0.04081196689</v>
      </c>
      <c r="H732" s="134">
        <f t="shared" si="1396"/>
        <v>0.4505109264</v>
      </c>
      <c r="J732" s="135">
        <f t="shared" si="8"/>
        <v>174824038.1</v>
      </c>
      <c r="K732" s="136">
        <f>IF(J732&gt;0,MIN(99,$B$12*Q732/(J732*12*(1-Inputs!$H$16))),99)</f>
        <v>3.333143019</v>
      </c>
      <c r="L732" s="134">
        <f t="shared" si="9"/>
        <v>1.047674868</v>
      </c>
      <c r="M732" s="134">
        <f t="shared" si="10"/>
        <v>1.020452158</v>
      </c>
      <c r="N732" s="134">
        <f t="shared" si="11"/>
        <v>1.032105836</v>
      </c>
      <c r="O732" s="134">
        <f t="shared" si="12"/>
        <v>1.053258538</v>
      </c>
      <c r="P732" s="134">
        <f t="shared" si="13"/>
        <v>0.9037193212</v>
      </c>
      <c r="Q732" s="134">
        <f t="shared" si="14"/>
        <v>1.071084113</v>
      </c>
    </row>
    <row r="733" ht="15.0" customHeight="1">
      <c r="A733" s="13">
        <v>694.0</v>
      </c>
      <c r="B733" s="134">
        <f t="shared" ref="B733:D733" si="1397">RAND()</f>
        <v>0.1049946524</v>
      </c>
      <c r="C733" s="134">
        <f t="shared" si="1397"/>
        <v>0.4242280655</v>
      </c>
      <c r="D733" s="134">
        <f t="shared" si="1397"/>
        <v>0.1674702498</v>
      </c>
      <c r="F733" s="134">
        <f t="shared" ref="F733:H733" si="1398">RAND()</f>
        <v>0.9492931545</v>
      </c>
      <c r="G733" s="134">
        <f t="shared" si="1398"/>
        <v>0.8917025327</v>
      </c>
      <c r="H733" s="134">
        <f t="shared" si="1398"/>
        <v>0.188221913</v>
      </c>
      <c r="J733" s="135">
        <f t="shared" si="8"/>
        <v>43307907.82</v>
      </c>
      <c r="K733" s="136">
        <f>IF(J733&gt;0,MIN(99,$B$12*Q733/(J733*12*(1-Inputs!$H$16))),99)</f>
        <v>12.38088525</v>
      </c>
      <c r="L733" s="134">
        <f t="shared" si="9"/>
        <v>0.8836825579</v>
      </c>
      <c r="M733" s="134">
        <f t="shared" si="10"/>
        <v>0.947324456</v>
      </c>
      <c r="N733" s="134">
        <f t="shared" si="11"/>
        <v>0.9782891288</v>
      </c>
      <c r="O733" s="134">
        <f t="shared" si="12"/>
        <v>1.08346248</v>
      </c>
      <c r="P733" s="134">
        <f t="shared" si="13"/>
        <v>1.549832326</v>
      </c>
      <c r="Q733" s="134">
        <f t="shared" si="14"/>
        <v>0.9855697913</v>
      </c>
    </row>
    <row r="734" ht="15.0" customHeight="1">
      <c r="A734" s="13">
        <v>695.0</v>
      </c>
      <c r="B734" s="134">
        <f t="shared" ref="B734:D734" si="1399">RAND()</f>
        <v>0.5423811652</v>
      </c>
      <c r="C734" s="134">
        <f t="shared" si="1399"/>
        <v>0.04623372901</v>
      </c>
      <c r="D734" s="134">
        <f t="shared" si="1399"/>
        <v>0.04178895251</v>
      </c>
      <c r="F734" s="134">
        <f t="shared" ref="F734:H734" si="1400">RAND()</f>
        <v>0.2299795741</v>
      </c>
      <c r="G734" s="134">
        <f t="shared" si="1400"/>
        <v>0.9665306543</v>
      </c>
      <c r="H734" s="134">
        <f t="shared" si="1400"/>
        <v>0.5459609815</v>
      </c>
      <c r="J734" s="135">
        <f t="shared" si="8"/>
        <v>153052943.8</v>
      </c>
      <c r="K734" s="136">
        <f>IF(J734&gt;0,MIN(99,$B$12*Q734/(J734*12*(1-Inputs!$H$16))),99)</f>
        <v>3.934241117</v>
      </c>
      <c r="L734" s="134">
        <f t="shared" si="9"/>
        <v>1.024156244</v>
      </c>
      <c r="M734" s="134">
        <f t="shared" si="10"/>
        <v>1.010050693</v>
      </c>
      <c r="N734" s="134">
        <f t="shared" si="11"/>
        <v>0.9585925586</v>
      </c>
      <c r="O734" s="134">
        <f t="shared" si="12"/>
        <v>1.001272717</v>
      </c>
      <c r="P734" s="134">
        <f t="shared" si="13"/>
        <v>1.688799111</v>
      </c>
      <c r="Q734" s="134">
        <f t="shared" si="14"/>
        <v>1.106805073</v>
      </c>
    </row>
    <row r="735" ht="15.0" customHeight="1">
      <c r="A735" s="13">
        <v>696.0</v>
      </c>
      <c r="B735" s="134">
        <f t="shared" ref="B735:D735" si="1401">RAND()</f>
        <v>0.8869429778</v>
      </c>
      <c r="C735" s="134">
        <f t="shared" si="1401"/>
        <v>0.1167037338</v>
      </c>
      <c r="D735" s="134">
        <f t="shared" si="1401"/>
        <v>0.4165710721</v>
      </c>
      <c r="F735" s="134">
        <f t="shared" ref="F735:H735" si="1402">RAND()</f>
        <v>0.52576591</v>
      </c>
      <c r="G735" s="134">
        <f t="shared" si="1402"/>
        <v>0.2988019127</v>
      </c>
      <c r="H735" s="134">
        <f t="shared" si="1402"/>
        <v>0.5690841911</v>
      </c>
      <c r="J735" s="135">
        <f t="shared" si="8"/>
        <v>258914967.5</v>
      </c>
      <c r="K735" s="136">
        <f>IF(J735&gt;0,MIN(99,$B$12*Q735/(J735*12*(1-Inputs!$H$16))),99)</f>
        <v>2.344998879</v>
      </c>
      <c r="L735" s="134">
        <f t="shared" si="9"/>
        <v>1.150319045</v>
      </c>
      <c r="M735" s="134">
        <f t="shared" si="10"/>
        <v>1.065848088</v>
      </c>
      <c r="N735" s="134">
        <f t="shared" si="11"/>
        <v>1.001017918</v>
      </c>
      <c r="O735" s="134">
        <f t="shared" si="12"/>
        <v>1.025068299</v>
      </c>
      <c r="P735" s="134">
        <f t="shared" si="13"/>
        <v>1.066489983</v>
      </c>
      <c r="Q735" s="134">
        <f t="shared" si="14"/>
        <v>1.116010492</v>
      </c>
    </row>
    <row r="736" ht="15.0" customHeight="1">
      <c r="A736" s="13">
        <v>697.0</v>
      </c>
      <c r="B736" s="134">
        <f t="shared" ref="B736:D736" si="1403">RAND()</f>
        <v>0.896682645</v>
      </c>
      <c r="C736" s="134">
        <f t="shared" si="1403"/>
        <v>0.4015098996</v>
      </c>
      <c r="D736" s="134">
        <f t="shared" si="1403"/>
        <v>0.8134733216</v>
      </c>
      <c r="F736" s="134">
        <f t="shared" ref="F736:H736" si="1404">RAND()</f>
        <v>0.01529647794</v>
      </c>
      <c r="G736" s="134">
        <f t="shared" si="1404"/>
        <v>0.9884537987</v>
      </c>
      <c r="H736" s="134">
        <f t="shared" si="1404"/>
        <v>0.3040352769</v>
      </c>
      <c r="J736" s="135">
        <f t="shared" si="8"/>
        <v>235266564.2</v>
      </c>
      <c r="K736" s="136">
        <f>IF(J736&gt;0,MIN(99,$B$12*Q736/(J736*12*(1-Inputs!$H$16))),99)</f>
        <v>2.36296894</v>
      </c>
      <c r="L736" s="134">
        <f t="shared" si="9"/>
        <v>1.155810503</v>
      </c>
      <c r="M736" s="134">
        <f t="shared" si="10"/>
        <v>1.068276767</v>
      </c>
      <c r="N736" s="134">
        <f t="shared" si="11"/>
        <v>1.039855361</v>
      </c>
      <c r="O736" s="134">
        <f t="shared" si="12"/>
        <v>0.9779719444</v>
      </c>
      <c r="P736" s="134">
        <f t="shared" si="13"/>
        <v>1.760586849</v>
      </c>
      <c r="Q736" s="134">
        <f t="shared" si="14"/>
        <v>1.021848954</v>
      </c>
    </row>
    <row r="737" ht="15.0" customHeight="1">
      <c r="A737" s="13">
        <v>698.0</v>
      </c>
      <c r="B737" s="134">
        <f t="shared" ref="B737:D737" si="1405">RAND()</f>
        <v>0.4239686633</v>
      </c>
      <c r="C737" s="134">
        <f t="shared" si="1405"/>
        <v>0.7766263024</v>
      </c>
      <c r="D737" s="134">
        <f t="shared" si="1405"/>
        <v>0.5732566556</v>
      </c>
      <c r="F737" s="134">
        <f t="shared" ref="F737:H737" si="1406">RAND()</f>
        <v>0.2052968874</v>
      </c>
      <c r="G737" s="134">
        <f t="shared" si="1406"/>
        <v>0.8289350218</v>
      </c>
      <c r="H737" s="134">
        <f t="shared" si="1406"/>
        <v>0.5196786077</v>
      </c>
      <c r="J737" s="135">
        <f t="shared" si="8"/>
        <v>127533763.6</v>
      </c>
      <c r="K737" s="136">
        <f>IF(J737&gt;0,MIN(99,$B$12*Q737/(J737*12*(1-Inputs!$H$16))),99)</f>
        <v>4.678034129</v>
      </c>
      <c r="L737" s="134">
        <f t="shared" si="9"/>
        <v>0.9933952257</v>
      </c>
      <c r="M737" s="134">
        <f t="shared" si="10"/>
        <v>0.9964086756</v>
      </c>
      <c r="N737" s="134">
        <f t="shared" si="11"/>
        <v>1.013954757</v>
      </c>
      <c r="O737" s="134">
        <f t="shared" si="12"/>
        <v>0.9995096475</v>
      </c>
      <c r="P737" s="134">
        <f t="shared" si="13"/>
        <v>1.469466183</v>
      </c>
      <c r="Q737" s="134">
        <f t="shared" si="14"/>
        <v>1.096622225</v>
      </c>
    </row>
    <row r="738" ht="15.0" customHeight="1">
      <c r="A738" s="13">
        <v>699.0</v>
      </c>
      <c r="B738" s="134">
        <f t="shared" ref="B738:D738" si="1407">RAND()</f>
        <v>0.9933251242</v>
      </c>
      <c r="C738" s="134">
        <f t="shared" si="1407"/>
        <v>0.09791777696</v>
      </c>
      <c r="D738" s="134">
        <f t="shared" si="1407"/>
        <v>0.4711255551</v>
      </c>
      <c r="F738" s="134">
        <f t="shared" ref="F738:H738" si="1408">RAND()</f>
        <v>0.01907164868</v>
      </c>
      <c r="G738" s="134">
        <f t="shared" si="1408"/>
        <v>0.05265301849</v>
      </c>
      <c r="H738" s="134">
        <f t="shared" si="1408"/>
        <v>0.2130517075</v>
      </c>
      <c r="J738" s="135">
        <f t="shared" si="8"/>
        <v>348644288.8</v>
      </c>
      <c r="K738" s="136">
        <f>IF(J738&gt;0,MIN(99,$B$12*Q738/(J738*12*(1-Inputs!$H$16))),99)</f>
        <v>1.550576923</v>
      </c>
      <c r="L738" s="134">
        <f t="shared" si="9"/>
        <v>1.244704861</v>
      </c>
      <c r="M738" s="134">
        <f t="shared" si="10"/>
        <v>1.107591633</v>
      </c>
      <c r="N738" s="134">
        <f t="shared" si="11"/>
        <v>1.005298752</v>
      </c>
      <c r="O738" s="134">
        <f t="shared" si="12"/>
        <v>0.9789148184</v>
      </c>
      <c r="P738" s="134">
        <f t="shared" si="13"/>
        <v>0.9158134849</v>
      </c>
      <c r="Q738" s="134">
        <f t="shared" si="14"/>
        <v>0.9936749755</v>
      </c>
    </row>
    <row r="739" ht="15.0" customHeight="1">
      <c r="A739" s="13">
        <v>700.0</v>
      </c>
      <c r="B739" s="134">
        <f t="shared" ref="B739:D739" si="1409">RAND()</f>
        <v>0.3831631939</v>
      </c>
      <c r="C739" s="134">
        <f t="shared" si="1409"/>
        <v>0.2530936953</v>
      </c>
      <c r="D739" s="134">
        <f t="shared" si="1409"/>
        <v>0.7046867668</v>
      </c>
      <c r="F739" s="134">
        <f t="shared" ref="F739:H739" si="1410">RAND()</f>
        <v>0.5441073515</v>
      </c>
      <c r="G739" s="134">
        <f t="shared" si="1410"/>
        <v>0.3932529902</v>
      </c>
      <c r="H739" s="134">
        <f t="shared" si="1410"/>
        <v>0.1775287013</v>
      </c>
      <c r="J739" s="135">
        <f t="shared" si="8"/>
        <v>125820939.6</v>
      </c>
      <c r="K739" s="136">
        <f>IF(J739&gt;0,MIN(99,$B$12*Q739/(J739*12*(1-Inputs!$H$16))),99)</f>
        <v>4.245731089</v>
      </c>
      <c r="L739" s="134">
        <f t="shared" si="9"/>
        <v>0.9826195061</v>
      </c>
      <c r="M739" s="134">
        <f t="shared" si="10"/>
        <v>0.9915877392</v>
      </c>
      <c r="N739" s="134">
        <f t="shared" si="11"/>
        <v>1.026804946</v>
      </c>
      <c r="O739" s="134">
        <f t="shared" si="12"/>
        <v>1.02676272</v>
      </c>
      <c r="P739" s="134">
        <f t="shared" si="13"/>
        <v>1.122057906</v>
      </c>
      <c r="Q739" s="134">
        <f t="shared" si="14"/>
        <v>0.9819149884</v>
      </c>
    </row>
    <row r="740" ht="15.0" customHeight="1">
      <c r="A740" s="13">
        <v>701.0</v>
      </c>
      <c r="B740" s="134">
        <f t="shared" ref="B740:D740" si="1411">RAND()</f>
        <v>0.3858802352</v>
      </c>
      <c r="C740" s="134">
        <f t="shared" si="1411"/>
        <v>0.8256274198</v>
      </c>
      <c r="D740" s="134">
        <f t="shared" si="1411"/>
        <v>0.5227488571</v>
      </c>
      <c r="F740" s="134">
        <f t="shared" ref="F740:H740" si="1412">RAND()</f>
        <v>0.3750518238</v>
      </c>
      <c r="G740" s="134">
        <f t="shared" si="1412"/>
        <v>0.0515077996</v>
      </c>
      <c r="H740" s="134">
        <f t="shared" si="1412"/>
        <v>0.9122248571</v>
      </c>
      <c r="J740" s="135">
        <f t="shared" si="8"/>
        <v>140240598</v>
      </c>
      <c r="K740" s="136">
        <f>IF(J740&gt;0,MIN(99,$B$12*Q740/(J740*12*(1-Inputs!$H$16))),99)</f>
        <v>5.069334283</v>
      </c>
      <c r="L740" s="134">
        <f t="shared" si="9"/>
        <v>0.9833543291</v>
      </c>
      <c r="M740" s="134">
        <f t="shared" si="10"/>
        <v>0.9919164908</v>
      </c>
      <c r="N740" s="134">
        <f t="shared" si="11"/>
        <v>1.009558085</v>
      </c>
      <c r="O740" s="134">
        <f t="shared" si="12"/>
        <v>1.012230672</v>
      </c>
      <c r="P740" s="134">
        <f t="shared" si="13"/>
        <v>0.9147076856</v>
      </c>
      <c r="Q740" s="134">
        <f t="shared" si="14"/>
        <v>1.30675198</v>
      </c>
    </row>
    <row r="741" ht="15.0" customHeight="1">
      <c r="A741" s="13">
        <v>702.0</v>
      </c>
      <c r="B741" s="134">
        <f t="shared" ref="B741:D741" si="1413">RAND()</f>
        <v>0.3685996592</v>
      </c>
      <c r="C741" s="134">
        <f t="shared" si="1413"/>
        <v>0.3173635437</v>
      </c>
      <c r="D741" s="134">
        <f t="shared" si="1413"/>
        <v>0.5836150367</v>
      </c>
      <c r="F741" s="134">
        <f t="shared" ref="F741:H741" si="1414">RAND()</f>
        <v>0.7412478402</v>
      </c>
      <c r="G741" s="134">
        <f t="shared" si="1414"/>
        <v>0.1104818781</v>
      </c>
      <c r="H741" s="134">
        <f t="shared" si="1414"/>
        <v>0.4843621115</v>
      </c>
      <c r="J741" s="135">
        <f t="shared" si="8"/>
        <v>128135171.1</v>
      </c>
      <c r="K741" s="136">
        <f>IF(J741&gt;0,MIN(99,$B$12*Q741/(J741*12*(1-Inputs!$H$16))),99)</f>
        <v>4.599803668</v>
      </c>
      <c r="L741" s="134">
        <f t="shared" si="9"/>
        <v>0.97863561</v>
      </c>
      <c r="M741" s="134">
        <f t="shared" si="10"/>
        <v>0.9898053887</v>
      </c>
      <c r="N741" s="134">
        <f t="shared" si="11"/>
        <v>1.01488808</v>
      </c>
      <c r="O741" s="134">
        <f t="shared" si="12"/>
        <v>1.047743556</v>
      </c>
      <c r="P741" s="134">
        <f t="shared" si="13"/>
        <v>0.9611733972</v>
      </c>
      <c r="Q741" s="134">
        <f t="shared" si="14"/>
        <v>1.083368315</v>
      </c>
    </row>
    <row r="742" ht="15.0" customHeight="1">
      <c r="A742" s="13">
        <v>703.0</v>
      </c>
      <c r="B742" s="134">
        <f t="shared" ref="B742:D742" si="1415">RAND()</f>
        <v>0.6128920386</v>
      </c>
      <c r="C742" s="134">
        <f t="shared" si="1415"/>
        <v>0.3139513344</v>
      </c>
      <c r="D742" s="134">
        <f t="shared" si="1415"/>
        <v>0.4223221766</v>
      </c>
      <c r="F742" s="134">
        <f t="shared" ref="F742:H742" si="1416">RAND()</f>
        <v>0.4499980728</v>
      </c>
      <c r="G742" s="134">
        <f t="shared" si="1416"/>
        <v>0.2124245525</v>
      </c>
      <c r="H742" s="134">
        <f t="shared" si="1416"/>
        <v>0.9472783549</v>
      </c>
      <c r="J742" s="135">
        <f t="shared" si="8"/>
        <v>180714950.1</v>
      </c>
      <c r="K742" s="136">
        <f>IF(J742&gt;0,MIN(99,$B$12*Q742/(J742*12*(1-Inputs!$H$16))),99)</f>
        <v>4.040237196</v>
      </c>
      <c r="L742" s="134">
        <f t="shared" si="9"/>
        <v>1.044289479</v>
      </c>
      <c r="M742" s="134">
        <f t="shared" si="10"/>
        <v>1.018954919</v>
      </c>
      <c r="N742" s="134">
        <f t="shared" si="11"/>
        <v>1.001459484</v>
      </c>
      <c r="O742" s="134">
        <f t="shared" si="12"/>
        <v>1.018393773</v>
      </c>
      <c r="P742" s="134">
        <f t="shared" si="13"/>
        <v>1.018869156</v>
      </c>
      <c r="Q742" s="134">
        <f t="shared" si="14"/>
        <v>1.342052255</v>
      </c>
    </row>
    <row r="743" ht="15.0" customHeight="1">
      <c r="A743" s="13">
        <v>704.0</v>
      </c>
      <c r="B743" s="134">
        <f t="shared" ref="B743:D743" si="1417">RAND()</f>
        <v>0.9265508404</v>
      </c>
      <c r="C743" s="134">
        <f t="shared" si="1417"/>
        <v>0.2880546545</v>
      </c>
      <c r="D743" s="134">
        <f t="shared" si="1417"/>
        <v>0.9829552897</v>
      </c>
      <c r="F743" s="134">
        <f t="shared" ref="F743:H743" si="1418">RAND()</f>
        <v>0.1960999015</v>
      </c>
      <c r="G743" s="134">
        <f t="shared" si="1418"/>
        <v>0.9057451344</v>
      </c>
      <c r="H743" s="134">
        <f t="shared" si="1418"/>
        <v>0.4300783462</v>
      </c>
      <c r="J743" s="135">
        <f t="shared" si="8"/>
        <v>244887975.5</v>
      </c>
      <c r="K743" s="136">
        <f>IF(J743&gt;0,MIN(99,$B$12*Q743/(J743*12*(1-Inputs!$H$16))),99)</f>
        <v>2.363443748</v>
      </c>
      <c r="L743" s="134">
        <f t="shared" si="9"/>
        <v>1.174504928</v>
      </c>
      <c r="M743" s="134">
        <f t="shared" si="10"/>
        <v>1.076544658</v>
      </c>
      <c r="N743" s="134">
        <f t="shared" si="11"/>
        <v>1.075111847</v>
      </c>
      <c r="O743" s="134">
        <f t="shared" si="12"/>
        <v>0.9988384906</v>
      </c>
      <c r="P743" s="134">
        <f t="shared" si="13"/>
        <v>1.570825045</v>
      </c>
      <c r="Q743" s="134">
        <f t="shared" si="14"/>
        <v>1.063851995</v>
      </c>
    </row>
    <row r="744" ht="15.0" customHeight="1">
      <c r="A744" s="13">
        <v>705.0</v>
      </c>
      <c r="B744" s="134">
        <f t="shared" ref="B744:D744" si="1419">RAND()</f>
        <v>0.1257091032</v>
      </c>
      <c r="C744" s="134">
        <f t="shared" si="1419"/>
        <v>0.3901887097</v>
      </c>
      <c r="D744" s="134">
        <f t="shared" si="1419"/>
        <v>0.360704175</v>
      </c>
      <c r="F744" s="134">
        <f t="shared" ref="F744:H744" si="1420">RAND()</f>
        <v>0.2325897554</v>
      </c>
      <c r="G744" s="134">
        <f t="shared" si="1420"/>
        <v>0.4811983173</v>
      </c>
      <c r="H744" s="134">
        <f t="shared" si="1420"/>
        <v>0.3408642094</v>
      </c>
      <c r="J744" s="135">
        <f t="shared" si="8"/>
        <v>74194991.92</v>
      </c>
      <c r="K744" s="136">
        <f>IF(J744&gt;0,MIN(99,$B$12*Q744/(J744*12*(1-Inputs!$H$16))),99)</f>
        <v>7.579671121</v>
      </c>
      <c r="L744" s="134">
        <f t="shared" si="9"/>
        <v>0.8939212938</v>
      </c>
      <c r="M744" s="134">
        <f t="shared" si="10"/>
        <v>0.9519051518</v>
      </c>
      <c r="N744" s="134">
        <f t="shared" si="11"/>
        <v>0.9966919499</v>
      </c>
      <c r="O744" s="134">
        <f t="shared" si="12"/>
        <v>1.001460265</v>
      </c>
      <c r="P744" s="134">
        <f t="shared" si="13"/>
        <v>1.177839533</v>
      </c>
      <c r="Q744" s="134">
        <f t="shared" si="14"/>
        <v>1.033697427</v>
      </c>
    </row>
    <row r="745" ht="15.0" customHeight="1">
      <c r="A745" s="13">
        <v>706.0</v>
      </c>
      <c r="B745" s="134">
        <f t="shared" ref="B745:D745" si="1421">RAND()</f>
        <v>0.4737302743</v>
      </c>
      <c r="C745" s="134">
        <f t="shared" si="1421"/>
        <v>0.9820634927</v>
      </c>
      <c r="D745" s="134">
        <f t="shared" si="1421"/>
        <v>0.4410029596</v>
      </c>
      <c r="F745" s="134">
        <f t="shared" ref="F745:H745" si="1422">RAND()</f>
        <v>0.8182532747</v>
      </c>
      <c r="G745" s="134">
        <f t="shared" si="1422"/>
        <v>0.9247925602</v>
      </c>
      <c r="H745" s="134">
        <f t="shared" si="1422"/>
        <v>0.8509963571</v>
      </c>
      <c r="J745" s="135">
        <f t="shared" si="8"/>
        <v>124057043.1</v>
      </c>
      <c r="K745" s="136">
        <f>IF(J745&gt;0,MIN(99,$B$12*Q745/(J745*12*(1-Inputs!$H$16))),99)</f>
        <v>5.522223442</v>
      </c>
      <c r="L745" s="134">
        <f t="shared" si="9"/>
        <v>1.005997979</v>
      </c>
      <c r="M745" s="134">
        <f t="shared" si="10"/>
        <v>1.002019928</v>
      </c>
      <c r="N745" s="134">
        <f t="shared" si="11"/>
        <v>1.002909158</v>
      </c>
      <c r="O745" s="134">
        <f t="shared" si="12"/>
        <v>1.058120398</v>
      </c>
      <c r="P745" s="134">
        <f t="shared" si="13"/>
        <v>1.601986463</v>
      </c>
      <c r="Q745" s="134">
        <f t="shared" si="14"/>
        <v>1.259226579</v>
      </c>
    </row>
    <row r="746" ht="15.0" customHeight="1">
      <c r="A746" s="13">
        <v>707.0</v>
      </c>
      <c r="B746" s="134">
        <f t="shared" ref="B746:D746" si="1423">RAND()</f>
        <v>0.9160448244</v>
      </c>
      <c r="C746" s="134">
        <f t="shared" si="1423"/>
        <v>0.911954705</v>
      </c>
      <c r="D746" s="134">
        <f t="shared" si="1423"/>
        <v>0.1961250225</v>
      </c>
      <c r="F746" s="134">
        <f t="shared" ref="F746:H746" si="1424">RAND()</f>
        <v>0.6461463124</v>
      </c>
      <c r="G746" s="134">
        <f t="shared" si="1424"/>
        <v>0.8073309143</v>
      </c>
      <c r="H746" s="134">
        <f t="shared" si="1424"/>
        <v>0.1627676845</v>
      </c>
      <c r="J746" s="135">
        <f t="shared" si="8"/>
        <v>261302813.5</v>
      </c>
      <c r="K746" s="136">
        <f>IF(J746&gt;0,MIN(99,$B$12*Q746/(J746*12*(1-Inputs!$H$16))),99)</f>
        <v>2.033487295</v>
      </c>
      <c r="L746" s="134">
        <f t="shared" si="9"/>
        <v>1.167557752</v>
      </c>
      <c r="M746" s="134">
        <f t="shared" si="10"/>
        <v>1.073472165</v>
      </c>
      <c r="N746" s="134">
        <f t="shared" si="11"/>
        <v>0.9815232394</v>
      </c>
      <c r="O746" s="134">
        <f t="shared" si="12"/>
        <v>1.036885426</v>
      </c>
      <c r="P746" s="134">
        <f t="shared" si="13"/>
        <v>1.4453691</v>
      </c>
      <c r="Q746" s="134">
        <f t="shared" si="14"/>
        <v>0.9766839039</v>
      </c>
    </row>
    <row r="747" ht="15.0" customHeight="1">
      <c r="A747" s="13">
        <v>708.0</v>
      </c>
      <c r="B747" s="134">
        <f t="shared" ref="B747:D747" si="1425">RAND()</f>
        <v>0.5951105364</v>
      </c>
      <c r="C747" s="134">
        <f t="shared" si="1425"/>
        <v>0.09639526461</v>
      </c>
      <c r="D747" s="134">
        <f t="shared" si="1425"/>
        <v>0.6215090956</v>
      </c>
      <c r="F747" s="134">
        <f t="shared" ref="F747:H747" si="1426">RAND()</f>
        <v>0.9058042445</v>
      </c>
      <c r="G747" s="134">
        <f t="shared" si="1426"/>
        <v>0.2568819342</v>
      </c>
      <c r="H747" s="134">
        <f t="shared" si="1426"/>
        <v>0.2506803711</v>
      </c>
      <c r="J747" s="135">
        <f t="shared" si="8"/>
        <v>163034109.1</v>
      </c>
      <c r="K747" s="136">
        <f>IF(J747&gt;0,MIN(99,$B$12*Q747/(J747*12*(1-Inputs!$H$16))),99)</f>
        <v>3.354416975</v>
      </c>
      <c r="L747" s="134">
        <f t="shared" si="9"/>
        <v>1.039050215</v>
      </c>
      <c r="M747" s="134">
        <f t="shared" si="10"/>
        <v>1.016637776</v>
      </c>
      <c r="N747" s="134">
        <f t="shared" si="11"/>
        <v>1.018405497</v>
      </c>
      <c r="O747" s="134">
        <f t="shared" si="12"/>
        <v>1.073164735</v>
      </c>
      <c r="P747" s="134">
        <f t="shared" si="13"/>
        <v>1.043033439</v>
      </c>
      <c r="Q747" s="134">
        <f t="shared" si="14"/>
        <v>1.005226671</v>
      </c>
    </row>
    <row r="748" ht="15.0" customHeight="1">
      <c r="A748" s="13">
        <v>709.0</v>
      </c>
      <c r="B748" s="134">
        <f t="shared" ref="B748:D748" si="1427">RAND()</f>
        <v>0.4108015304</v>
      </c>
      <c r="C748" s="134">
        <f t="shared" si="1427"/>
        <v>0.4311335993</v>
      </c>
      <c r="D748" s="134">
        <f t="shared" si="1427"/>
        <v>0.009922731756</v>
      </c>
      <c r="F748" s="134">
        <f t="shared" ref="F748:H748" si="1428">RAND()</f>
        <v>0.0477557998</v>
      </c>
      <c r="G748" s="134">
        <f t="shared" si="1428"/>
        <v>0.3327406615</v>
      </c>
      <c r="H748" s="134">
        <f t="shared" si="1428"/>
        <v>0.6145924548</v>
      </c>
      <c r="J748" s="135">
        <f t="shared" si="8"/>
        <v>156111595.5</v>
      </c>
      <c r="K748" s="136">
        <f>IF(J748&gt;0,MIN(99,$B$12*Q748/(J748*12*(1-Inputs!$H$16))),99)</f>
        <v>3.954996223</v>
      </c>
      <c r="L748" s="134">
        <f t="shared" si="9"/>
        <v>0.9899771434</v>
      </c>
      <c r="M748" s="134">
        <f t="shared" si="10"/>
        <v>0.9948794638</v>
      </c>
      <c r="N748" s="134">
        <f t="shared" si="11"/>
        <v>0.9485128245</v>
      </c>
      <c r="O748" s="134">
        <f t="shared" si="12"/>
        <v>0.9841734737</v>
      </c>
      <c r="P748" s="134">
        <f t="shared" si="13"/>
        <v>1.085999294</v>
      </c>
      <c r="Q748" s="134">
        <f t="shared" si="14"/>
        <v>1.13487941</v>
      </c>
    </row>
    <row r="749" ht="15.0" customHeight="1">
      <c r="A749" s="13">
        <v>710.0</v>
      </c>
      <c r="B749" s="134">
        <f t="shared" ref="B749:D749" si="1429">RAND()</f>
        <v>0.6937963726</v>
      </c>
      <c r="C749" s="134">
        <f t="shared" si="1429"/>
        <v>0.4620816729</v>
      </c>
      <c r="D749" s="134">
        <f t="shared" si="1429"/>
        <v>0.04444929022</v>
      </c>
      <c r="F749" s="134">
        <f t="shared" ref="F749:H749" si="1430">RAND()</f>
        <v>0.8910657217</v>
      </c>
      <c r="G749" s="134">
        <f t="shared" si="1430"/>
        <v>0.2894282072</v>
      </c>
      <c r="H749" s="134">
        <f t="shared" si="1430"/>
        <v>0.8040590873</v>
      </c>
      <c r="J749" s="135">
        <f t="shared" si="8"/>
        <v>199102356.4</v>
      </c>
      <c r="K749" s="136">
        <f>IF(J749&gt;0,MIN(99,$B$12*Q749/(J749*12*(1-Inputs!$H$16))),99)</f>
        <v>3.358831418</v>
      </c>
      <c r="L749" s="134">
        <f t="shared" si="9"/>
        <v>1.069809847</v>
      </c>
      <c r="M749" s="134">
        <f t="shared" si="10"/>
        <v>1.030241685</v>
      </c>
      <c r="N749" s="134">
        <f t="shared" si="11"/>
        <v>0.9592086818</v>
      </c>
      <c r="O749" s="134">
        <f t="shared" si="12"/>
        <v>1.070249382</v>
      </c>
      <c r="P749" s="134">
        <f t="shared" si="13"/>
        <v>1.061185292</v>
      </c>
      <c r="Q749" s="134">
        <f t="shared" si="14"/>
        <v>1.229229823</v>
      </c>
    </row>
    <row r="750" ht="15.0" customHeight="1">
      <c r="A750" s="13">
        <v>711.0</v>
      </c>
      <c r="B750" s="134">
        <f t="shared" ref="B750:D750" si="1431">RAND()</f>
        <v>0.4365004654</v>
      </c>
      <c r="C750" s="134">
        <f t="shared" si="1431"/>
        <v>0.8125286339</v>
      </c>
      <c r="D750" s="134">
        <f t="shared" si="1431"/>
        <v>0.4088661007</v>
      </c>
      <c r="F750" s="134">
        <f t="shared" ref="F750:H750" si="1432">RAND()</f>
        <v>0.223460508</v>
      </c>
      <c r="G750" s="134">
        <f t="shared" si="1432"/>
        <v>0.08436189356</v>
      </c>
      <c r="H750" s="134">
        <f t="shared" si="1432"/>
        <v>0.4353111015</v>
      </c>
      <c r="J750" s="135">
        <f t="shared" si="8"/>
        <v>152380317.1</v>
      </c>
      <c r="K750" s="136">
        <f>IF(J750&gt;0,MIN(99,$B$12*Q750/(J750*12*(1-Inputs!$H$16))),99)</f>
        <v>3.804820672</v>
      </c>
      <c r="L750" s="134">
        <f t="shared" si="9"/>
        <v>0.9965994187</v>
      </c>
      <c r="M750" s="134">
        <f t="shared" si="10"/>
        <v>0.9978421956</v>
      </c>
      <c r="N750" s="134">
        <f t="shared" si="11"/>
        <v>1.000429733</v>
      </c>
      <c r="O750" s="134">
        <f t="shared" si="12"/>
        <v>1.000805692</v>
      </c>
      <c r="P750" s="134">
        <f t="shared" si="13"/>
        <v>0.9426915527</v>
      </c>
      <c r="Q750" s="134">
        <f t="shared" si="14"/>
        <v>1.065691611</v>
      </c>
    </row>
    <row r="751" ht="15.0" customHeight="1">
      <c r="A751" s="13">
        <v>712.0</v>
      </c>
      <c r="B751" s="134">
        <f t="shared" ref="B751:D751" si="1433">RAND()</f>
        <v>0.7335818333</v>
      </c>
      <c r="C751" s="134">
        <f t="shared" si="1433"/>
        <v>0.1578394317</v>
      </c>
      <c r="D751" s="134">
        <f t="shared" si="1433"/>
        <v>0.06376813336</v>
      </c>
      <c r="F751" s="134">
        <f t="shared" ref="F751:H751" si="1434">RAND()</f>
        <v>0.6726969112</v>
      </c>
      <c r="G751" s="134">
        <f t="shared" si="1434"/>
        <v>0.522756922</v>
      </c>
      <c r="H751" s="134">
        <f t="shared" si="1434"/>
        <v>0.06160624682</v>
      </c>
      <c r="J751" s="135">
        <f t="shared" si="8"/>
        <v>208295671.6</v>
      </c>
      <c r="K751" s="136">
        <f>IF(J751&gt;0,MIN(99,$B$12*Q751/(J751*12*(1-Inputs!$H$16))),99)</f>
        <v>2.432456113</v>
      </c>
      <c r="L751" s="134">
        <f t="shared" si="9"/>
        <v>1.083603819</v>
      </c>
      <c r="M751" s="134">
        <f t="shared" si="10"/>
        <v>1.036342277</v>
      </c>
      <c r="N751" s="134">
        <f t="shared" si="11"/>
        <v>0.9632183893</v>
      </c>
      <c r="O751" s="134">
        <f t="shared" si="12"/>
        <v>1.039752053</v>
      </c>
      <c r="P751" s="134">
        <f t="shared" si="13"/>
        <v>1.205845105</v>
      </c>
      <c r="Q751" s="134">
        <f t="shared" si="14"/>
        <v>0.9313088712</v>
      </c>
    </row>
    <row r="752" ht="15.0" customHeight="1">
      <c r="A752" s="13">
        <v>713.0</v>
      </c>
      <c r="B752" s="134">
        <f t="shared" ref="B752:D752" si="1435">RAND()</f>
        <v>0.5307601893</v>
      </c>
      <c r="C752" s="134">
        <f t="shared" si="1435"/>
        <v>0.4050401299</v>
      </c>
      <c r="D752" s="134">
        <f t="shared" si="1435"/>
        <v>0.3604490656</v>
      </c>
      <c r="F752" s="134">
        <f t="shared" ref="F752:H752" si="1436">RAND()</f>
        <v>0.535101853</v>
      </c>
      <c r="G752" s="134">
        <f t="shared" si="1436"/>
        <v>0.1886169389</v>
      </c>
      <c r="H752" s="134">
        <f t="shared" si="1436"/>
        <v>0.3137086827</v>
      </c>
      <c r="J752" s="135">
        <f t="shared" si="8"/>
        <v>164043005.5</v>
      </c>
      <c r="K752" s="136">
        <f>IF(J752&gt;0,MIN(99,$B$12*Q752/(J752*12*(1-Inputs!$H$16))),99)</f>
        <v>3.399132015</v>
      </c>
      <c r="L752" s="134">
        <f t="shared" si="9"/>
        <v>1.020991193</v>
      </c>
      <c r="M752" s="134">
        <f t="shared" si="10"/>
        <v>1.008650902</v>
      </c>
      <c r="N752" s="134">
        <f t="shared" si="11"/>
        <v>0.9966715211</v>
      </c>
      <c r="O752" s="134">
        <f t="shared" si="12"/>
        <v>1.025926597</v>
      </c>
      <c r="P752" s="134">
        <f t="shared" si="13"/>
        <v>1.00620904</v>
      </c>
      <c r="Q752" s="134">
        <f t="shared" si="14"/>
        <v>1.02493006</v>
      </c>
    </row>
    <row r="753" ht="15.0" customHeight="1">
      <c r="A753" s="13">
        <v>714.0</v>
      </c>
      <c r="B753" s="134">
        <f t="shared" ref="B753:D753" si="1437">RAND()</f>
        <v>0.9602411921</v>
      </c>
      <c r="C753" s="134">
        <f t="shared" si="1437"/>
        <v>0.2056545905</v>
      </c>
      <c r="D753" s="134">
        <f t="shared" si="1437"/>
        <v>0.3076466992</v>
      </c>
      <c r="F753" s="134">
        <f t="shared" ref="F753:H753" si="1438">RAND()</f>
        <v>0.2128890771</v>
      </c>
      <c r="G753" s="134">
        <f t="shared" si="1438"/>
        <v>0.268914359</v>
      </c>
      <c r="H753" s="134">
        <f t="shared" si="1438"/>
        <v>0.1175766643</v>
      </c>
      <c r="J753" s="135">
        <f t="shared" si="8"/>
        <v>307010957.3</v>
      </c>
      <c r="K753" s="136">
        <f>IF(J753&gt;0,MIN(99,$B$12*Q753/(J753*12*(1-Inputs!$H$16))),99)</f>
        <v>1.699376893</v>
      </c>
      <c r="L753" s="134">
        <f t="shared" si="9"/>
        <v>1.201061944</v>
      </c>
      <c r="M753" s="134">
        <f t="shared" si="10"/>
        <v>1.088289897</v>
      </c>
      <c r="N753" s="134">
        <f t="shared" si="11"/>
        <v>0.9922750626</v>
      </c>
      <c r="O753" s="134">
        <f t="shared" si="12"/>
        <v>1.000052502</v>
      </c>
      <c r="P753" s="134">
        <f t="shared" si="13"/>
        <v>1.049697</v>
      </c>
      <c r="Q753" s="134">
        <f t="shared" si="14"/>
        <v>0.9589855555</v>
      </c>
    </row>
    <row r="754" ht="15.0" customHeight="1">
      <c r="A754" s="13">
        <v>715.0</v>
      </c>
      <c r="B754" s="134">
        <f t="shared" ref="B754:D754" si="1439">RAND()</f>
        <v>0.4227656976</v>
      </c>
      <c r="C754" s="134">
        <f t="shared" si="1439"/>
        <v>0.8893918534</v>
      </c>
      <c r="D754" s="134">
        <f t="shared" si="1439"/>
        <v>0.4960435884</v>
      </c>
      <c r="F754" s="134">
        <f t="shared" ref="F754:H754" si="1440">RAND()</f>
        <v>0.2858677174</v>
      </c>
      <c r="G754" s="134">
        <f t="shared" si="1440"/>
        <v>0.9407497144</v>
      </c>
      <c r="H754" s="134">
        <f t="shared" si="1440"/>
        <v>0.8529432079</v>
      </c>
      <c r="J754" s="135">
        <f t="shared" si="8"/>
        <v>121641615.2</v>
      </c>
      <c r="K754" s="136">
        <f>IF(J754&gt;0,MIN(99,$B$12*Q754/(J754*12*(1-Inputs!$H$16))),99)</f>
        <v>5.637870363</v>
      </c>
      <c r="L754" s="134">
        <f t="shared" si="9"/>
        <v>0.9930851691</v>
      </c>
      <c r="M754" s="134">
        <f t="shared" si="10"/>
        <v>0.9962699597</v>
      </c>
      <c r="N754" s="134">
        <f t="shared" si="11"/>
        <v>1.007327414</v>
      </c>
      <c r="O754" s="134">
        <f t="shared" si="12"/>
        <v>1.00536057</v>
      </c>
      <c r="P754" s="134">
        <f t="shared" si="13"/>
        <v>1.631299417</v>
      </c>
      <c r="Q754" s="134">
        <f t="shared" si="14"/>
        <v>1.260566453</v>
      </c>
    </row>
    <row r="755" ht="15.0" customHeight="1">
      <c r="A755" s="13">
        <v>716.0</v>
      </c>
      <c r="B755" s="134">
        <f t="shared" ref="B755:D755" si="1441">RAND()</f>
        <v>0.5759552907</v>
      </c>
      <c r="C755" s="134">
        <f t="shared" si="1441"/>
        <v>0.861223177</v>
      </c>
      <c r="D755" s="134">
        <f t="shared" si="1441"/>
        <v>0.555603399</v>
      </c>
      <c r="F755" s="134">
        <f t="shared" ref="F755:H755" si="1442">RAND()</f>
        <v>0.5706494425</v>
      </c>
      <c r="G755" s="134">
        <f t="shared" si="1442"/>
        <v>0.1501593382</v>
      </c>
      <c r="H755" s="134">
        <f t="shared" si="1442"/>
        <v>0.76285768</v>
      </c>
      <c r="J755" s="135">
        <f t="shared" si="8"/>
        <v>169868271.4</v>
      </c>
      <c r="K755" s="136">
        <f>IF(J755&gt;0,MIN(99,$B$12*Q755/(J755*12*(1-Inputs!$H$16))),99)</f>
        <v>3.861709221</v>
      </c>
      <c r="L755" s="134">
        <f t="shared" si="9"/>
        <v>1.033533341</v>
      </c>
      <c r="M755" s="134">
        <f t="shared" si="10"/>
        <v>1.014197855</v>
      </c>
      <c r="N755" s="134">
        <f t="shared" si="11"/>
        <v>1.012389874</v>
      </c>
      <c r="O755" s="134">
        <f t="shared" si="12"/>
        <v>1.029276287</v>
      </c>
      <c r="P755" s="134">
        <f t="shared" si="13"/>
        <v>0.985463249</v>
      </c>
      <c r="Q755" s="134">
        <f t="shared" si="14"/>
        <v>1.20575846</v>
      </c>
    </row>
    <row r="756" ht="15.0" customHeight="1">
      <c r="A756" s="13">
        <v>717.0</v>
      </c>
      <c r="B756" s="134">
        <f t="shared" ref="B756:D756" si="1443">RAND()</f>
        <v>0.9632912857</v>
      </c>
      <c r="C756" s="134">
        <f t="shared" si="1443"/>
        <v>0.7612682009</v>
      </c>
      <c r="D756" s="134">
        <f t="shared" si="1443"/>
        <v>0.91848668</v>
      </c>
      <c r="F756" s="134">
        <f t="shared" ref="F756:H756" si="1444">RAND()</f>
        <v>0.6307449326</v>
      </c>
      <c r="G756" s="134">
        <f t="shared" si="1444"/>
        <v>0.3692644844</v>
      </c>
      <c r="H756" s="134">
        <f t="shared" si="1444"/>
        <v>0.8784214145</v>
      </c>
      <c r="J756" s="135">
        <f t="shared" si="8"/>
        <v>284570795.1</v>
      </c>
      <c r="K756" s="136">
        <f>IF(J756&gt;0,MIN(99,$B$12*Q756/(J756*12*(1-Inputs!$H$16))),99)</f>
        <v>2.445175923</v>
      </c>
      <c r="L756" s="134">
        <f t="shared" si="9"/>
        <v>1.203954605</v>
      </c>
      <c r="M756" s="134">
        <f t="shared" si="10"/>
        <v>1.08956922</v>
      </c>
      <c r="N756" s="134">
        <f t="shared" si="11"/>
        <v>1.056982366</v>
      </c>
      <c r="O756" s="134">
        <f t="shared" si="12"/>
        <v>1.035271735</v>
      </c>
      <c r="P756" s="134">
        <f t="shared" si="13"/>
        <v>1.107557425</v>
      </c>
      <c r="Q756" s="134">
        <f t="shared" si="14"/>
        <v>1.278995214</v>
      </c>
    </row>
    <row r="757" ht="15.0" customHeight="1">
      <c r="A757" s="13">
        <v>718.0</v>
      </c>
      <c r="B757" s="134">
        <f t="shared" ref="B757:D757" si="1445">RAND()</f>
        <v>0.5688482289</v>
      </c>
      <c r="C757" s="134">
        <f t="shared" si="1445"/>
        <v>0.3679253233</v>
      </c>
      <c r="D757" s="134">
        <f t="shared" si="1445"/>
        <v>0.02628415811</v>
      </c>
      <c r="F757" s="134">
        <f t="shared" ref="F757:H757" si="1446">RAND()</f>
        <v>0.2011946458</v>
      </c>
      <c r="G757" s="134">
        <f t="shared" si="1446"/>
        <v>0.1467799577</v>
      </c>
      <c r="H757" s="134">
        <f t="shared" si="1446"/>
        <v>0.6676877833</v>
      </c>
      <c r="J757" s="135">
        <f t="shared" si="8"/>
        <v>186343050.1</v>
      </c>
      <c r="K757" s="136">
        <f>IF(J757&gt;0,MIN(99,$B$12*Q757/(J757*12*(1-Inputs!$H$16))),99)</f>
        <v>3.381922292</v>
      </c>
      <c r="L757" s="134">
        <f t="shared" si="9"/>
        <v>1.031518238</v>
      </c>
      <c r="M757" s="134">
        <f t="shared" si="10"/>
        <v>1.013306646</v>
      </c>
      <c r="N757" s="134">
        <f t="shared" si="11"/>
        <v>0.9545245677</v>
      </c>
      <c r="O757" s="134">
        <f t="shared" si="12"/>
        <v>0.999212181</v>
      </c>
      <c r="P757" s="134">
        <f t="shared" si="13"/>
        <v>0.9835306413</v>
      </c>
      <c r="Q757" s="134">
        <f t="shared" si="14"/>
        <v>1.158364676</v>
      </c>
    </row>
    <row r="758" ht="15.0" customHeight="1">
      <c r="A758" s="13">
        <v>719.0</v>
      </c>
      <c r="B758" s="134">
        <f t="shared" ref="B758:D758" si="1447">RAND()</f>
        <v>0.2679382188</v>
      </c>
      <c r="C758" s="134">
        <f t="shared" si="1447"/>
        <v>0.9750738439</v>
      </c>
      <c r="D758" s="134">
        <f t="shared" si="1447"/>
        <v>0.3409031142</v>
      </c>
      <c r="F758" s="134">
        <f t="shared" ref="F758:H758" si="1448">RAND()</f>
        <v>0.512807578</v>
      </c>
      <c r="G758" s="134">
        <f t="shared" si="1448"/>
        <v>0.5955686831</v>
      </c>
      <c r="H758" s="134">
        <f t="shared" si="1448"/>
        <v>0.1857962568</v>
      </c>
      <c r="J758" s="135">
        <f t="shared" si="8"/>
        <v>104283564.4</v>
      </c>
      <c r="K758" s="136">
        <f>IF(J758&gt;0,MIN(99,$B$12*Q758/(J758*12*(1-Inputs!$H$16))),99)</f>
        <v>5.137379579</v>
      </c>
      <c r="L758" s="134">
        <f t="shared" si="9"/>
        <v>0.9486175383</v>
      </c>
      <c r="M758" s="134">
        <f t="shared" si="10"/>
        <v>0.9763756394</v>
      </c>
      <c r="N758" s="134">
        <f t="shared" si="11"/>
        <v>0.9950842176</v>
      </c>
      <c r="O758" s="134">
        <f t="shared" si="12"/>
        <v>1.023890859</v>
      </c>
      <c r="P758" s="134">
        <f t="shared" si="13"/>
        <v>1.258030259</v>
      </c>
      <c r="Q758" s="134">
        <f t="shared" si="14"/>
        <v>0.9847500306</v>
      </c>
    </row>
    <row r="759" ht="15.0" customHeight="1">
      <c r="A759" s="13">
        <v>720.0</v>
      </c>
      <c r="B759" s="134">
        <f t="shared" ref="B759:D759" si="1449">RAND()</f>
        <v>0.3533184315</v>
      </c>
      <c r="C759" s="134">
        <f t="shared" si="1449"/>
        <v>0.3631739903</v>
      </c>
      <c r="D759" s="134">
        <f t="shared" si="1449"/>
        <v>0.002042229182</v>
      </c>
      <c r="F759" s="134">
        <f t="shared" ref="F759:H759" si="1450">RAND()</f>
        <v>0.7014142886</v>
      </c>
      <c r="G759" s="134">
        <f t="shared" si="1450"/>
        <v>0.4571582235</v>
      </c>
      <c r="H759" s="134">
        <f t="shared" si="1450"/>
        <v>0.08172873177</v>
      </c>
      <c r="J759" s="135">
        <f t="shared" si="8"/>
        <v>133384316.4</v>
      </c>
      <c r="K759" s="136">
        <f>IF(J759&gt;0,MIN(99,$B$12*Q759/(J759*12*(1-Inputs!$H$16))),99)</f>
        <v>3.843490264</v>
      </c>
      <c r="L759" s="134">
        <f t="shared" si="9"/>
        <v>0.974369816</v>
      </c>
      <c r="M759" s="134">
        <f t="shared" si="10"/>
        <v>0.9878969202</v>
      </c>
      <c r="N759" s="134">
        <f t="shared" si="11"/>
        <v>0.9432790188</v>
      </c>
      <c r="O759" s="134">
        <f t="shared" si="12"/>
        <v>1.04298686</v>
      </c>
      <c r="P759" s="134">
        <f t="shared" si="13"/>
        <v>1.162150253</v>
      </c>
      <c r="Q759" s="134">
        <f t="shared" si="14"/>
        <v>0.9423213567</v>
      </c>
    </row>
    <row r="760" ht="15.0" customHeight="1">
      <c r="A760" s="13">
        <v>721.0</v>
      </c>
      <c r="B760" s="134">
        <f t="shared" ref="B760:D760" si="1451">RAND()</f>
        <v>0.970796361</v>
      </c>
      <c r="C760" s="134">
        <f t="shared" si="1451"/>
        <v>0.5098590371</v>
      </c>
      <c r="D760" s="134">
        <f t="shared" si="1451"/>
        <v>0.1133054583</v>
      </c>
      <c r="F760" s="134">
        <f t="shared" ref="F760:H760" si="1452">RAND()</f>
        <v>0.7200451311</v>
      </c>
      <c r="G760" s="134">
        <f t="shared" si="1452"/>
        <v>0.1773497662</v>
      </c>
      <c r="H760" s="134">
        <f t="shared" si="1452"/>
        <v>0.3796061372</v>
      </c>
      <c r="J760" s="135">
        <f t="shared" si="8"/>
        <v>315564588.8</v>
      </c>
      <c r="K760" s="136">
        <f>IF(J760&gt;0,MIN(99,$B$12*Q760/(J760*12*(1-Inputs!$H$16))),99)</f>
        <v>1.804232999</v>
      </c>
      <c r="L760" s="134">
        <f t="shared" si="9"/>
        <v>1.211632024</v>
      </c>
      <c r="M760" s="134">
        <f t="shared" si="10"/>
        <v>1.092964674</v>
      </c>
      <c r="N760" s="134">
        <f t="shared" si="11"/>
        <v>0.9713049487</v>
      </c>
      <c r="O760" s="134">
        <f t="shared" si="12"/>
        <v>1.045169388</v>
      </c>
      <c r="P760" s="134">
        <f t="shared" si="13"/>
        <v>1.000282306</v>
      </c>
      <c r="Q760" s="134">
        <f t="shared" si="14"/>
        <v>1.046524417</v>
      </c>
    </row>
    <row r="761" ht="15.0" customHeight="1">
      <c r="A761" s="13">
        <v>722.0</v>
      </c>
      <c r="B761" s="134">
        <f t="shared" ref="B761:D761" si="1453">RAND()</f>
        <v>0.7842306297</v>
      </c>
      <c r="C761" s="134">
        <f t="shared" si="1453"/>
        <v>0.9505987353</v>
      </c>
      <c r="D761" s="134">
        <f t="shared" si="1453"/>
        <v>0.4738882325</v>
      </c>
      <c r="F761" s="134">
        <f t="shared" ref="F761:H761" si="1454">RAND()</f>
        <v>0.8873319825</v>
      </c>
      <c r="G761" s="134">
        <f t="shared" si="1454"/>
        <v>0.103082923</v>
      </c>
      <c r="H761" s="134">
        <f t="shared" si="1454"/>
        <v>0.1887918137</v>
      </c>
      <c r="J761" s="135">
        <f t="shared" si="8"/>
        <v>217459431.7</v>
      </c>
      <c r="K761" s="136">
        <f>IF(J761&gt;0,MIN(99,$B$12*Q761/(J761*12*(1-Inputs!$H$16))),99)</f>
        <v>2.466182303</v>
      </c>
      <c r="L761" s="134">
        <f t="shared" si="9"/>
        <v>1.10275515</v>
      </c>
      <c r="M761" s="134">
        <f t="shared" si="10"/>
        <v>1.04481224</v>
      </c>
      <c r="N761" s="134">
        <f t="shared" si="11"/>
        <v>1.005521281</v>
      </c>
      <c r="O761" s="134">
        <f t="shared" si="12"/>
        <v>1.069542723</v>
      </c>
      <c r="P761" s="134">
        <f t="shared" si="13"/>
        <v>0.9561833556</v>
      </c>
      <c r="Q761" s="134">
        <f t="shared" si="14"/>
        <v>0.985761624</v>
      </c>
    </row>
    <row r="762" ht="15.0" customHeight="1">
      <c r="A762" s="13">
        <v>723.0</v>
      </c>
      <c r="B762" s="134">
        <f t="shared" ref="B762:D762" si="1455">RAND()</f>
        <v>0.6613412469</v>
      </c>
      <c r="C762" s="134">
        <f t="shared" si="1455"/>
        <v>0.2293710257</v>
      </c>
      <c r="D762" s="134">
        <f t="shared" si="1455"/>
        <v>0.3793689628</v>
      </c>
      <c r="F762" s="134">
        <f t="shared" ref="F762:H762" si="1456">RAND()</f>
        <v>0.5593541507</v>
      </c>
      <c r="G762" s="134">
        <f t="shared" si="1456"/>
        <v>0.3828262735</v>
      </c>
      <c r="H762" s="134">
        <f t="shared" si="1456"/>
        <v>0.2090011365</v>
      </c>
      <c r="J762" s="135">
        <f t="shared" si="8"/>
        <v>187183475.4</v>
      </c>
      <c r="K762" s="136">
        <f>IF(J762&gt;0,MIN(99,$B$12*Q762/(J762*12*(1-Inputs!$H$16))),99)</f>
        <v>2.884328873</v>
      </c>
      <c r="L762" s="134">
        <f t="shared" si="9"/>
        <v>1.05920941</v>
      </c>
      <c r="M762" s="134">
        <f t="shared" si="10"/>
        <v>1.025553483</v>
      </c>
      <c r="N762" s="134">
        <f t="shared" si="11"/>
        <v>0.9981674842</v>
      </c>
      <c r="O762" s="134">
        <f t="shared" si="12"/>
        <v>1.028197376</v>
      </c>
      <c r="P762" s="134">
        <f t="shared" si="13"/>
        <v>1.115720621</v>
      </c>
      <c r="Q762" s="134">
        <f t="shared" si="14"/>
        <v>0.9923863113</v>
      </c>
    </row>
    <row r="763" ht="15.0" customHeight="1">
      <c r="A763" s="13">
        <v>724.0</v>
      </c>
      <c r="B763" s="134">
        <f t="shared" ref="B763:D763" si="1457">RAND()</f>
        <v>0.0872568875</v>
      </c>
      <c r="C763" s="134">
        <f t="shared" si="1457"/>
        <v>0.2112639696</v>
      </c>
      <c r="D763" s="134">
        <f t="shared" si="1457"/>
        <v>0.296272115</v>
      </c>
      <c r="F763" s="134">
        <f t="shared" ref="F763:H763" si="1458">RAND()</f>
        <v>0.2071404784</v>
      </c>
      <c r="G763" s="134">
        <f t="shared" si="1458"/>
        <v>0.9083534556</v>
      </c>
      <c r="H763" s="134">
        <f t="shared" si="1458"/>
        <v>0.7915782624</v>
      </c>
      <c r="J763" s="135">
        <f t="shared" si="8"/>
        <v>47688193.87</v>
      </c>
      <c r="K763" s="136">
        <f>IF(J763&gt;0,MIN(99,$B$12*Q763/(J763*12*(1-Inputs!$H$16))),99)</f>
        <v>13.93955438</v>
      </c>
      <c r="L763" s="134">
        <f t="shared" si="9"/>
        <v>0.8740777465</v>
      </c>
      <c r="M763" s="134">
        <f t="shared" si="10"/>
        <v>0.9430273709</v>
      </c>
      <c r="N763" s="134">
        <f t="shared" si="11"/>
        <v>0.9912796696</v>
      </c>
      <c r="O763" s="134">
        <f t="shared" si="12"/>
        <v>0.9996423636</v>
      </c>
      <c r="P763" s="134">
        <f t="shared" si="13"/>
        <v>1.574892838</v>
      </c>
      <c r="Q763" s="134">
        <f t="shared" si="14"/>
        <v>1.221879127</v>
      </c>
    </row>
    <row r="764" ht="15.0" customHeight="1">
      <c r="A764" s="13">
        <v>725.0</v>
      </c>
      <c r="B764" s="134">
        <f t="shared" ref="B764:D764" si="1459">RAND()</f>
        <v>0.2022597308</v>
      </c>
      <c r="C764" s="134">
        <f t="shared" si="1459"/>
        <v>0.1124183707</v>
      </c>
      <c r="D764" s="134">
        <f t="shared" si="1459"/>
        <v>0.27997715</v>
      </c>
      <c r="F764" s="134">
        <f t="shared" ref="F764:H764" si="1460">RAND()</f>
        <v>0.179112352</v>
      </c>
      <c r="G764" s="134">
        <f t="shared" si="1460"/>
        <v>0.6290275197</v>
      </c>
      <c r="H764" s="134">
        <f t="shared" si="1460"/>
        <v>0.7348609042</v>
      </c>
      <c r="J764" s="135">
        <f t="shared" si="8"/>
        <v>93335677.6</v>
      </c>
      <c r="K764" s="136">
        <f>IF(J764&gt;0,MIN(99,$B$12*Q764/(J764*12*(1-Inputs!$H$16))),99)</f>
        <v>6.941941323</v>
      </c>
      <c r="L764" s="134">
        <f t="shared" si="9"/>
        <v>0.9258450189</v>
      </c>
      <c r="M764" s="134">
        <f t="shared" si="10"/>
        <v>0.9661874691</v>
      </c>
      <c r="N764" s="134">
        <f t="shared" si="11"/>
        <v>0.9898197776</v>
      </c>
      <c r="O764" s="134">
        <f t="shared" si="12"/>
        <v>0.9975560402</v>
      </c>
      <c r="P764" s="134">
        <f t="shared" si="13"/>
        <v>1.283585288</v>
      </c>
      <c r="Q764" s="134">
        <f t="shared" si="14"/>
        <v>1.190959805</v>
      </c>
    </row>
    <row r="765" ht="15.0" customHeight="1">
      <c r="A765" s="13">
        <v>726.0</v>
      </c>
      <c r="B765" s="134">
        <f t="shared" ref="B765:D765" si="1461">RAND()</f>
        <v>0.5575035508</v>
      </c>
      <c r="C765" s="134">
        <f t="shared" si="1461"/>
        <v>0.6932683357</v>
      </c>
      <c r="D765" s="134">
        <f t="shared" si="1461"/>
        <v>0.07923148802</v>
      </c>
      <c r="F765" s="134">
        <f t="shared" ref="F765:H765" si="1462">RAND()</f>
        <v>0.7190076207</v>
      </c>
      <c r="G765" s="134">
        <f t="shared" si="1462"/>
        <v>0.7075112506</v>
      </c>
      <c r="H765" s="134">
        <f t="shared" si="1462"/>
        <v>0.7493865902</v>
      </c>
      <c r="J765" s="135">
        <f t="shared" si="8"/>
        <v>160025083.4</v>
      </c>
      <c r="K765" s="136">
        <f>IF(J765&gt;0,MIN(99,$B$12*Q765/(J765*12*(1-Inputs!$H$16))),99)</f>
        <v>4.074685346</v>
      </c>
      <c r="L765" s="134">
        <f t="shared" si="9"/>
        <v>1.028335731</v>
      </c>
      <c r="M765" s="134">
        <f t="shared" si="10"/>
        <v>1.011899134</v>
      </c>
      <c r="N765" s="134">
        <f t="shared" si="11"/>
        <v>0.9660032465</v>
      </c>
      <c r="O765" s="134">
        <f t="shared" si="12"/>
        <v>1.045045972</v>
      </c>
      <c r="P765" s="134">
        <f t="shared" si="13"/>
        <v>1.348488158</v>
      </c>
      <c r="Q765" s="134">
        <f t="shared" si="14"/>
        <v>1.198534724</v>
      </c>
    </row>
    <row r="766" ht="15.0" customHeight="1">
      <c r="A766" s="13">
        <v>727.0</v>
      </c>
      <c r="B766" s="134">
        <f t="shared" ref="B766:D766" si="1463">RAND()</f>
        <v>0.3729103347</v>
      </c>
      <c r="C766" s="134">
        <f t="shared" si="1463"/>
        <v>0.7131261202</v>
      </c>
      <c r="D766" s="134">
        <f t="shared" si="1463"/>
        <v>0.08052549105</v>
      </c>
      <c r="F766" s="134">
        <f t="shared" ref="F766:H766" si="1464">RAND()</f>
        <v>0.8497714253</v>
      </c>
      <c r="G766" s="134">
        <f t="shared" si="1464"/>
        <v>0.05352735757</v>
      </c>
      <c r="H766" s="134">
        <f t="shared" si="1464"/>
        <v>0.9977573826</v>
      </c>
      <c r="J766" s="135">
        <f t="shared" si="8"/>
        <v>138359450.4</v>
      </c>
      <c r="K766" s="136">
        <f>IF(J766&gt;0,MIN(99,$B$12*Q766/(J766*12*(1-Inputs!$H$16))),99)</f>
        <v>5.656583624</v>
      </c>
      <c r="L766" s="134">
        <f t="shared" si="9"/>
        <v>0.9798228812</v>
      </c>
      <c r="M766" s="134">
        <f t="shared" si="10"/>
        <v>0.9903365606</v>
      </c>
      <c r="N766" s="134">
        <f t="shared" si="11"/>
        <v>0.9662234063</v>
      </c>
      <c r="O766" s="134">
        <f t="shared" si="12"/>
        <v>1.062999464</v>
      </c>
      <c r="P766" s="134">
        <f t="shared" si="13"/>
        <v>0.9166496554</v>
      </c>
      <c r="Q766" s="134">
        <f t="shared" si="14"/>
        <v>1.43857173</v>
      </c>
    </row>
    <row r="767" ht="15.0" customHeight="1">
      <c r="A767" s="13">
        <v>728.0</v>
      </c>
      <c r="B767" s="134">
        <f t="shared" ref="B767:D767" si="1465">RAND()</f>
        <v>0.66845109</v>
      </c>
      <c r="C767" s="134">
        <f t="shared" si="1465"/>
        <v>0.1535426919</v>
      </c>
      <c r="D767" s="134">
        <f t="shared" si="1465"/>
        <v>0.490114328</v>
      </c>
      <c r="F767" s="134">
        <f t="shared" ref="F767:H767" si="1466">RAND()</f>
        <v>0.7833554538</v>
      </c>
      <c r="G767" s="134">
        <f t="shared" si="1466"/>
        <v>0.8034957106</v>
      </c>
      <c r="H767" s="134">
        <f t="shared" si="1466"/>
        <v>0.7607806692</v>
      </c>
      <c r="J767" s="135">
        <f t="shared" si="8"/>
        <v>170428533.5</v>
      </c>
      <c r="K767" s="136">
        <f>IF(J767&gt;0,MIN(99,$B$12*Q767/(J767*12*(1-Inputs!$H$16))),99)</f>
        <v>3.84541702</v>
      </c>
      <c r="L767" s="134">
        <f t="shared" si="9"/>
        <v>1.061486593</v>
      </c>
      <c r="M767" s="134">
        <f t="shared" si="10"/>
        <v>1.026560601</v>
      </c>
      <c r="N767" s="134">
        <f t="shared" si="11"/>
        <v>1.006840226</v>
      </c>
      <c r="O767" s="134">
        <f t="shared" si="12"/>
        <v>1.053189806</v>
      </c>
      <c r="P767" s="134">
        <f t="shared" si="13"/>
        <v>1.44123529</v>
      </c>
      <c r="Q767" s="134">
        <f t="shared" si="14"/>
        <v>1.204631548</v>
      </c>
    </row>
    <row r="768" ht="15.0" customHeight="1">
      <c r="A768" s="13">
        <v>729.0</v>
      </c>
      <c r="B768" s="134">
        <f t="shared" ref="B768:D768" si="1467">RAND()</f>
        <v>0.3407454901</v>
      </c>
      <c r="C768" s="134">
        <f t="shared" si="1467"/>
        <v>0.07418787778</v>
      </c>
      <c r="D768" s="134">
        <f t="shared" si="1467"/>
        <v>0.1590337113</v>
      </c>
      <c r="F768" s="134">
        <f t="shared" ref="F768:H768" si="1468">RAND()</f>
        <v>0.6591267626</v>
      </c>
      <c r="G768" s="134">
        <f t="shared" si="1468"/>
        <v>0.814061348</v>
      </c>
      <c r="H768" s="134">
        <f t="shared" si="1468"/>
        <v>0.3496271094</v>
      </c>
      <c r="J768" s="135">
        <f t="shared" si="8"/>
        <v>113553523.4</v>
      </c>
      <c r="K768" s="136">
        <f>IF(J768&gt;0,MIN(99,$B$12*Q768/(J768*12*(1-Inputs!$H$16))),99)</f>
        <v>4.966237062</v>
      </c>
      <c r="L768" s="134">
        <f t="shared" si="9"/>
        <v>0.9707903665</v>
      </c>
      <c r="M768" s="134">
        <f t="shared" si="10"/>
        <v>0.9862955146</v>
      </c>
      <c r="N768" s="134">
        <f t="shared" si="11"/>
        <v>0.9772850093</v>
      </c>
      <c r="O768" s="134">
        <f t="shared" si="12"/>
        <v>1.038272947</v>
      </c>
      <c r="P768" s="134">
        <f t="shared" si="13"/>
        <v>1.452724289</v>
      </c>
      <c r="Q768" s="134">
        <f t="shared" si="14"/>
        <v>1.036565004</v>
      </c>
    </row>
    <row r="769" ht="15.0" customHeight="1">
      <c r="A769" s="13">
        <v>730.0</v>
      </c>
      <c r="B769" s="134">
        <f t="shared" ref="B769:D769" si="1469">RAND()</f>
        <v>0.7932052183</v>
      </c>
      <c r="C769" s="134">
        <f t="shared" si="1469"/>
        <v>0.630996337</v>
      </c>
      <c r="D769" s="134">
        <f t="shared" si="1469"/>
        <v>0.703404427</v>
      </c>
      <c r="F769" s="134">
        <f t="shared" ref="F769:H769" si="1470">RAND()</f>
        <v>0.9622445577</v>
      </c>
      <c r="G769" s="134">
        <f t="shared" si="1470"/>
        <v>0.3281880497</v>
      </c>
      <c r="H769" s="134">
        <f t="shared" si="1470"/>
        <v>0.02623926297</v>
      </c>
      <c r="J769" s="135">
        <f t="shared" si="8"/>
        <v>207426105.7</v>
      </c>
      <c r="K769" s="136">
        <f>IF(J769&gt;0,MIN(99,$B$12*Q769/(J769*12*(1-Inputs!$H$16))),99)</f>
        <v>2.376554149</v>
      </c>
      <c r="L769" s="134">
        <f t="shared" si="9"/>
        <v>1.106375321</v>
      </c>
      <c r="M769" s="134">
        <f t="shared" si="10"/>
        <v>1.046413315</v>
      </c>
      <c r="N769" s="134">
        <f t="shared" si="11"/>
        <v>1.026667049</v>
      </c>
      <c r="O769" s="134">
        <f t="shared" si="12"/>
        <v>1.087352472</v>
      </c>
      <c r="P769" s="134">
        <f t="shared" si="13"/>
        <v>1.083353916</v>
      </c>
      <c r="Q769" s="134">
        <f t="shared" si="14"/>
        <v>0.9061072577</v>
      </c>
    </row>
    <row r="770" ht="15.0" customHeight="1">
      <c r="A770" s="13">
        <v>731.0</v>
      </c>
      <c r="B770" s="134">
        <f t="shared" ref="B770:D770" si="1471">RAND()</f>
        <v>0.7853534917</v>
      </c>
      <c r="C770" s="134">
        <f t="shared" si="1471"/>
        <v>0.5264920784</v>
      </c>
      <c r="D770" s="134">
        <f t="shared" si="1471"/>
        <v>0.530950755</v>
      </c>
      <c r="F770" s="134">
        <f t="shared" ref="F770:H770" si="1472">RAND()</f>
        <v>0.9869451516</v>
      </c>
      <c r="G770" s="134">
        <f t="shared" si="1472"/>
        <v>0.4282948053</v>
      </c>
      <c r="H770" s="134">
        <f t="shared" si="1472"/>
        <v>0.780295933</v>
      </c>
      <c r="J770" s="135">
        <f t="shared" si="8"/>
        <v>204937648.4</v>
      </c>
      <c r="K770" s="136">
        <f>IF(J770&gt;0,MIN(99,$B$12*Q770/(J770*12*(1-Inputs!$H$16))),99)</f>
        <v>3.226537389</v>
      </c>
      <c r="L770" s="134">
        <f t="shared" si="9"/>
        <v>1.103203915</v>
      </c>
      <c r="M770" s="134">
        <f t="shared" si="10"/>
        <v>1.045010713</v>
      </c>
      <c r="N770" s="134">
        <f t="shared" si="11"/>
        <v>1.010255647</v>
      </c>
      <c r="O770" s="134">
        <f t="shared" si="12"/>
        <v>1.097438333</v>
      </c>
      <c r="P770" s="134">
        <f t="shared" si="13"/>
        <v>1.143765265</v>
      </c>
      <c r="Q770" s="134">
        <f t="shared" si="14"/>
        <v>1.215421548</v>
      </c>
    </row>
    <row r="771" ht="15.0" customHeight="1">
      <c r="A771" s="13">
        <v>732.0</v>
      </c>
      <c r="B771" s="134">
        <f t="shared" ref="B771:D771" si="1473">RAND()</f>
        <v>0.7507721817</v>
      </c>
      <c r="C771" s="134">
        <f t="shared" si="1473"/>
        <v>0.2995186562</v>
      </c>
      <c r="D771" s="134">
        <f t="shared" si="1473"/>
        <v>0.7308023872</v>
      </c>
      <c r="F771" s="134">
        <f t="shared" ref="F771:H771" si="1474">RAND()</f>
        <v>0.5020142335</v>
      </c>
      <c r="G771" s="134">
        <f t="shared" si="1474"/>
        <v>0.1988423801</v>
      </c>
      <c r="H771" s="134">
        <f t="shared" si="1474"/>
        <v>0.7859868963</v>
      </c>
      <c r="J771" s="135">
        <f t="shared" si="8"/>
        <v>207663628.5</v>
      </c>
      <c r="K771" s="136">
        <f>IF(J771&gt;0,MIN(99,$B$12*Q771/(J771*12*(1-Inputs!$H$16))),99)</f>
        <v>3.192660722</v>
      </c>
      <c r="L771" s="134">
        <f t="shared" si="9"/>
        <v>1.089881592</v>
      </c>
      <c r="M771" s="134">
        <f t="shared" si="10"/>
        <v>1.039118716</v>
      </c>
      <c r="N771" s="134">
        <f t="shared" si="11"/>
        <v>1.029681412</v>
      </c>
      <c r="O771" s="134">
        <f t="shared" si="12"/>
        <v>1.022922039</v>
      </c>
      <c r="P771" s="134">
        <f t="shared" si="13"/>
        <v>1.011623527</v>
      </c>
      <c r="Q771" s="134">
        <f t="shared" si="14"/>
        <v>1.218657565</v>
      </c>
    </row>
    <row r="772" ht="15.0" customHeight="1">
      <c r="A772" s="13">
        <v>733.0</v>
      </c>
      <c r="B772" s="134">
        <f t="shared" ref="B772:D772" si="1475">RAND()</f>
        <v>0.05654419763</v>
      </c>
      <c r="C772" s="134">
        <f t="shared" si="1475"/>
        <v>0.1477353793</v>
      </c>
      <c r="D772" s="134">
        <f t="shared" si="1475"/>
        <v>0.5988701661</v>
      </c>
      <c r="F772" s="134">
        <f t="shared" ref="F772:H772" si="1476">RAND()</f>
        <v>0.6996857914</v>
      </c>
      <c r="G772" s="134">
        <f t="shared" si="1476"/>
        <v>0.4964084965</v>
      </c>
      <c r="H772" s="134">
        <f t="shared" si="1476"/>
        <v>0.9453686082</v>
      </c>
      <c r="J772" s="135">
        <f t="shared" si="8"/>
        <v>38206856.5</v>
      </c>
      <c r="K772" s="136">
        <f>IF(J772&gt;0,MIN(99,$B$12*Q772/(J772*12*(1-Inputs!$H$16))),99)</f>
        <v>19.07887283</v>
      </c>
      <c r="L772" s="134">
        <f t="shared" si="9"/>
        <v>0.8547572707</v>
      </c>
      <c r="M772" s="134">
        <f t="shared" si="10"/>
        <v>0.9343836063</v>
      </c>
      <c r="N772" s="134">
        <f t="shared" si="11"/>
        <v>1.016284017</v>
      </c>
      <c r="O772" s="134">
        <f t="shared" si="12"/>
        <v>1.042787871</v>
      </c>
      <c r="P772" s="134">
        <f t="shared" si="13"/>
        <v>1.187954529</v>
      </c>
      <c r="Q772" s="134">
        <f t="shared" si="14"/>
        <v>1.339869502</v>
      </c>
    </row>
    <row r="773" ht="15.0" customHeight="1">
      <c r="A773" s="13">
        <v>734.0</v>
      </c>
      <c r="B773" s="134">
        <f t="shared" ref="B773:D773" si="1477">RAND()</f>
        <v>0.1728215126</v>
      </c>
      <c r="C773" s="134">
        <f t="shared" si="1477"/>
        <v>0.616517104</v>
      </c>
      <c r="D773" s="134">
        <f t="shared" si="1477"/>
        <v>0.2309371341</v>
      </c>
      <c r="F773" s="134">
        <f t="shared" ref="F773:H773" si="1478">RAND()</f>
        <v>0.9582240003</v>
      </c>
      <c r="G773" s="134">
        <f t="shared" si="1478"/>
        <v>0.3775973335</v>
      </c>
      <c r="H773" s="134">
        <f t="shared" si="1478"/>
        <v>0.0893233012</v>
      </c>
      <c r="J773" s="135">
        <f t="shared" si="8"/>
        <v>78309578.53</v>
      </c>
      <c r="K773" s="136">
        <f>IF(J773&gt;0,MIN(99,$B$12*Q773/(J773*12*(1-Inputs!$H$16))),99)</f>
        <v>6.572971203</v>
      </c>
      <c r="L773" s="134">
        <f t="shared" si="9"/>
        <v>0.9144360791</v>
      </c>
      <c r="M773" s="134">
        <f t="shared" si="10"/>
        <v>0.9610832372</v>
      </c>
      <c r="N773" s="134">
        <f t="shared" si="11"/>
        <v>0.9851488028</v>
      </c>
      <c r="O773" s="134">
        <f t="shared" si="12"/>
        <v>1.086081916</v>
      </c>
      <c r="P773" s="134">
        <f t="shared" si="13"/>
        <v>1.112562664</v>
      </c>
      <c r="Q773" s="134">
        <f t="shared" si="14"/>
        <v>0.9461175476</v>
      </c>
    </row>
    <row r="774" ht="15.0" customHeight="1">
      <c r="A774" s="13">
        <v>735.0</v>
      </c>
      <c r="B774" s="134">
        <f t="shared" ref="B774:D774" si="1479">RAND()</f>
        <v>0.7744567834</v>
      </c>
      <c r="C774" s="134">
        <f t="shared" si="1479"/>
        <v>0.6686936525</v>
      </c>
      <c r="D774" s="134">
        <f t="shared" si="1479"/>
        <v>0.9615560811</v>
      </c>
      <c r="F774" s="134">
        <f t="shared" ref="F774:H774" si="1480">RAND()</f>
        <v>0.4229848046</v>
      </c>
      <c r="G774" s="134">
        <f t="shared" si="1480"/>
        <v>0.9774811611</v>
      </c>
      <c r="H774" s="134">
        <f t="shared" si="1480"/>
        <v>0.9823101274</v>
      </c>
      <c r="J774" s="135">
        <f t="shared" si="8"/>
        <v>179924506.1</v>
      </c>
      <c r="K774" s="136">
        <f>IF(J774&gt;0,MIN(99,$B$12*Q774/(J774*12*(1-Inputs!$H$16))),99)</f>
        <v>4.212687073</v>
      </c>
      <c r="L774" s="134">
        <f t="shared" si="9"/>
        <v>1.098897211</v>
      </c>
      <c r="M774" s="134">
        <f t="shared" si="10"/>
        <v>1.043106009</v>
      </c>
      <c r="N774" s="134">
        <f t="shared" si="11"/>
        <v>1.067446356</v>
      </c>
      <c r="O774" s="134">
        <f t="shared" si="12"/>
        <v>1.01612662</v>
      </c>
      <c r="P774" s="134">
        <f t="shared" si="13"/>
        <v>1.720068652</v>
      </c>
      <c r="Q774" s="134">
        <f t="shared" si="14"/>
        <v>1.393214547</v>
      </c>
    </row>
    <row r="775" ht="15.0" customHeight="1">
      <c r="A775" s="13">
        <v>736.0</v>
      </c>
      <c r="B775" s="134">
        <f t="shared" ref="B775:D775" si="1481">RAND()</f>
        <v>0.4530952833</v>
      </c>
      <c r="C775" s="134">
        <f t="shared" si="1481"/>
        <v>0.07207379938</v>
      </c>
      <c r="D775" s="134">
        <f t="shared" si="1481"/>
        <v>0.9758151116</v>
      </c>
      <c r="F775" s="134">
        <f t="shared" ref="F775:H775" si="1482">RAND()</f>
        <v>0.6536305333</v>
      </c>
      <c r="G775" s="134">
        <f t="shared" si="1482"/>
        <v>0.5925293762</v>
      </c>
      <c r="H775" s="134">
        <f t="shared" si="1482"/>
        <v>0.6882420096</v>
      </c>
      <c r="J775" s="135">
        <f t="shared" si="8"/>
        <v>121915215.5</v>
      </c>
      <c r="K775" s="136">
        <f>IF(J775&gt;0,MIN(99,$B$12*Q775/(J775*12*(1-Inputs!$H$16))),99)</f>
        <v>5.211951167</v>
      </c>
      <c r="L775" s="134">
        <f t="shared" si="9"/>
        <v>1.000774913</v>
      </c>
      <c r="M775" s="134">
        <f t="shared" si="10"/>
        <v>0.9997091832</v>
      </c>
      <c r="N775" s="134">
        <f t="shared" si="11"/>
        <v>1.07219153</v>
      </c>
      <c r="O775" s="134">
        <f t="shared" si="12"/>
        <v>1.037682268</v>
      </c>
      <c r="P775" s="134">
        <f t="shared" si="13"/>
        <v>1.255762213</v>
      </c>
      <c r="Q775" s="134">
        <f t="shared" si="14"/>
        <v>1.167956667</v>
      </c>
    </row>
    <row r="776" ht="15.0" customHeight="1">
      <c r="A776" s="13">
        <v>737.0</v>
      </c>
      <c r="B776" s="134">
        <f t="shared" ref="B776:D776" si="1483">RAND()</f>
        <v>0.5269862502</v>
      </c>
      <c r="C776" s="134">
        <f t="shared" si="1483"/>
        <v>0.3721716667</v>
      </c>
      <c r="D776" s="134">
        <f t="shared" si="1483"/>
        <v>0.772690033</v>
      </c>
      <c r="F776" s="134">
        <f t="shared" ref="F776:H776" si="1484">RAND()</f>
        <v>0.1958657635</v>
      </c>
      <c r="G776" s="134">
        <f t="shared" si="1484"/>
        <v>0.8178481258</v>
      </c>
      <c r="H776" s="134">
        <f t="shared" si="1484"/>
        <v>0.9002792618</v>
      </c>
      <c r="J776" s="135">
        <f t="shared" si="8"/>
        <v>142480611.8</v>
      </c>
      <c r="K776" s="136">
        <f>IF(J776&gt;0,MIN(99,$B$12*Q776/(J776*12*(1-Inputs!$H$16))),99)</f>
        <v>4.950170191</v>
      </c>
      <c r="L776" s="134">
        <f t="shared" si="9"/>
        <v>1.019971785</v>
      </c>
      <c r="M776" s="134">
        <f t="shared" si="10"/>
        <v>1.008200053</v>
      </c>
      <c r="N776" s="134">
        <f t="shared" si="11"/>
        <v>1.034603953</v>
      </c>
      <c r="O776" s="134">
        <f t="shared" si="12"/>
        <v>0.998821201</v>
      </c>
      <c r="P776" s="134">
        <f t="shared" si="13"/>
        <v>1.45692117</v>
      </c>
      <c r="Q776" s="134">
        <f t="shared" si="14"/>
        <v>1.296416003</v>
      </c>
    </row>
    <row r="777" ht="15.0" customHeight="1">
      <c r="A777" s="13">
        <v>738.0</v>
      </c>
      <c r="B777" s="134">
        <f t="shared" ref="B777:D777" si="1485">RAND()</f>
        <v>0.1448075936</v>
      </c>
      <c r="C777" s="134">
        <f t="shared" si="1485"/>
        <v>0.5204735552</v>
      </c>
      <c r="D777" s="134">
        <f t="shared" si="1485"/>
        <v>0.4168958181</v>
      </c>
      <c r="F777" s="134">
        <f t="shared" ref="F777:H777" si="1486">RAND()</f>
        <v>0.5304498781</v>
      </c>
      <c r="G777" s="134">
        <f t="shared" si="1486"/>
        <v>0.1695873794</v>
      </c>
      <c r="H777" s="134">
        <f t="shared" si="1486"/>
        <v>0.07499327072</v>
      </c>
      <c r="J777" s="135">
        <f t="shared" si="8"/>
        <v>81905717.93</v>
      </c>
      <c r="K777" s="136">
        <f>IF(J777&gt;0,MIN(99,$B$12*Q777/(J777*12*(1-Inputs!$H$16))),99)</f>
        <v>6.235801369</v>
      </c>
      <c r="L777" s="134">
        <f t="shared" si="9"/>
        <v>0.9026356309</v>
      </c>
      <c r="M777" s="134">
        <f t="shared" si="10"/>
        <v>0.9558038487</v>
      </c>
      <c r="N777" s="134">
        <f t="shared" si="11"/>
        <v>1.001042794</v>
      </c>
      <c r="O777" s="134">
        <f t="shared" si="12"/>
        <v>1.025497852</v>
      </c>
      <c r="P777" s="134">
        <f t="shared" si="13"/>
        <v>0.9961749909</v>
      </c>
      <c r="Q777" s="134">
        <f t="shared" si="14"/>
        <v>0.9388040957</v>
      </c>
    </row>
    <row r="778" ht="15.0" customHeight="1">
      <c r="A778" s="13">
        <v>739.0</v>
      </c>
      <c r="B778" s="134">
        <f t="shared" ref="B778:D778" si="1487">RAND()</f>
        <v>0.3045091277</v>
      </c>
      <c r="C778" s="134">
        <f t="shared" si="1487"/>
        <v>0.8554009056</v>
      </c>
      <c r="D778" s="134">
        <f t="shared" si="1487"/>
        <v>0.4471865379</v>
      </c>
      <c r="F778" s="134">
        <f t="shared" ref="F778:H778" si="1488">RAND()</f>
        <v>0.7403919776</v>
      </c>
      <c r="G778" s="134">
        <f t="shared" si="1488"/>
        <v>0.922308134</v>
      </c>
      <c r="H778" s="134">
        <f t="shared" si="1488"/>
        <v>0.4255318954</v>
      </c>
      <c r="J778" s="135">
        <f t="shared" si="8"/>
        <v>93654479.73</v>
      </c>
      <c r="K778" s="136">
        <f>IF(J778&gt;0,MIN(99,$B$12*Q778/(J778*12*(1-Inputs!$H$16))),99)</f>
        <v>6.170693788</v>
      </c>
      <c r="L778" s="134">
        <f t="shared" si="9"/>
        <v>0.9600872142</v>
      </c>
      <c r="M778" s="134">
        <f t="shared" si="10"/>
        <v>0.981507044</v>
      </c>
      <c r="N778" s="134">
        <f t="shared" si="11"/>
        <v>1.003394341</v>
      </c>
      <c r="O778" s="134">
        <f t="shared" si="12"/>
        <v>1.047637649</v>
      </c>
      <c r="P778" s="134">
        <f t="shared" si="13"/>
        <v>1.59771412</v>
      </c>
      <c r="Q778" s="134">
        <f t="shared" si="14"/>
        <v>1.0622605</v>
      </c>
    </row>
    <row r="779" ht="15.0" customHeight="1">
      <c r="A779" s="13">
        <v>740.0</v>
      </c>
      <c r="B779" s="134">
        <f t="shared" ref="B779:D779" si="1489">RAND()</f>
        <v>0.8542120884</v>
      </c>
      <c r="C779" s="134">
        <f t="shared" si="1489"/>
        <v>0.1954581362</v>
      </c>
      <c r="D779" s="134">
        <f t="shared" si="1489"/>
        <v>0.1156767086</v>
      </c>
      <c r="F779" s="134">
        <f t="shared" ref="F779:H779" si="1490">RAND()</f>
        <v>0.7481690434</v>
      </c>
      <c r="G779" s="134">
        <f t="shared" si="1490"/>
        <v>0.1484038017</v>
      </c>
      <c r="H779" s="134">
        <f t="shared" si="1490"/>
        <v>0.2061693384</v>
      </c>
      <c r="J779" s="135">
        <f t="shared" si="8"/>
        <v>251907942.5</v>
      </c>
      <c r="K779" s="136">
        <f>IF(J779&gt;0,MIN(99,$B$12*Q779/(J779*12*(1-Inputs!$H$16))),99)</f>
        <v>2.141276362</v>
      </c>
      <c r="L779" s="134">
        <f t="shared" si="9"/>
        <v>1.133416675</v>
      </c>
      <c r="M779" s="134">
        <f t="shared" si="10"/>
        <v>1.058372761</v>
      </c>
      <c r="N779" s="134">
        <f t="shared" si="11"/>
        <v>0.9716419344</v>
      </c>
      <c r="O779" s="134">
        <f t="shared" si="12"/>
        <v>1.048606527</v>
      </c>
      <c r="P779" s="134">
        <f t="shared" si="13"/>
        <v>0.9844620347</v>
      </c>
      <c r="Q779" s="134">
        <f t="shared" si="14"/>
        <v>0.9914779607</v>
      </c>
    </row>
    <row r="780" ht="15.0" customHeight="1">
      <c r="A780" s="13">
        <v>741.0</v>
      </c>
      <c r="B780" s="134">
        <f t="shared" ref="B780:D780" si="1491">RAND()</f>
        <v>0.5661651746</v>
      </c>
      <c r="C780" s="134">
        <f t="shared" si="1491"/>
        <v>0.2665278356</v>
      </c>
      <c r="D780" s="134">
        <f t="shared" si="1491"/>
        <v>0.6290180301</v>
      </c>
      <c r="F780" s="134">
        <f t="shared" ref="F780:H780" si="1492">RAND()</f>
        <v>0.9634140211</v>
      </c>
      <c r="G780" s="134">
        <f t="shared" si="1492"/>
        <v>0.9994591224</v>
      </c>
      <c r="H780" s="134">
        <f t="shared" si="1492"/>
        <v>0.7727154868</v>
      </c>
      <c r="J780" s="135">
        <f t="shared" si="8"/>
        <v>124305169.3</v>
      </c>
      <c r="K780" s="136">
        <f>IF(J780&gt;0,MIN(99,$B$12*Q780/(J780*12*(1-Inputs!$H$16))),99)</f>
        <v>5.300897665</v>
      </c>
      <c r="L780" s="134">
        <f t="shared" si="9"/>
        <v>1.03076182</v>
      </c>
      <c r="M780" s="134">
        <f t="shared" si="10"/>
        <v>1.012972109</v>
      </c>
      <c r="N780" s="134">
        <f t="shared" si="11"/>
        <v>1.019123101</v>
      </c>
      <c r="O780" s="134">
        <f t="shared" si="12"/>
        <v>1.087734612</v>
      </c>
      <c r="P780" s="134">
        <f t="shared" si="13"/>
        <v>1.840650847</v>
      </c>
      <c r="Q780" s="134">
        <f t="shared" si="14"/>
        <v>1.211175538</v>
      </c>
    </row>
    <row r="781" ht="15.0" customHeight="1">
      <c r="A781" s="13">
        <v>742.0</v>
      </c>
      <c r="B781" s="134">
        <f t="shared" ref="B781:D781" si="1493">RAND()</f>
        <v>0.3247898244</v>
      </c>
      <c r="C781" s="134">
        <f t="shared" si="1493"/>
        <v>0.2693848322</v>
      </c>
      <c r="D781" s="134">
        <f t="shared" si="1493"/>
        <v>0.1906681199</v>
      </c>
      <c r="F781" s="134">
        <f t="shared" ref="F781:H781" si="1494">RAND()</f>
        <v>0.908966099</v>
      </c>
      <c r="G781" s="134">
        <f t="shared" si="1494"/>
        <v>0.04519657107</v>
      </c>
      <c r="H781" s="134">
        <f t="shared" si="1494"/>
        <v>0.8211588215</v>
      </c>
      <c r="J781" s="135">
        <f t="shared" si="8"/>
        <v>124182155.8</v>
      </c>
      <c r="K781" s="136">
        <f>IF(J781&gt;0,MIN(99,$B$12*Q781/(J781*12*(1-Inputs!$H$16))),99)</f>
        <v>5.431080075</v>
      </c>
      <c r="L781" s="134">
        <f t="shared" si="9"/>
        <v>0.9661513935</v>
      </c>
      <c r="M781" s="134">
        <f t="shared" si="10"/>
        <v>0.98422009</v>
      </c>
      <c r="N781" s="134">
        <f t="shared" si="11"/>
        <v>0.9809265523</v>
      </c>
      <c r="O781" s="134">
        <f t="shared" si="12"/>
        <v>1.073819281</v>
      </c>
      <c r="P781" s="134">
        <f t="shared" si="13"/>
        <v>0.9083798399</v>
      </c>
      <c r="Q781" s="134">
        <f t="shared" si="14"/>
        <v>1.239692238</v>
      </c>
    </row>
    <row r="782" ht="15.0" customHeight="1">
      <c r="A782" s="13">
        <v>743.0</v>
      </c>
      <c r="B782" s="134">
        <f t="shared" ref="B782:D782" si="1495">RAND()</f>
        <v>0.1536721463</v>
      </c>
      <c r="C782" s="134">
        <f t="shared" si="1495"/>
        <v>0.890180827</v>
      </c>
      <c r="D782" s="134">
        <f t="shared" si="1495"/>
        <v>0.6820890611</v>
      </c>
      <c r="F782" s="134">
        <f t="shared" ref="F782:H782" si="1496">RAND()</f>
        <v>0.8785420489</v>
      </c>
      <c r="G782" s="134">
        <f t="shared" si="1496"/>
        <v>0.748421304</v>
      </c>
      <c r="H782" s="134">
        <f t="shared" si="1496"/>
        <v>0.2534819153</v>
      </c>
      <c r="J782" s="135">
        <f t="shared" si="8"/>
        <v>58076978.53</v>
      </c>
      <c r="K782" s="136">
        <f>IF(J782&gt;0,MIN(99,$B$12*Q782/(J782*12*(1-Inputs!$H$16))),99)</f>
        <v>9.424578597</v>
      </c>
      <c r="L782" s="134">
        <f t="shared" si="9"/>
        <v>0.9064842822</v>
      </c>
      <c r="M782" s="134">
        <f t="shared" si="10"/>
        <v>0.9575256922</v>
      </c>
      <c r="N782" s="134">
        <f t="shared" si="11"/>
        <v>1.024417094</v>
      </c>
      <c r="O782" s="134">
        <f t="shared" si="12"/>
        <v>1.06792399</v>
      </c>
      <c r="P782" s="134">
        <f t="shared" si="13"/>
        <v>1.385807986</v>
      </c>
      <c r="Q782" s="134">
        <f t="shared" si="14"/>
        <v>1.006084448</v>
      </c>
    </row>
    <row r="783" ht="15.0" customHeight="1">
      <c r="A783" s="13">
        <v>744.0</v>
      </c>
      <c r="B783" s="134">
        <f t="shared" ref="B783:D783" si="1497">RAND()</f>
        <v>0.7906391265</v>
      </c>
      <c r="C783" s="134">
        <f t="shared" si="1497"/>
        <v>0.3014265614</v>
      </c>
      <c r="D783" s="134">
        <f t="shared" si="1497"/>
        <v>0.2840523463</v>
      </c>
      <c r="F783" s="134">
        <f t="shared" ref="F783:H783" si="1498">RAND()</f>
        <v>0.776291551</v>
      </c>
      <c r="G783" s="134">
        <f t="shared" si="1498"/>
        <v>0.007175960057</v>
      </c>
      <c r="H783" s="134">
        <f t="shared" si="1498"/>
        <v>0.8073457218</v>
      </c>
      <c r="J783" s="135">
        <f t="shared" si="8"/>
        <v>229905250.6</v>
      </c>
      <c r="K783" s="136">
        <f>IF(J783&gt;0,MIN(99,$B$12*Q783/(J783*12*(1-Inputs!$H$16))),99)</f>
        <v>2.913484485</v>
      </c>
      <c r="L783" s="134">
        <f t="shared" si="9"/>
        <v>1.105332325</v>
      </c>
      <c r="M783" s="134">
        <f t="shared" si="10"/>
        <v>1.045952035</v>
      </c>
      <c r="N783" s="134">
        <f t="shared" si="11"/>
        <v>0.9901887803</v>
      </c>
      <c r="O783" s="134">
        <f t="shared" si="12"/>
        <v>1.052241396</v>
      </c>
      <c r="P783" s="134">
        <f t="shared" si="13"/>
        <v>0.8520207457</v>
      </c>
      <c r="Q783" s="134">
        <f t="shared" si="14"/>
        <v>1.231204179</v>
      </c>
    </row>
    <row r="784" ht="15.0" customHeight="1">
      <c r="A784" s="13">
        <v>745.0</v>
      </c>
      <c r="B784" s="134">
        <f t="shared" ref="B784:D784" si="1499">RAND()</f>
        <v>0.9712910143</v>
      </c>
      <c r="C784" s="134">
        <f t="shared" si="1499"/>
        <v>0.3719036304</v>
      </c>
      <c r="D784" s="134">
        <f t="shared" si="1499"/>
        <v>0.4832811816</v>
      </c>
      <c r="F784" s="134">
        <f t="shared" ref="F784:H784" si="1500">RAND()</f>
        <v>0.1474630002</v>
      </c>
      <c r="G784" s="134">
        <f t="shared" si="1500"/>
        <v>0.7492299457</v>
      </c>
      <c r="H784" s="134">
        <f t="shared" si="1500"/>
        <v>0.8035268231</v>
      </c>
      <c r="J784" s="135">
        <f t="shared" si="8"/>
        <v>300674042.8</v>
      </c>
      <c r="K784" s="136">
        <f>IF(J784&gt;0,MIN(99,$B$12*Q784/(J784*12*(1-Inputs!$H$16))),99)</f>
        <v>2.223597823</v>
      </c>
      <c r="L784" s="134">
        <f t="shared" si="9"/>
        <v>1.212170982</v>
      </c>
      <c r="M784" s="134">
        <f t="shared" si="10"/>
        <v>1.093203036</v>
      </c>
      <c r="N784" s="134">
        <f t="shared" si="11"/>
        <v>1.00628227</v>
      </c>
      <c r="O784" s="134">
        <f t="shared" si="12"/>
        <v>0.9949926084</v>
      </c>
      <c r="P784" s="134">
        <f t="shared" si="13"/>
        <v>1.386575138</v>
      </c>
      <c r="Q784" s="134">
        <f t="shared" si="14"/>
        <v>1.228911642</v>
      </c>
    </row>
    <row r="785" ht="15.0" customHeight="1">
      <c r="A785" s="13">
        <v>746.0</v>
      </c>
      <c r="B785" s="134">
        <f t="shared" ref="B785:D785" si="1501">RAND()</f>
        <v>0.2146695237</v>
      </c>
      <c r="C785" s="134">
        <f t="shared" si="1501"/>
        <v>0.3585829336</v>
      </c>
      <c r="D785" s="134">
        <f t="shared" si="1501"/>
        <v>0.9071905566</v>
      </c>
      <c r="F785" s="134">
        <f t="shared" ref="F785:H785" si="1502">RAND()</f>
        <v>0.6408953567</v>
      </c>
      <c r="G785" s="134">
        <f t="shared" si="1502"/>
        <v>0.3400864277</v>
      </c>
      <c r="H785" s="134">
        <f t="shared" si="1502"/>
        <v>0.2657573055</v>
      </c>
      <c r="J785" s="135">
        <f t="shared" si="8"/>
        <v>84236525.89</v>
      </c>
      <c r="K785" s="136">
        <f>IF(J785&gt;0,MIN(99,$B$12*Q785/(J785*12*(1-Inputs!$H$16))),99)</f>
        <v>6.522185116</v>
      </c>
      <c r="L785" s="134">
        <f t="shared" si="9"/>
        <v>0.9304037368</v>
      </c>
      <c r="M785" s="134">
        <f t="shared" si="10"/>
        <v>0.9682269885</v>
      </c>
      <c r="N785" s="134">
        <f t="shared" si="11"/>
        <v>1.054742822</v>
      </c>
      <c r="O785" s="134">
        <f t="shared" si="12"/>
        <v>1.036331378</v>
      </c>
      <c r="P785" s="134">
        <f t="shared" si="13"/>
        <v>1.090286787</v>
      </c>
      <c r="Q785" s="134">
        <f t="shared" si="14"/>
        <v>1.009862044</v>
      </c>
    </row>
    <row r="786" ht="15.0" customHeight="1">
      <c r="A786" s="13">
        <v>747.0</v>
      </c>
      <c r="B786" s="134">
        <f t="shared" ref="B786:D786" si="1503">RAND()</f>
        <v>0.5132216498</v>
      </c>
      <c r="C786" s="134">
        <f t="shared" si="1503"/>
        <v>0.8280947763</v>
      </c>
      <c r="D786" s="134">
        <f t="shared" si="1503"/>
        <v>0.6884566036</v>
      </c>
      <c r="F786" s="134">
        <f t="shared" ref="F786:H786" si="1504">RAND()</f>
        <v>0.9068281453</v>
      </c>
      <c r="G786" s="134">
        <f t="shared" si="1504"/>
        <v>0.6023500509</v>
      </c>
      <c r="H786" s="134">
        <f t="shared" si="1504"/>
        <v>0.04902349675</v>
      </c>
      <c r="J786" s="135">
        <f t="shared" si="8"/>
        <v>136817391.8</v>
      </c>
      <c r="K786" s="136">
        <f>IF(J786&gt;0,MIN(99,$B$12*Q786/(J786*12*(1-Inputs!$H$16))),99)</f>
        <v>3.672116494</v>
      </c>
      <c r="L786" s="134">
        <f t="shared" si="9"/>
        <v>1.01628776</v>
      </c>
      <c r="M786" s="134">
        <f t="shared" si="10"/>
        <v>1.006570738</v>
      </c>
      <c r="N786" s="134">
        <f t="shared" si="11"/>
        <v>1.025081103</v>
      </c>
      <c r="O786" s="134">
        <f t="shared" si="12"/>
        <v>1.073375476</v>
      </c>
      <c r="P786" s="134">
        <f t="shared" si="13"/>
        <v>1.263121695</v>
      </c>
      <c r="Q786" s="134">
        <f t="shared" si="14"/>
        <v>0.9234773302</v>
      </c>
    </row>
    <row r="787" ht="15.0" customHeight="1">
      <c r="A787" s="13">
        <v>748.0</v>
      </c>
      <c r="B787" s="134">
        <f t="shared" ref="B787:D787" si="1505">RAND()</f>
        <v>0.5227817057</v>
      </c>
      <c r="C787" s="134">
        <f t="shared" si="1505"/>
        <v>0.6037437253</v>
      </c>
      <c r="D787" s="134">
        <f t="shared" si="1505"/>
        <v>0.8151297603</v>
      </c>
      <c r="F787" s="134">
        <f t="shared" ref="F787:H787" si="1506">RAND()</f>
        <v>0.3257143613</v>
      </c>
      <c r="G787" s="134">
        <f t="shared" si="1506"/>
        <v>0.5394134447</v>
      </c>
      <c r="H787" s="134">
        <f t="shared" si="1506"/>
        <v>0.6571558963</v>
      </c>
      <c r="J787" s="135">
        <f t="shared" si="8"/>
        <v>147926922.8</v>
      </c>
      <c r="K787" s="136">
        <f>IF(J787&gt;0,MIN(99,$B$12*Q787/(J787*12*(1-Inputs!$H$16))),99)</f>
        <v>4.242543126</v>
      </c>
      <c r="L787" s="134">
        <f t="shared" si="9"/>
        <v>1.01884084</v>
      </c>
      <c r="M787" s="134">
        <f t="shared" si="10"/>
        <v>1.007699876</v>
      </c>
      <c r="N787" s="134">
        <f t="shared" si="11"/>
        <v>1.040080233</v>
      </c>
      <c r="O787" s="134">
        <f t="shared" si="12"/>
        <v>1.008373675</v>
      </c>
      <c r="P787" s="134">
        <f t="shared" si="13"/>
        <v>1.217410697</v>
      </c>
      <c r="Q787" s="134">
        <f t="shared" si="14"/>
        <v>1.153564732</v>
      </c>
    </row>
    <row r="788" ht="15.0" customHeight="1">
      <c r="A788" s="13">
        <v>749.0</v>
      </c>
      <c r="B788" s="134">
        <f t="shared" ref="B788:D788" si="1507">RAND()</f>
        <v>0.03712008849</v>
      </c>
      <c r="C788" s="134">
        <f t="shared" si="1507"/>
        <v>0.9942240648</v>
      </c>
      <c r="D788" s="134">
        <f t="shared" si="1507"/>
        <v>0.6276862565</v>
      </c>
      <c r="F788" s="134">
        <f t="shared" ref="F788:H788" si="1508">RAND()</f>
        <v>0.5023847651</v>
      </c>
      <c r="G788" s="134">
        <f t="shared" si="1508"/>
        <v>0.6788091442</v>
      </c>
      <c r="H788" s="134">
        <f t="shared" si="1508"/>
        <v>0.1006842204</v>
      </c>
      <c r="J788" s="135">
        <f t="shared" si="8"/>
        <v>26491785.43</v>
      </c>
      <c r="K788" s="136">
        <f>IF(J788&gt;0,MIN(99,$B$12*Q788/(J788*12*(1-Inputs!$H$16))),99)</f>
        <v>19.54034208</v>
      </c>
      <c r="L788" s="134">
        <f t="shared" si="9"/>
        <v>0.8396220547</v>
      </c>
      <c r="M788" s="134">
        <f t="shared" si="10"/>
        <v>0.92761228</v>
      </c>
      <c r="N788" s="134">
        <f t="shared" si="11"/>
        <v>1.018995301</v>
      </c>
      <c r="O788" s="134">
        <f t="shared" si="12"/>
        <v>1.022955123</v>
      </c>
      <c r="P788" s="134">
        <f t="shared" si="13"/>
        <v>1.323845354</v>
      </c>
      <c r="Q788" s="134">
        <f t="shared" si="14"/>
        <v>0.951506748</v>
      </c>
    </row>
    <row r="789" ht="15.0" customHeight="1">
      <c r="A789" s="13">
        <v>750.0</v>
      </c>
      <c r="B789" s="134">
        <f t="shared" ref="B789:D789" si="1509">RAND()</f>
        <v>0.8456398613</v>
      </c>
      <c r="C789" s="134">
        <f t="shared" si="1509"/>
        <v>0.9861448215</v>
      </c>
      <c r="D789" s="134">
        <f t="shared" si="1509"/>
        <v>0.3576601817</v>
      </c>
      <c r="F789" s="134">
        <f t="shared" ref="F789:H789" si="1510">RAND()</f>
        <v>0.0903570789</v>
      </c>
      <c r="G789" s="134">
        <f t="shared" si="1510"/>
        <v>0.7126551686</v>
      </c>
      <c r="H789" s="134">
        <f t="shared" si="1510"/>
        <v>0.1686148832</v>
      </c>
      <c r="J789" s="135">
        <f t="shared" si="8"/>
        <v>238575928.6</v>
      </c>
      <c r="K789" s="136">
        <f>IF(J789&gt;0,MIN(99,$B$12*Q789/(J789*12*(1-Inputs!$H$16))),99)</f>
        <v>2.231985982</v>
      </c>
      <c r="L789" s="134">
        <f t="shared" si="9"/>
        <v>1.129313628</v>
      </c>
      <c r="M789" s="134">
        <f t="shared" si="10"/>
        <v>1.056558126</v>
      </c>
      <c r="N789" s="134">
        <f t="shared" si="11"/>
        <v>0.9964477185</v>
      </c>
      <c r="O789" s="134">
        <f t="shared" si="12"/>
        <v>0.989538875</v>
      </c>
      <c r="P789" s="134">
        <f t="shared" si="13"/>
        <v>1.35303045</v>
      </c>
      <c r="Q789" s="134">
        <f t="shared" si="14"/>
        <v>0.978783336</v>
      </c>
    </row>
    <row r="790" ht="15.0" customHeight="1">
      <c r="A790" s="13">
        <v>751.0</v>
      </c>
      <c r="B790" s="134">
        <f t="shared" ref="B790:D790" si="1511">RAND()</f>
        <v>0.8149394471</v>
      </c>
      <c r="C790" s="134">
        <f t="shared" si="1511"/>
        <v>0.09236071285</v>
      </c>
      <c r="D790" s="134">
        <f t="shared" si="1511"/>
        <v>0.5506077049</v>
      </c>
      <c r="F790" s="134">
        <f t="shared" ref="F790:H790" si="1512">RAND()</f>
        <v>0.4936680256</v>
      </c>
      <c r="G790" s="134">
        <f t="shared" si="1512"/>
        <v>0.9017134106</v>
      </c>
      <c r="H790" s="134">
        <f t="shared" si="1512"/>
        <v>0.7812022268</v>
      </c>
      <c r="J790" s="135">
        <f t="shared" si="8"/>
        <v>210634077.9</v>
      </c>
      <c r="K790" s="136">
        <f>IF(J790&gt;0,MIN(99,$B$12*Q790/(J790*12*(1-Inputs!$H$16))),99)</f>
        <v>3.140602023</v>
      </c>
      <c r="L790" s="134">
        <f t="shared" si="9"/>
        <v>1.115482521</v>
      </c>
      <c r="M790" s="134">
        <f t="shared" si="10"/>
        <v>1.050441112</v>
      </c>
      <c r="N790" s="134">
        <f t="shared" si="11"/>
        <v>1.011952695</v>
      </c>
      <c r="O790" s="134">
        <f t="shared" si="12"/>
        <v>1.022180054</v>
      </c>
      <c r="P790" s="134">
        <f t="shared" si="13"/>
        <v>1.564646577</v>
      </c>
      <c r="Q790" s="134">
        <f t="shared" si="14"/>
        <v>1.215934059</v>
      </c>
    </row>
    <row r="791" ht="15.0" customHeight="1">
      <c r="A791" s="13">
        <v>752.0</v>
      </c>
      <c r="B791" s="134">
        <f t="shared" ref="B791:D791" si="1513">RAND()</f>
        <v>0.4218278682</v>
      </c>
      <c r="C791" s="134">
        <f t="shared" si="1513"/>
        <v>0.490696553</v>
      </c>
      <c r="D791" s="134">
        <f t="shared" si="1513"/>
        <v>0.5201930557</v>
      </c>
      <c r="F791" s="134">
        <f t="shared" ref="F791:H791" si="1514">RAND()</f>
        <v>0.1718478979</v>
      </c>
      <c r="G791" s="134">
        <f t="shared" si="1514"/>
        <v>0.2318140937</v>
      </c>
      <c r="H791" s="134">
        <f t="shared" si="1514"/>
        <v>0.6338286959</v>
      </c>
      <c r="J791" s="135">
        <f t="shared" si="8"/>
        <v>145176638.8</v>
      </c>
      <c r="K791" s="136">
        <f>IF(J791&gt;0,MIN(99,$B$12*Q791/(J791*12*(1-Inputs!$H$16))),99)</f>
        <v>4.284033669</v>
      </c>
      <c r="L791" s="134">
        <f t="shared" si="9"/>
        <v>0.9928431435</v>
      </c>
      <c r="M791" s="134">
        <f t="shared" si="10"/>
        <v>0.9961616802</v>
      </c>
      <c r="N791" s="134">
        <f t="shared" si="11"/>
        <v>1.009341944</v>
      </c>
      <c r="O791" s="134">
        <f t="shared" si="12"/>
        <v>0.9969891039</v>
      </c>
      <c r="P791" s="134">
        <f t="shared" si="13"/>
        <v>1.02932196</v>
      </c>
      <c r="Q791" s="134">
        <f t="shared" si="14"/>
        <v>1.14318915</v>
      </c>
    </row>
    <row r="792" ht="15.0" customHeight="1">
      <c r="A792" s="13">
        <v>753.0</v>
      </c>
      <c r="B792" s="134">
        <f t="shared" ref="B792:D792" si="1515">RAND()</f>
        <v>0.3158844883</v>
      </c>
      <c r="C792" s="134">
        <f t="shared" si="1515"/>
        <v>0.4379180564</v>
      </c>
      <c r="D792" s="134">
        <f t="shared" si="1515"/>
        <v>0.5875976335</v>
      </c>
      <c r="F792" s="134">
        <f t="shared" ref="F792:H792" si="1516">RAND()</f>
        <v>0.6338810086</v>
      </c>
      <c r="G792" s="134">
        <f t="shared" si="1516"/>
        <v>0.4083827585</v>
      </c>
      <c r="H792" s="134">
        <f t="shared" si="1516"/>
        <v>0.8980821948</v>
      </c>
      <c r="J792" s="135">
        <f t="shared" si="8"/>
        <v>113185041.2</v>
      </c>
      <c r="K792" s="136">
        <f>IF(J792&gt;0,MIN(99,$B$12*Q792/(J792*12*(1-Inputs!$H$16))),99)</f>
        <v>6.222610847</v>
      </c>
      <c r="L792" s="134">
        <f t="shared" si="9"/>
        <v>0.9635126121</v>
      </c>
      <c r="M792" s="134">
        <f t="shared" si="10"/>
        <v>0.9830395287</v>
      </c>
      <c r="N792" s="134">
        <f t="shared" si="11"/>
        <v>1.015250011</v>
      </c>
      <c r="O792" s="134">
        <f t="shared" si="12"/>
        <v>1.03559755</v>
      </c>
      <c r="P792" s="134">
        <f t="shared" si="13"/>
        <v>1.131351311</v>
      </c>
      <c r="Q792" s="134">
        <f t="shared" si="14"/>
        <v>1.294583765</v>
      </c>
    </row>
    <row r="793" ht="15.0" customHeight="1">
      <c r="A793" s="13">
        <v>754.0</v>
      </c>
      <c r="B793" s="134">
        <f t="shared" ref="B793:D793" si="1517">RAND()</f>
        <v>0.6776658077</v>
      </c>
      <c r="C793" s="134">
        <f t="shared" si="1517"/>
        <v>0.4938858559</v>
      </c>
      <c r="D793" s="134">
        <f t="shared" si="1517"/>
        <v>0.7043119308</v>
      </c>
      <c r="F793" s="134">
        <f t="shared" ref="F793:H793" si="1518">RAND()</f>
        <v>0.2958615795</v>
      </c>
      <c r="G793" s="134">
        <f t="shared" si="1518"/>
        <v>0.3294444748</v>
      </c>
      <c r="H793" s="134">
        <f t="shared" si="1518"/>
        <v>0.5068235872</v>
      </c>
      <c r="J793" s="135">
        <f t="shared" si="8"/>
        <v>189435071</v>
      </c>
      <c r="K793" s="136">
        <f>IF(J793&gt;0,MIN(99,$B$12*Q793/(J793*12*(1-Inputs!$H$16))),99)</f>
        <v>3.135390416</v>
      </c>
      <c r="L793" s="134">
        <f t="shared" si="9"/>
        <v>1.064474582</v>
      </c>
      <c r="M793" s="134">
        <f t="shared" si="10"/>
        <v>1.027882084</v>
      </c>
      <c r="N793" s="134">
        <f t="shared" si="11"/>
        <v>1.026764607</v>
      </c>
      <c r="O793" s="134">
        <f t="shared" si="12"/>
        <v>1.006108214</v>
      </c>
      <c r="P793" s="134">
        <f t="shared" si="13"/>
        <v>1.084083087</v>
      </c>
      <c r="Q793" s="134">
        <f t="shared" si="14"/>
        <v>1.091743193</v>
      </c>
    </row>
    <row r="794" ht="15.0" customHeight="1">
      <c r="A794" s="13">
        <v>755.0</v>
      </c>
      <c r="B794" s="134">
        <f t="shared" ref="B794:D794" si="1519">RAND()</f>
        <v>0.03253589315</v>
      </c>
      <c r="C794" s="134">
        <f t="shared" si="1519"/>
        <v>0.9091011891</v>
      </c>
      <c r="D794" s="134">
        <f t="shared" si="1519"/>
        <v>0.7839635577</v>
      </c>
      <c r="F794" s="134">
        <f t="shared" ref="F794:H794" si="1520">RAND()</f>
        <v>0.04967564739</v>
      </c>
      <c r="G794" s="134">
        <f t="shared" si="1520"/>
        <v>0.6316147238</v>
      </c>
      <c r="H794" s="134">
        <f t="shared" si="1520"/>
        <v>0.6729543829</v>
      </c>
      <c r="J794" s="135">
        <f t="shared" si="8"/>
        <v>28768125.34</v>
      </c>
      <c r="K794" s="136">
        <f>IF(J794&gt;0,MIN(99,$B$12*Q794/(J794*12*(1-Inputs!$H$16))),99)</f>
        <v>21.95204154</v>
      </c>
      <c r="L794" s="134">
        <f t="shared" si="9"/>
        <v>0.8355003139</v>
      </c>
      <c r="M794" s="134">
        <f t="shared" si="10"/>
        <v>0.9257682593</v>
      </c>
      <c r="N794" s="134">
        <f t="shared" si="11"/>
        <v>1.036004836</v>
      </c>
      <c r="O794" s="134">
        <f t="shared" si="12"/>
        <v>0.9844578381</v>
      </c>
      <c r="P794" s="134">
        <f t="shared" si="13"/>
        <v>1.285608458</v>
      </c>
      <c r="Q794" s="134">
        <f t="shared" si="14"/>
        <v>1.160793478</v>
      </c>
    </row>
    <row r="795" ht="15.0" customHeight="1">
      <c r="A795" s="13">
        <v>756.0</v>
      </c>
      <c r="B795" s="134">
        <f t="shared" ref="B795:D795" si="1521">RAND()</f>
        <v>0.9479106846</v>
      </c>
      <c r="C795" s="134">
        <f t="shared" si="1521"/>
        <v>0.8159187694</v>
      </c>
      <c r="D795" s="134">
        <f t="shared" si="1521"/>
        <v>0.6984577993</v>
      </c>
      <c r="F795" s="134">
        <f t="shared" ref="F795:H795" si="1522">RAND()</f>
        <v>0.5175538251</v>
      </c>
      <c r="G795" s="134">
        <f t="shared" si="1522"/>
        <v>0.2663585328</v>
      </c>
      <c r="H795" s="134">
        <f t="shared" si="1522"/>
        <v>0.4590212643</v>
      </c>
      <c r="J795" s="135">
        <f t="shared" si="8"/>
        <v>285553517.9</v>
      </c>
      <c r="K795" s="136">
        <f>IF(J795&gt;0,MIN(99,$B$12*Q795/(J795*12*(1-Inputs!$H$16))),99)</f>
        <v>2.046459996</v>
      </c>
      <c r="L795" s="134">
        <f t="shared" si="9"/>
        <v>1.19036974</v>
      </c>
      <c r="M795" s="134">
        <f t="shared" si="10"/>
        <v>1.083561109</v>
      </c>
      <c r="N795" s="134">
        <f t="shared" si="11"/>
        <v>1.026137884</v>
      </c>
      <c r="O795" s="134">
        <f t="shared" si="12"/>
        <v>1.024320281</v>
      </c>
      <c r="P795" s="134">
        <f t="shared" si="13"/>
        <v>1.048277023</v>
      </c>
      <c r="Q795" s="134">
        <f t="shared" si="14"/>
        <v>1.074135959</v>
      </c>
    </row>
    <row r="796" ht="15.0" customHeight="1">
      <c r="A796" s="13">
        <v>757.0</v>
      </c>
      <c r="B796" s="134">
        <f t="shared" ref="B796:D796" si="1523">RAND()</f>
        <v>0.6073708439</v>
      </c>
      <c r="C796" s="134">
        <f t="shared" si="1523"/>
        <v>0.2405592827</v>
      </c>
      <c r="D796" s="134">
        <f t="shared" si="1523"/>
        <v>0.1848468374</v>
      </c>
      <c r="F796" s="134">
        <f t="shared" ref="F796:H796" si="1524">RAND()</f>
        <v>0.1391301145</v>
      </c>
      <c r="G796" s="134">
        <f t="shared" si="1524"/>
        <v>0.1958902079</v>
      </c>
      <c r="H796" s="134">
        <f t="shared" si="1524"/>
        <v>0.7501178346</v>
      </c>
      <c r="J796" s="135">
        <f t="shared" si="8"/>
        <v>188623239.5</v>
      </c>
      <c r="K796" s="136">
        <f>IF(J796&gt;0,MIN(99,$B$12*Q796/(J796*12*(1-Inputs!$H$16))),99)</f>
        <v>3.45801738</v>
      </c>
      <c r="L796" s="134">
        <f t="shared" si="9"/>
        <v>1.042650029</v>
      </c>
      <c r="M796" s="134">
        <f t="shared" si="10"/>
        <v>1.018229848</v>
      </c>
      <c r="N796" s="134">
        <f t="shared" si="11"/>
        <v>0.9802805305</v>
      </c>
      <c r="O796" s="134">
        <f t="shared" si="12"/>
        <v>0.9942729185</v>
      </c>
      <c r="P796" s="134">
        <f t="shared" si="13"/>
        <v>1.010056788</v>
      </c>
      <c r="Q796" s="134">
        <f t="shared" si="14"/>
        <v>1.198921787</v>
      </c>
    </row>
    <row r="797" ht="15.0" customHeight="1">
      <c r="A797" s="13">
        <v>758.0</v>
      </c>
      <c r="B797" s="134">
        <f t="shared" ref="B797:D797" si="1525">RAND()</f>
        <v>0.846766042</v>
      </c>
      <c r="C797" s="134">
        <f t="shared" si="1525"/>
        <v>0.372768955</v>
      </c>
      <c r="D797" s="134">
        <f t="shared" si="1525"/>
        <v>0.887631804</v>
      </c>
      <c r="F797" s="134">
        <f t="shared" ref="F797:H797" si="1526">RAND()</f>
        <v>0.1495667306</v>
      </c>
      <c r="G797" s="134">
        <f t="shared" si="1526"/>
        <v>0.4132409132</v>
      </c>
      <c r="H797" s="134">
        <f t="shared" si="1526"/>
        <v>0.7150520685</v>
      </c>
      <c r="J797" s="135">
        <f t="shared" si="8"/>
        <v>233009126.7</v>
      </c>
      <c r="K797" s="136">
        <f>IF(J797&gt;0,MIN(99,$B$12*Q797/(J797*12*(1-Inputs!$H$16))),99)</f>
        <v>2.757354342</v>
      </c>
      <c r="L797" s="134">
        <f t="shared" si="9"/>
        <v>1.12984605</v>
      </c>
      <c r="M797" s="134">
        <f t="shared" si="10"/>
        <v>1.056793598</v>
      </c>
      <c r="N797" s="134">
        <f t="shared" si="11"/>
        <v>1.05116639</v>
      </c>
      <c r="O797" s="134">
        <f t="shared" si="12"/>
        <v>0.9951710639</v>
      </c>
      <c r="P797" s="134">
        <f t="shared" si="13"/>
        <v>1.134360564</v>
      </c>
      <c r="Q797" s="134">
        <f t="shared" si="14"/>
        <v>1.180956752</v>
      </c>
    </row>
    <row r="798" ht="15.0" customHeight="1">
      <c r="A798" s="13">
        <v>759.0</v>
      </c>
      <c r="B798" s="134">
        <f t="shared" ref="B798:D798" si="1527">RAND()</f>
        <v>0.8758342911</v>
      </c>
      <c r="C798" s="134">
        <f t="shared" si="1527"/>
        <v>0.9105493585</v>
      </c>
      <c r="D798" s="134">
        <f t="shared" si="1527"/>
        <v>0.7458347374</v>
      </c>
      <c r="F798" s="134">
        <f t="shared" ref="F798:H798" si="1528">RAND()</f>
        <v>0.6336510497</v>
      </c>
      <c r="G798" s="134">
        <f t="shared" si="1528"/>
        <v>0.2225191997</v>
      </c>
      <c r="H798" s="134">
        <f t="shared" si="1528"/>
        <v>0.8166192276</v>
      </c>
      <c r="J798" s="135">
        <f t="shared" si="8"/>
        <v>246533362.5</v>
      </c>
      <c r="K798" s="136">
        <f>IF(J798&gt;0,MIN(99,$B$12*Q798/(J798*12*(1-Inputs!$H$16))),99)</f>
        <v>2.72947453</v>
      </c>
      <c r="L798" s="134">
        <f t="shared" si="9"/>
        <v>1.144337132</v>
      </c>
      <c r="M798" s="134">
        <f t="shared" si="10"/>
        <v>1.063202497</v>
      </c>
      <c r="N798" s="134">
        <f t="shared" si="11"/>
        <v>1.031400702</v>
      </c>
      <c r="O798" s="134">
        <f t="shared" si="12"/>
        <v>1.035573612</v>
      </c>
      <c r="P798" s="134">
        <f t="shared" si="13"/>
        <v>1.024294868</v>
      </c>
      <c r="Q798" s="134">
        <f t="shared" si="14"/>
        <v>1.236867637</v>
      </c>
    </row>
    <row r="799" ht="15.0" customHeight="1">
      <c r="A799" s="13">
        <v>760.0</v>
      </c>
      <c r="B799" s="134">
        <f t="shared" ref="B799:D799" si="1529">RAND()</f>
        <v>0.8394913864</v>
      </c>
      <c r="C799" s="134">
        <f t="shared" si="1529"/>
        <v>0.1297451393</v>
      </c>
      <c r="D799" s="134">
        <f t="shared" si="1529"/>
        <v>0.5716514319</v>
      </c>
      <c r="F799" s="134">
        <f t="shared" ref="F799:H799" si="1530">RAND()</f>
        <v>0.1437688308</v>
      </c>
      <c r="G799" s="134">
        <f t="shared" si="1530"/>
        <v>0.7513574713</v>
      </c>
      <c r="H799" s="134">
        <f t="shared" si="1530"/>
        <v>0.7252320187</v>
      </c>
      <c r="J799" s="135">
        <f t="shared" si="8"/>
        <v>229918072.8</v>
      </c>
      <c r="K799" s="136">
        <f>IF(J799&gt;0,MIN(99,$B$12*Q799/(J799*12*(1-Inputs!$H$16))),99)</f>
        <v>2.806482133</v>
      </c>
      <c r="L799" s="134">
        <f t="shared" si="9"/>
        <v>1.126440469</v>
      </c>
      <c r="M799" s="134">
        <f t="shared" si="10"/>
        <v>1.055287428</v>
      </c>
      <c r="N799" s="134">
        <f t="shared" si="11"/>
        <v>1.013811139</v>
      </c>
      <c r="O799" s="134">
        <f t="shared" si="12"/>
        <v>0.9946761307</v>
      </c>
      <c r="P799" s="134">
        <f t="shared" si="13"/>
        <v>1.388599436</v>
      </c>
      <c r="Q799" s="134">
        <f t="shared" si="14"/>
        <v>1.186052391</v>
      </c>
    </row>
    <row r="800" ht="15.0" customHeight="1">
      <c r="A800" s="13">
        <v>761.0</v>
      </c>
      <c r="B800" s="134">
        <f t="shared" ref="B800:D800" si="1531">RAND()</f>
        <v>0.8522743871</v>
      </c>
      <c r="C800" s="134">
        <f t="shared" si="1531"/>
        <v>0.9194861372</v>
      </c>
      <c r="D800" s="134">
        <f t="shared" si="1531"/>
        <v>0.8818809549</v>
      </c>
      <c r="F800" s="134">
        <f t="shared" ref="F800:H800" si="1532">RAND()</f>
        <v>0.2067891528</v>
      </c>
      <c r="G800" s="134">
        <f t="shared" si="1532"/>
        <v>0.8652678294</v>
      </c>
      <c r="H800" s="134">
        <f t="shared" si="1532"/>
        <v>0.7746257025</v>
      </c>
      <c r="J800" s="135">
        <f t="shared" si="8"/>
        <v>220212250.9</v>
      </c>
      <c r="K800" s="136">
        <f>IF(J800&gt;0,MIN(99,$B$12*Q800/(J800*12*(1-Inputs!$H$16))),99)</f>
        <v>2.994871564</v>
      </c>
      <c r="L800" s="134">
        <f t="shared" si="9"/>
        <v>1.132478873</v>
      </c>
      <c r="M800" s="134">
        <f t="shared" si="10"/>
        <v>1.057958003</v>
      </c>
      <c r="N800" s="134">
        <f t="shared" si="11"/>
        <v>1.050175282</v>
      </c>
      <c r="O800" s="134">
        <f t="shared" si="12"/>
        <v>0.9996171181</v>
      </c>
      <c r="P800" s="134">
        <f t="shared" si="13"/>
        <v>1.513723087</v>
      </c>
      <c r="Q800" s="134">
        <f t="shared" si="14"/>
        <v>1.212238742</v>
      </c>
    </row>
    <row r="801" ht="15.0" customHeight="1">
      <c r="A801" s="13">
        <v>762.0</v>
      </c>
      <c r="B801" s="134">
        <f t="shared" ref="B801:D801" si="1533">RAND()</f>
        <v>0.6414755351</v>
      </c>
      <c r="C801" s="134">
        <f t="shared" si="1533"/>
        <v>0.6926236837</v>
      </c>
      <c r="D801" s="134">
        <f t="shared" si="1533"/>
        <v>0.4694155399</v>
      </c>
      <c r="F801" s="134">
        <f t="shared" ref="F801:H801" si="1534">RAND()</f>
        <v>0.09032155456</v>
      </c>
      <c r="G801" s="134">
        <f t="shared" si="1534"/>
        <v>0.6993128005</v>
      </c>
      <c r="H801" s="134">
        <f t="shared" si="1534"/>
        <v>0.7947461158</v>
      </c>
      <c r="J801" s="135">
        <f t="shared" si="8"/>
        <v>178904573.6</v>
      </c>
      <c r="K801" s="136">
        <f>IF(J801&gt;0,MIN(99,$B$12*Q801/(J801*12*(1-Inputs!$H$16))),99)</f>
        <v>3.721288909</v>
      </c>
      <c r="L801" s="134">
        <f t="shared" si="9"/>
        <v>1.052970466</v>
      </c>
      <c r="M801" s="134">
        <f t="shared" si="10"/>
        <v>1.022794216</v>
      </c>
      <c r="N801" s="134">
        <f t="shared" si="11"/>
        <v>1.005161305</v>
      </c>
      <c r="O801" s="134">
        <f t="shared" si="12"/>
        <v>0.9895350113</v>
      </c>
      <c r="P801" s="134">
        <f t="shared" si="13"/>
        <v>1.341330372</v>
      </c>
      <c r="Q801" s="134">
        <f t="shared" si="14"/>
        <v>1.223723536</v>
      </c>
    </row>
    <row r="802" ht="15.0" customHeight="1">
      <c r="A802" s="13">
        <v>763.0</v>
      </c>
      <c r="B802" s="134">
        <f t="shared" ref="B802:D802" si="1535">RAND()</f>
        <v>0.7505510358</v>
      </c>
      <c r="C802" s="134">
        <f t="shared" si="1535"/>
        <v>0.5236866448</v>
      </c>
      <c r="D802" s="134">
        <f t="shared" si="1535"/>
        <v>0.5741327457</v>
      </c>
      <c r="F802" s="134">
        <f t="shared" ref="F802:H802" si="1536">RAND()</f>
        <v>0.1016437951</v>
      </c>
      <c r="G802" s="134">
        <f t="shared" si="1536"/>
        <v>0.6090099337</v>
      </c>
      <c r="H802" s="134">
        <f t="shared" si="1536"/>
        <v>0.3807910887</v>
      </c>
      <c r="J802" s="135">
        <f t="shared" si="8"/>
        <v>206953894.5</v>
      </c>
      <c r="K802" s="136">
        <f>IF(J802&gt;0,MIN(99,$B$12*Q802/(J802*12*(1-Inputs!$H$16))),99)</f>
        <v>2.752153425</v>
      </c>
      <c r="L802" s="134">
        <f t="shared" si="9"/>
        <v>1.08979948</v>
      </c>
      <c r="M802" s="134">
        <f t="shared" si="10"/>
        <v>1.039082401</v>
      </c>
      <c r="N802" s="134">
        <f t="shared" si="11"/>
        <v>1.014033254</v>
      </c>
      <c r="O802" s="134">
        <f t="shared" si="12"/>
        <v>0.990730229</v>
      </c>
      <c r="P802" s="134">
        <f t="shared" si="13"/>
        <v>1.268164352</v>
      </c>
      <c r="Q802" s="134">
        <f t="shared" si="14"/>
        <v>1.046922963</v>
      </c>
    </row>
    <row r="803" ht="15.0" customHeight="1">
      <c r="A803" s="13">
        <v>764.0</v>
      </c>
      <c r="B803" s="134">
        <f t="shared" ref="B803:D803" si="1537">RAND()</f>
        <v>0.6145795109</v>
      </c>
      <c r="C803" s="134">
        <f t="shared" si="1537"/>
        <v>0.08647764887</v>
      </c>
      <c r="D803" s="134">
        <f t="shared" si="1537"/>
        <v>0.6374865464</v>
      </c>
      <c r="F803" s="134">
        <f t="shared" ref="F803:H803" si="1538">RAND()</f>
        <v>0.3509085235</v>
      </c>
      <c r="G803" s="134">
        <f t="shared" si="1538"/>
        <v>0.9940723309</v>
      </c>
      <c r="H803" s="134">
        <f t="shared" si="1538"/>
        <v>0.8444867826</v>
      </c>
      <c r="J803" s="135">
        <f t="shared" si="8"/>
        <v>149163974</v>
      </c>
      <c r="K803" s="136">
        <f>IF(J803&gt;0,MIN(99,$B$12*Q803/(J803*12*(1-Inputs!$H$16))),99)</f>
        <v>4.576623393</v>
      </c>
      <c r="L803" s="134">
        <f t="shared" si="9"/>
        <v>1.044792882</v>
      </c>
      <c r="M803" s="134">
        <f t="shared" si="10"/>
        <v>1.019177556</v>
      </c>
      <c r="N803" s="134">
        <f t="shared" si="11"/>
        <v>1.019941179</v>
      </c>
      <c r="O803" s="134">
        <f t="shared" si="12"/>
        <v>1.010324937</v>
      </c>
      <c r="P803" s="134">
        <f t="shared" si="13"/>
        <v>1.789553632</v>
      </c>
      <c r="Q803" s="134">
        <f t="shared" si="14"/>
        <v>1.254808936</v>
      </c>
    </row>
    <row r="804" ht="15.0" customHeight="1">
      <c r="A804" s="13">
        <v>765.0</v>
      </c>
      <c r="B804" s="134">
        <f t="shared" ref="B804:D804" si="1539">RAND()</f>
        <v>0.07168156863</v>
      </c>
      <c r="C804" s="134">
        <f t="shared" si="1539"/>
        <v>0.5236442725</v>
      </c>
      <c r="D804" s="134">
        <f t="shared" si="1539"/>
        <v>0.9753840853</v>
      </c>
      <c r="F804" s="134">
        <f t="shared" ref="F804:H804" si="1540">RAND()</f>
        <v>0.6458758504</v>
      </c>
      <c r="G804" s="134">
        <f t="shared" si="1540"/>
        <v>0.5281349511</v>
      </c>
      <c r="H804" s="134">
        <f t="shared" si="1540"/>
        <v>0.08897474794</v>
      </c>
      <c r="J804" s="135">
        <f t="shared" si="8"/>
        <v>34318302.88</v>
      </c>
      <c r="K804" s="136">
        <f>IF(J804&gt;0,MIN(99,$B$12*Q804/(J804*12*(1-Inputs!$H$16))),99)</f>
        <v>14.99589851</v>
      </c>
      <c r="L804" s="134">
        <f t="shared" si="9"/>
        <v>0.8648007599</v>
      </c>
      <c r="M804" s="134">
        <f t="shared" si="10"/>
        <v>0.9388769509</v>
      </c>
      <c r="N804" s="134">
        <f t="shared" si="11"/>
        <v>1.072030104</v>
      </c>
      <c r="O804" s="134">
        <f t="shared" si="12"/>
        <v>1.036856788</v>
      </c>
      <c r="P804" s="134">
        <f t="shared" si="13"/>
        <v>1.209556998</v>
      </c>
      <c r="Q804" s="134">
        <f t="shared" si="14"/>
        <v>0.9459469402</v>
      </c>
    </row>
    <row r="805" ht="15.0" customHeight="1">
      <c r="A805" s="13">
        <v>766.0</v>
      </c>
      <c r="B805" s="134">
        <f t="shared" ref="B805:D805" si="1541">RAND()</f>
        <v>0.9111553566</v>
      </c>
      <c r="C805" s="134">
        <f t="shared" si="1541"/>
        <v>0.4498577591</v>
      </c>
      <c r="D805" s="134">
        <f t="shared" si="1541"/>
        <v>0.3213709951</v>
      </c>
      <c r="F805" s="134">
        <f t="shared" ref="F805:H805" si="1542">RAND()</f>
        <v>0.7612113269</v>
      </c>
      <c r="G805" s="134">
        <f t="shared" si="1542"/>
        <v>0.4165122182</v>
      </c>
      <c r="H805" s="134">
        <f t="shared" si="1542"/>
        <v>0.1999642963</v>
      </c>
      <c r="J805" s="135">
        <f t="shared" si="8"/>
        <v>265261921.2</v>
      </c>
      <c r="K805" s="136">
        <f>IF(J805&gt;0,MIN(99,$B$12*Q805/(J805*12*(1-Inputs!$H$16))),99)</f>
        <v>2.029351465</v>
      </c>
      <c r="L805" s="134">
        <f t="shared" si="9"/>
        <v>1.164473359</v>
      </c>
      <c r="M805" s="134">
        <f t="shared" si="10"/>
        <v>1.072108045</v>
      </c>
      <c r="N805" s="134">
        <f t="shared" si="11"/>
        <v>0.9934518921</v>
      </c>
      <c r="O805" s="134">
        <f t="shared" si="12"/>
        <v>1.05026557</v>
      </c>
      <c r="P805" s="134">
        <f t="shared" si="13"/>
        <v>1.136393909</v>
      </c>
      <c r="Q805" s="134">
        <f t="shared" si="14"/>
        <v>0.9894655119</v>
      </c>
    </row>
    <row r="806" ht="15.0" customHeight="1">
      <c r="A806" s="13">
        <v>767.0</v>
      </c>
      <c r="B806" s="134">
        <f t="shared" ref="B806:D806" si="1543">RAND()</f>
        <v>0.0918557794</v>
      </c>
      <c r="C806" s="134">
        <f t="shared" si="1543"/>
        <v>0.8091379657</v>
      </c>
      <c r="D806" s="134">
        <f t="shared" si="1543"/>
        <v>0.500472047</v>
      </c>
      <c r="F806" s="134">
        <f t="shared" ref="F806:H806" si="1544">RAND()</f>
        <v>0.6521964157</v>
      </c>
      <c r="G806" s="134">
        <f t="shared" si="1544"/>
        <v>0.05417009131</v>
      </c>
      <c r="H806" s="134">
        <f t="shared" si="1544"/>
        <v>0.5498996632</v>
      </c>
      <c r="J806" s="135">
        <f t="shared" si="8"/>
        <v>64766515.53</v>
      </c>
      <c r="K806" s="136">
        <f>IF(J806&gt;0,MIN(99,$B$12*Q806/(J806*12*(1-Inputs!$H$16))),99)</f>
        <v>9.310228706</v>
      </c>
      <c r="L806" s="134">
        <f t="shared" si="9"/>
        <v>0.8766551778</v>
      </c>
      <c r="M806" s="134">
        <f t="shared" si="10"/>
        <v>0.9441804848</v>
      </c>
      <c r="N806" s="134">
        <f t="shared" si="11"/>
        <v>1.007693158</v>
      </c>
      <c r="O806" s="134">
        <f t="shared" si="12"/>
        <v>1.037528916</v>
      </c>
      <c r="P806" s="134">
        <f t="shared" si="13"/>
        <v>0.9172599841</v>
      </c>
      <c r="Q806" s="134">
        <f t="shared" si="14"/>
        <v>1.108356221</v>
      </c>
    </row>
    <row r="807" ht="15.0" customHeight="1">
      <c r="A807" s="13">
        <v>768.0</v>
      </c>
      <c r="B807" s="134">
        <f t="shared" ref="B807:D807" si="1545">RAND()</f>
        <v>0.1963210002</v>
      </c>
      <c r="C807" s="134">
        <f t="shared" si="1545"/>
        <v>0.7873596923</v>
      </c>
      <c r="D807" s="134">
        <f t="shared" si="1545"/>
        <v>0.7740885521</v>
      </c>
      <c r="F807" s="134">
        <f t="shared" ref="F807:H807" si="1546">RAND()</f>
        <v>0.7203788638</v>
      </c>
      <c r="G807" s="134">
        <f t="shared" si="1546"/>
        <v>0.1665024804</v>
      </c>
      <c r="H807" s="134">
        <f t="shared" si="1546"/>
        <v>0.7171568161</v>
      </c>
      <c r="J807" s="135">
        <f t="shared" si="8"/>
        <v>85868277.57</v>
      </c>
      <c r="K807" s="136">
        <f>IF(J807&gt;0,MIN(99,$B$12*Q807/(J807*12*(1-Inputs!$H$16))),99)</f>
        <v>7.488886513</v>
      </c>
      <c r="L807" s="134">
        <f t="shared" si="9"/>
        <v>0.9236139715</v>
      </c>
      <c r="M807" s="134">
        <f t="shared" si="10"/>
        <v>0.9651893235</v>
      </c>
      <c r="N807" s="134">
        <f t="shared" si="11"/>
        <v>1.03477582</v>
      </c>
      <c r="O807" s="134">
        <f t="shared" si="12"/>
        <v>1.045209135</v>
      </c>
      <c r="P807" s="134">
        <f t="shared" si="13"/>
        <v>0.9945167361</v>
      </c>
      <c r="Q807" s="134">
        <f t="shared" si="14"/>
        <v>1.182002737</v>
      </c>
    </row>
    <row r="808" ht="15.0" customHeight="1">
      <c r="A808" s="13">
        <v>769.0</v>
      </c>
      <c r="B808" s="134">
        <f t="shared" ref="B808:D808" si="1547">RAND()</f>
        <v>0.746510091</v>
      </c>
      <c r="C808" s="134">
        <f t="shared" si="1547"/>
        <v>0.847371433</v>
      </c>
      <c r="D808" s="134">
        <f t="shared" si="1547"/>
        <v>0.08398224263</v>
      </c>
      <c r="F808" s="134">
        <f t="shared" ref="F808:H808" si="1548">RAND()</f>
        <v>0.5010311443</v>
      </c>
      <c r="G808" s="134">
        <f t="shared" si="1548"/>
        <v>0.09431460255</v>
      </c>
      <c r="H808" s="134">
        <f t="shared" si="1548"/>
        <v>0.3976098098</v>
      </c>
      <c r="J808" s="135">
        <f t="shared" si="8"/>
        <v>223543344.2</v>
      </c>
      <c r="K808" s="136">
        <f>IF(J808&gt;0,MIN(99,$B$12*Q808/(J808*12*(1-Inputs!$H$16))),99)</f>
        <v>2.561780889</v>
      </c>
      <c r="L808" s="134">
        <f t="shared" si="9"/>
        <v>1.08830543</v>
      </c>
      <c r="M808" s="134">
        <f t="shared" si="10"/>
        <v>1.038421635</v>
      </c>
      <c r="N808" s="134">
        <f t="shared" si="11"/>
        <v>0.9668030058</v>
      </c>
      <c r="O808" s="134">
        <f t="shared" si="12"/>
        <v>1.02283432</v>
      </c>
      <c r="P808" s="134">
        <f t="shared" si="13"/>
        <v>0.9500317825</v>
      </c>
      <c r="Q808" s="134">
        <f t="shared" si="14"/>
        <v>1.052621427</v>
      </c>
    </row>
    <row r="809" ht="15.0" customHeight="1">
      <c r="A809" s="13">
        <v>770.0</v>
      </c>
      <c r="B809" s="134">
        <f t="shared" ref="B809:D809" si="1549">RAND()</f>
        <v>0.9613565689</v>
      </c>
      <c r="C809" s="134">
        <f t="shared" si="1549"/>
        <v>0.991883281</v>
      </c>
      <c r="D809" s="134">
        <f t="shared" si="1549"/>
        <v>0.0465021689</v>
      </c>
      <c r="F809" s="134">
        <f t="shared" ref="F809:H809" si="1550">RAND()</f>
        <v>0.3723573835</v>
      </c>
      <c r="G809" s="134">
        <f t="shared" si="1550"/>
        <v>0.5125110062</v>
      </c>
      <c r="H809" s="134">
        <f t="shared" si="1550"/>
        <v>0.3226332185</v>
      </c>
      <c r="J809" s="135">
        <f t="shared" si="8"/>
        <v>308676459.3</v>
      </c>
      <c r="K809" s="136">
        <f>IF(J809&gt;0,MIN(99,$B$12*Q809/(J809*12*(1-Inputs!$H$16))),99)</f>
        <v>1.811478668</v>
      </c>
      <c r="L809" s="134">
        <f t="shared" si="9"/>
        <v>1.202106435</v>
      </c>
      <c r="M809" s="134">
        <f t="shared" si="10"/>
        <v>1.088751839</v>
      </c>
      <c r="N809" s="134">
        <f t="shared" si="11"/>
        <v>0.9596716116</v>
      </c>
      <c r="O809" s="134">
        <f t="shared" si="12"/>
        <v>1.012016185</v>
      </c>
      <c r="P809" s="134">
        <f t="shared" si="13"/>
        <v>1.198830844</v>
      </c>
      <c r="Q809" s="134">
        <f t="shared" si="14"/>
        <v>1.027791958</v>
      </c>
    </row>
    <row r="810" ht="15.0" customHeight="1">
      <c r="A810" s="13">
        <v>771.0</v>
      </c>
      <c r="B810" s="134">
        <f t="shared" ref="B810:D810" si="1551">RAND()</f>
        <v>0.6964983911</v>
      </c>
      <c r="C810" s="134">
        <f t="shared" si="1551"/>
        <v>0.7442511223</v>
      </c>
      <c r="D810" s="134">
        <f t="shared" si="1551"/>
        <v>0.02573024882</v>
      </c>
      <c r="F810" s="134">
        <f t="shared" ref="F810:H810" si="1552">RAND()</f>
        <v>0.8749763999</v>
      </c>
      <c r="G810" s="134">
        <f t="shared" si="1552"/>
        <v>0.5909398111</v>
      </c>
      <c r="H810" s="134">
        <f t="shared" si="1552"/>
        <v>0.9170077613</v>
      </c>
      <c r="J810" s="135">
        <f t="shared" si="8"/>
        <v>194096797.5</v>
      </c>
      <c r="K810" s="136">
        <f>IF(J810&gt;0,MIN(99,$B$12*Q810/(J810*12*(1-Inputs!$H$16))),99)</f>
        <v>3.674891547</v>
      </c>
      <c r="L810" s="134">
        <f t="shared" si="9"/>
        <v>1.070717178</v>
      </c>
      <c r="M810" s="134">
        <f t="shared" si="10"/>
        <v>1.030642966</v>
      </c>
      <c r="N810" s="134">
        <f t="shared" si="11"/>
        <v>0.954359405</v>
      </c>
      <c r="O810" s="134">
        <f t="shared" si="12"/>
        <v>1.067284114</v>
      </c>
      <c r="P810" s="134">
        <f t="shared" si="13"/>
        <v>1.254579387</v>
      </c>
      <c r="Q810" s="134">
        <f t="shared" si="14"/>
        <v>1.311086597</v>
      </c>
    </row>
    <row r="811" ht="15.0" customHeight="1">
      <c r="A811" s="13">
        <v>772.0</v>
      </c>
      <c r="B811" s="134">
        <f t="shared" ref="B811:D811" si="1553">RAND()</f>
        <v>0.7186483475</v>
      </c>
      <c r="C811" s="134">
        <f t="shared" si="1553"/>
        <v>0.8747186051</v>
      </c>
      <c r="D811" s="134">
        <f t="shared" si="1553"/>
        <v>0.7956041757</v>
      </c>
      <c r="F811" s="134">
        <f t="shared" ref="F811:H811" si="1554">RAND()</f>
        <v>0.4061863445</v>
      </c>
      <c r="G811" s="134">
        <f t="shared" si="1554"/>
        <v>0.2090962054</v>
      </c>
      <c r="H811" s="134">
        <f t="shared" si="1554"/>
        <v>0.2254314596</v>
      </c>
      <c r="J811" s="135">
        <f t="shared" si="8"/>
        <v>198328975.9</v>
      </c>
      <c r="K811" s="136">
        <f>IF(J811&gt;0,MIN(99,$B$12*Q811/(J811*12*(1-Inputs!$H$16))),99)</f>
        <v>2.736373598</v>
      </c>
      <c r="L811" s="134">
        <f t="shared" si="9"/>
        <v>1.078312806</v>
      </c>
      <c r="M811" s="134">
        <f t="shared" si="10"/>
        <v>1.034002247</v>
      </c>
      <c r="N811" s="134">
        <f t="shared" si="11"/>
        <v>1.037490254</v>
      </c>
      <c r="O811" s="134">
        <f t="shared" si="12"/>
        <v>1.014743462</v>
      </c>
      <c r="P811" s="134">
        <f t="shared" si="13"/>
        <v>1.017087853</v>
      </c>
      <c r="Q811" s="134">
        <f t="shared" si="14"/>
        <v>0.9975393631</v>
      </c>
    </row>
    <row r="812" ht="15.0" customHeight="1">
      <c r="A812" s="13">
        <v>773.0</v>
      </c>
      <c r="B812" s="134">
        <f t="shared" ref="B812:D812" si="1555">RAND()</f>
        <v>0.06296260246</v>
      </c>
      <c r="C812" s="134">
        <f t="shared" si="1555"/>
        <v>0.5075716029</v>
      </c>
      <c r="D812" s="134">
        <f t="shared" si="1555"/>
        <v>0.03186929179</v>
      </c>
      <c r="F812" s="134">
        <f t="shared" ref="F812:H812" si="1556">RAND()</f>
        <v>0.3813908907</v>
      </c>
      <c r="G812" s="134">
        <f t="shared" si="1556"/>
        <v>0.8488072896</v>
      </c>
      <c r="H812" s="134">
        <f t="shared" si="1556"/>
        <v>0.2840462848</v>
      </c>
      <c r="J812" s="135">
        <f t="shared" si="8"/>
        <v>45587089.11</v>
      </c>
      <c r="K812" s="136">
        <f>IF(J812&gt;0,MIN(99,$B$12*Q812/(J812*12*(1-Inputs!$H$16))),99)</f>
        <v>12.11966659</v>
      </c>
      <c r="L812" s="134">
        <f t="shared" si="9"/>
        <v>0.8591623002</v>
      </c>
      <c r="M812" s="134">
        <f t="shared" si="10"/>
        <v>0.9363543672</v>
      </c>
      <c r="N812" s="134">
        <f t="shared" si="11"/>
        <v>0.9561013705</v>
      </c>
      <c r="O812" s="134">
        <f t="shared" si="12"/>
        <v>1.012737117</v>
      </c>
      <c r="P812" s="134">
        <f t="shared" si="13"/>
        <v>1.493015639</v>
      </c>
      <c r="Q812" s="134">
        <f t="shared" si="14"/>
        <v>1.015549311</v>
      </c>
    </row>
    <row r="813" ht="15.0" customHeight="1">
      <c r="A813" s="13">
        <v>774.0</v>
      </c>
      <c r="B813" s="134">
        <f t="shared" ref="B813:D813" si="1557">RAND()</f>
        <v>0.3752333467</v>
      </c>
      <c r="C813" s="134">
        <f t="shared" si="1557"/>
        <v>0.3732682157</v>
      </c>
      <c r="D813" s="134">
        <f t="shared" si="1557"/>
        <v>0.5293009969</v>
      </c>
      <c r="F813" s="134">
        <f t="shared" ref="F813:H813" si="1558">RAND()</f>
        <v>0.8310134918</v>
      </c>
      <c r="G813" s="134">
        <f t="shared" si="1558"/>
        <v>0.9762285518</v>
      </c>
      <c r="H813" s="134">
        <f t="shared" si="1558"/>
        <v>0.3462959461</v>
      </c>
      <c r="J813" s="135">
        <f t="shared" si="8"/>
        <v>99843370.88</v>
      </c>
      <c r="K813" s="136">
        <f>IF(J813&gt;0,MIN(99,$B$12*Q813/(J813*12*(1-Inputs!$H$16))),99)</f>
        <v>5.642231687</v>
      </c>
      <c r="L813" s="134">
        <f t="shared" si="9"/>
        <v>0.9804598537</v>
      </c>
      <c r="M813" s="134">
        <f t="shared" si="10"/>
        <v>0.9906215349</v>
      </c>
      <c r="N813" s="134">
        <f t="shared" si="11"/>
        <v>1.01011485</v>
      </c>
      <c r="O813" s="134">
        <f t="shared" si="12"/>
        <v>1.060040301</v>
      </c>
      <c r="P813" s="134">
        <f t="shared" si="13"/>
        <v>1.716153589</v>
      </c>
      <c r="Q813" s="134">
        <f t="shared" si="14"/>
        <v>1.035472649</v>
      </c>
    </row>
    <row r="814" ht="15.0" customHeight="1">
      <c r="A814" s="13">
        <v>775.0</v>
      </c>
      <c r="B814" s="134">
        <f t="shared" ref="B814:D814" si="1559">RAND()</f>
        <v>0.9761403304</v>
      </c>
      <c r="C814" s="134">
        <f t="shared" si="1559"/>
        <v>0.5546390928</v>
      </c>
      <c r="D814" s="134">
        <f t="shared" si="1559"/>
        <v>0.3689858198</v>
      </c>
      <c r="F814" s="134">
        <f t="shared" ref="F814:H814" si="1560">RAND()</f>
        <v>0.6453563601</v>
      </c>
      <c r="G814" s="134">
        <f t="shared" si="1560"/>
        <v>0.4796484353</v>
      </c>
      <c r="H814" s="134">
        <f t="shared" si="1560"/>
        <v>0.9106676038</v>
      </c>
      <c r="J814" s="135">
        <f t="shared" si="8"/>
        <v>308565406.1</v>
      </c>
      <c r="K814" s="136">
        <f>IF(J814&gt;0,MIN(99,$B$12*Q814/(J814*12*(1-Inputs!$H$16))),99)</f>
        <v>2.301530209</v>
      </c>
      <c r="L814" s="134">
        <f t="shared" si="9"/>
        <v>1.217722565</v>
      </c>
      <c r="M814" s="134">
        <f t="shared" si="10"/>
        <v>1.095658307</v>
      </c>
      <c r="N814" s="134">
        <f t="shared" si="11"/>
        <v>0.9973512504</v>
      </c>
      <c r="O814" s="134">
        <f t="shared" si="12"/>
        <v>1.036801814</v>
      </c>
      <c r="P814" s="134">
        <f t="shared" si="13"/>
        <v>1.176817211</v>
      </c>
      <c r="Q814" s="134">
        <f t="shared" si="14"/>
        <v>1.305366297</v>
      </c>
    </row>
    <row r="815" ht="15.0" customHeight="1">
      <c r="A815" s="13">
        <v>776.0</v>
      </c>
      <c r="B815" s="134">
        <f t="shared" ref="B815:D815" si="1561">RAND()</f>
        <v>0.342101914</v>
      </c>
      <c r="C815" s="134">
        <f t="shared" si="1561"/>
        <v>0.7796505528</v>
      </c>
      <c r="D815" s="134">
        <f t="shared" si="1561"/>
        <v>0.5586300325</v>
      </c>
      <c r="F815" s="134">
        <f t="shared" ref="F815:H815" si="1562">RAND()</f>
        <v>0.8785527076</v>
      </c>
      <c r="G815" s="134">
        <f t="shared" si="1562"/>
        <v>0.8415561925</v>
      </c>
      <c r="H815" s="134">
        <f t="shared" si="1562"/>
        <v>0.4928819711</v>
      </c>
      <c r="J815" s="135">
        <f t="shared" si="8"/>
        <v>100293871.5</v>
      </c>
      <c r="K815" s="136">
        <f>IF(J815&gt;0,MIN(99,$B$12*Q815/(J815*12*(1-Inputs!$H$16))),99)</f>
        <v>5.893809368</v>
      </c>
      <c r="L815" s="134">
        <f t="shared" si="9"/>
        <v>0.9711796761</v>
      </c>
      <c r="M815" s="134">
        <f t="shared" si="10"/>
        <v>0.9864696873</v>
      </c>
      <c r="N815" s="134">
        <f t="shared" si="11"/>
        <v>1.012655934</v>
      </c>
      <c r="O815" s="134">
        <f t="shared" si="12"/>
        <v>1.067925916</v>
      </c>
      <c r="P815" s="134">
        <f t="shared" si="13"/>
        <v>1.484252983</v>
      </c>
      <c r="Q815" s="134">
        <f t="shared" si="14"/>
        <v>1.086523095</v>
      </c>
    </row>
    <row r="816" ht="15.0" customHeight="1">
      <c r="A816" s="13">
        <v>777.0</v>
      </c>
      <c r="B816" s="134">
        <f t="shared" ref="B816:D816" si="1563">RAND()</f>
        <v>0.2635261628</v>
      </c>
      <c r="C816" s="134">
        <f t="shared" si="1563"/>
        <v>0.2117009316</v>
      </c>
      <c r="D816" s="134">
        <f t="shared" si="1563"/>
        <v>0.6686670787</v>
      </c>
      <c r="F816" s="134">
        <f t="shared" ref="F816:H816" si="1564">RAND()</f>
        <v>0.3812703677</v>
      </c>
      <c r="G816" s="134">
        <f t="shared" si="1564"/>
        <v>0.4363126254</v>
      </c>
      <c r="H816" s="134">
        <f t="shared" si="1564"/>
        <v>0.1363041385</v>
      </c>
      <c r="J816" s="135">
        <f t="shared" si="8"/>
        <v>103592934</v>
      </c>
      <c r="K816" s="136">
        <f>IF(J816&gt;0,MIN(99,$B$12*Q816/(J816*12*(1-Inputs!$H$16))),99)</f>
        <v>5.076692005</v>
      </c>
      <c r="L816" s="134">
        <f t="shared" si="9"/>
        <v>0.9471821515</v>
      </c>
      <c r="M816" s="134">
        <f t="shared" si="10"/>
        <v>0.9757334635</v>
      </c>
      <c r="N816" s="134">
        <f t="shared" si="11"/>
        <v>1.023038886</v>
      </c>
      <c r="O816" s="134">
        <f t="shared" si="12"/>
        <v>1.012727464</v>
      </c>
      <c r="P816" s="134">
        <f t="shared" si="13"/>
        <v>1.148824843</v>
      </c>
      <c r="Q816" s="134">
        <f t="shared" si="14"/>
        <v>0.9666726493</v>
      </c>
    </row>
    <row r="817" ht="15.0" customHeight="1">
      <c r="A817" s="13">
        <v>778.0</v>
      </c>
      <c r="B817" s="134">
        <f t="shared" ref="B817:D817" si="1565">RAND()</f>
        <v>0.1150396268</v>
      </c>
      <c r="C817" s="134">
        <f t="shared" si="1565"/>
        <v>0.2261636146</v>
      </c>
      <c r="D817" s="134">
        <f t="shared" si="1565"/>
        <v>0.5508130123</v>
      </c>
      <c r="F817" s="134">
        <f t="shared" ref="F817:H817" si="1566">RAND()</f>
        <v>0.05354035134</v>
      </c>
      <c r="G817" s="134">
        <f t="shared" si="1566"/>
        <v>0.2755482466</v>
      </c>
      <c r="H817" s="134">
        <f t="shared" si="1566"/>
        <v>0.214965948</v>
      </c>
      <c r="J817" s="135">
        <f t="shared" si="8"/>
        <v>75361696.21</v>
      </c>
      <c r="K817" s="136">
        <f>IF(J817&gt;0,MIN(99,$B$12*Q817/(J817*12*(1-Inputs!$H$16))),99)</f>
        <v>7.17776827</v>
      </c>
      <c r="L817" s="134">
        <f t="shared" si="9"/>
        <v>0.8887627268</v>
      </c>
      <c r="M817" s="134">
        <f t="shared" si="10"/>
        <v>0.9495972667</v>
      </c>
      <c r="N817" s="134">
        <f t="shared" si="11"/>
        <v>1.011970614</v>
      </c>
      <c r="O817" s="134">
        <f t="shared" si="12"/>
        <v>0.98501407</v>
      </c>
      <c r="P817" s="134">
        <f t="shared" si="13"/>
        <v>1.053394311</v>
      </c>
      <c r="Q817" s="134">
        <f t="shared" si="14"/>
        <v>0.9942797154</v>
      </c>
    </row>
    <row r="818" ht="15.0" customHeight="1">
      <c r="A818" s="13">
        <v>779.0</v>
      </c>
      <c r="B818" s="134">
        <f t="shared" ref="B818:D818" si="1567">RAND()</f>
        <v>0.6336302053</v>
      </c>
      <c r="C818" s="134">
        <f t="shared" si="1567"/>
        <v>0.5900652776</v>
      </c>
      <c r="D818" s="134">
        <f t="shared" si="1567"/>
        <v>0.8048540456</v>
      </c>
      <c r="F818" s="134">
        <f t="shared" ref="F818:H818" si="1568">RAND()</f>
        <v>0.724103773</v>
      </c>
      <c r="G818" s="134">
        <f t="shared" si="1568"/>
        <v>0.9100238974</v>
      </c>
      <c r="H818" s="134">
        <f t="shared" si="1568"/>
        <v>0.9782783179</v>
      </c>
      <c r="J818" s="135">
        <f t="shared" si="8"/>
        <v>151251803.5</v>
      </c>
      <c r="K818" s="136">
        <f>IF(J818&gt;0,MIN(99,$B$12*Q818/(J818*12*(1-Inputs!$H$16))),99)</f>
        <v>4.98389229</v>
      </c>
      <c r="L818" s="134">
        <f t="shared" si="9"/>
        <v>1.050554357</v>
      </c>
      <c r="M818" s="134">
        <f t="shared" si="10"/>
        <v>1.021725655</v>
      </c>
      <c r="N818" s="134">
        <f t="shared" si="11"/>
        <v>1.038701026</v>
      </c>
      <c r="O818" s="134">
        <f t="shared" si="12"/>
        <v>1.045654388</v>
      </c>
      <c r="P818" s="134">
        <f t="shared" si="13"/>
        <v>1.577528436</v>
      </c>
      <c r="Q818" s="134">
        <f t="shared" si="14"/>
        <v>1.385599414</v>
      </c>
    </row>
    <row r="819" ht="15.0" customHeight="1">
      <c r="A819" s="13">
        <v>780.0</v>
      </c>
      <c r="B819" s="134">
        <f t="shared" ref="B819:D819" si="1569">RAND()</f>
        <v>0.2155946165</v>
      </c>
      <c r="C819" s="134">
        <f t="shared" si="1569"/>
        <v>0.6437864192</v>
      </c>
      <c r="D819" s="134">
        <f t="shared" si="1569"/>
        <v>0.649765512</v>
      </c>
      <c r="F819" s="134">
        <f t="shared" ref="F819:H819" si="1570">RAND()</f>
        <v>0.7846037313</v>
      </c>
      <c r="G819" s="134">
        <f t="shared" si="1570"/>
        <v>0.1055753368</v>
      </c>
      <c r="H819" s="134">
        <f t="shared" si="1570"/>
        <v>0.2197178198</v>
      </c>
      <c r="J819" s="135">
        <f t="shared" si="8"/>
        <v>93346224.52</v>
      </c>
      <c r="K819" s="136">
        <f>IF(J819&gt;0,MIN(99,$B$12*Q819/(J819*12*(1-Inputs!$H$16))),99)</f>
        <v>5.803547268</v>
      </c>
      <c r="L819" s="134">
        <f t="shared" si="9"/>
        <v>0.9307382238</v>
      </c>
      <c r="M819" s="134">
        <f t="shared" si="10"/>
        <v>0.9683766342</v>
      </c>
      <c r="N819" s="134">
        <f t="shared" si="11"/>
        <v>1.02114452</v>
      </c>
      <c r="O819" s="134">
        <f t="shared" si="12"/>
        <v>1.053359001</v>
      </c>
      <c r="P819" s="134">
        <f t="shared" si="13"/>
        <v>0.957883726</v>
      </c>
      <c r="Q819" s="134">
        <f t="shared" si="14"/>
        <v>0.9957693728</v>
      </c>
    </row>
    <row r="820" ht="15.0" customHeight="1">
      <c r="A820" s="13">
        <v>781.0</v>
      </c>
      <c r="B820" s="134">
        <f t="shared" ref="B820:D820" si="1571">RAND()</f>
        <v>0.9377771253</v>
      </c>
      <c r="C820" s="134">
        <f t="shared" si="1571"/>
        <v>0.4512157454</v>
      </c>
      <c r="D820" s="134">
        <f t="shared" si="1571"/>
        <v>0.3855605765</v>
      </c>
      <c r="F820" s="134">
        <f t="shared" ref="F820:H820" si="1572">RAND()</f>
        <v>0.003092968271</v>
      </c>
      <c r="G820" s="134">
        <f t="shared" si="1572"/>
        <v>0.4391204303</v>
      </c>
      <c r="H820" s="134">
        <f t="shared" si="1572"/>
        <v>0.7919930235</v>
      </c>
      <c r="J820" s="135">
        <f t="shared" si="8"/>
        <v>290796130</v>
      </c>
      <c r="K820" s="136">
        <f>IF(J820&gt;0,MIN(99,$B$12*Q820/(J820*12*(1-Inputs!$H$16))),99)</f>
        <v>2.286423528</v>
      </c>
      <c r="L820" s="134">
        <f t="shared" si="9"/>
        <v>1.182503269</v>
      </c>
      <c r="M820" s="134">
        <f t="shared" si="10"/>
        <v>1.080082044</v>
      </c>
      <c r="N820" s="134">
        <f t="shared" si="11"/>
        <v>0.998648906</v>
      </c>
      <c r="O820" s="134">
        <f t="shared" si="12"/>
        <v>0.973521817</v>
      </c>
      <c r="P820" s="134">
        <f t="shared" si="13"/>
        <v>1.150605183</v>
      </c>
      <c r="Q820" s="134">
        <f t="shared" si="14"/>
        <v>1.222119811</v>
      </c>
    </row>
    <row r="821" ht="15.0" customHeight="1">
      <c r="A821" s="13">
        <v>782.0</v>
      </c>
      <c r="B821" s="134">
        <f t="shared" ref="B821:D821" si="1573">RAND()</f>
        <v>0.2040330263</v>
      </c>
      <c r="C821" s="134">
        <f t="shared" si="1573"/>
        <v>0.4863454744</v>
      </c>
      <c r="D821" s="134">
        <f t="shared" si="1573"/>
        <v>0.9759313781</v>
      </c>
      <c r="F821" s="134">
        <f t="shared" ref="F821:H821" si="1574">RAND()</f>
        <v>0.257628777</v>
      </c>
      <c r="G821" s="134">
        <f t="shared" si="1574"/>
        <v>0.1247087523</v>
      </c>
      <c r="H821" s="134">
        <f t="shared" si="1574"/>
        <v>0.4724882747</v>
      </c>
      <c r="J821" s="135">
        <f t="shared" si="8"/>
        <v>88226270.17</v>
      </c>
      <c r="K821" s="136">
        <f>IF(J821&gt;0,MIN(99,$B$12*Q821/(J821*12*(1-Inputs!$H$16))),99)</f>
        <v>6.65366584</v>
      </c>
      <c r="L821" s="134">
        <f t="shared" si="9"/>
        <v>0.9265048364</v>
      </c>
      <c r="M821" s="134">
        <f t="shared" si="10"/>
        <v>0.9664826641</v>
      </c>
      <c r="N821" s="134">
        <f t="shared" si="11"/>
        <v>1.072235319</v>
      </c>
      <c r="O821" s="134">
        <f t="shared" si="12"/>
        <v>1.003275835</v>
      </c>
      <c r="P821" s="134">
        <f t="shared" si="13"/>
        <v>0.9703194105</v>
      </c>
      <c r="Q821" s="134">
        <f t="shared" si="14"/>
        <v>1.079014763</v>
      </c>
    </row>
    <row r="822" ht="15.0" customHeight="1">
      <c r="A822" s="13">
        <v>783.0</v>
      </c>
      <c r="B822" s="134">
        <f t="shared" ref="B822:D822" si="1575">RAND()</f>
        <v>0.1243145113</v>
      </c>
      <c r="C822" s="134">
        <f t="shared" si="1575"/>
        <v>0.4134034842</v>
      </c>
      <c r="D822" s="134">
        <f t="shared" si="1575"/>
        <v>0.9895932055</v>
      </c>
      <c r="F822" s="134">
        <f t="shared" ref="F822:H822" si="1576">RAND()</f>
        <v>0.7191932114</v>
      </c>
      <c r="G822" s="134">
        <f t="shared" si="1576"/>
        <v>0.2863331099</v>
      </c>
      <c r="H822" s="134">
        <f t="shared" si="1576"/>
        <v>0.6712388458</v>
      </c>
      <c r="J822" s="135">
        <f t="shared" si="8"/>
        <v>55241698.17</v>
      </c>
      <c r="K822" s="136">
        <f>IF(J822&gt;0,MIN(99,$B$12*Q822/(J822*12*(1-Inputs!$H$16))),99)</f>
        <v>11.42411478</v>
      </c>
      <c r="L822" s="134">
        <f t="shared" si="9"/>
        <v>0.8932598094</v>
      </c>
      <c r="M822" s="134">
        <f t="shared" si="10"/>
        <v>0.9516092111</v>
      </c>
      <c r="N822" s="134">
        <f t="shared" si="11"/>
        <v>1.078451287</v>
      </c>
      <c r="O822" s="134">
        <f t="shared" si="12"/>
        <v>1.045068032</v>
      </c>
      <c r="P822" s="134">
        <f t="shared" si="13"/>
        <v>1.059441432</v>
      </c>
      <c r="Q822" s="134">
        <f t="shared" si="14"/>
        <v>1.160000189</v>
      </c>
    </row>
    <row r="823" ht="15.0" customHeight="1">
      <c r="A823" s="13">
        <v>784.0</v>
      </c>
      <c r="B823" s="134">
        <f t="shared" ref="B823:D823" si="1577">RAND()</f>
        <v>0.5568073623</v>
      </c>
      <c r="C823" s="134">
        <f t="shared" si="1577"/>
        <v>0.08509094252</v>
      </c>
      <c r="D823" s="134">
        <f t="shared" si="1577"/>
        <v>0.1465082139</v>
      </c>
      <c r="F823" s="134">
        <f t="shared" ref="F823:H823" si="1578">RAND()</f>
        <v>0.8656155236</v>
      </c>
      <c r="G823" s="134">
        <f t="shared" si="1578"/>
        <v>0.9512513456</v>
      </c>
      <c r="H823" s="134">
        <f t="shared" si="1578"/>
        <v>0.3027497412</v>
      </c>
      <c r="J823" s="135">
        <f t="shared" si="8"/>
        <v>142794006.4</v>
      </c>
      <c r="K823" s="136">
        <f>IF(J823&gt;0,MIN(99,$B$12*Q823/(J823*12*(1-Inputs!$H$16))),99)</f>
        <v>3.891659839</v>
      </c>
      <c r="L823" s="134">
        <f t="shared" si="9"/>
        <v>1.028141766</v>
      </c>
      <c r="M823" s="134">
        <f t="shared" si="10"/>
        <v>1.01181335</v>
      </c>
      <c r="N823" s="134">
        <f t="shared" si="11"/>
        <v>0.9757437351</v>
      </c>
      <c r="O823" s="134">
        <f t="shared" si="12"/>
        <v>1.065646418</v>
      </c>
      <c r="P823" s="134">
        <f t="shared" si="13"/>
        <v>1.652811898</v>
      </c>
      <c r="Q823" s="134">
        <f t="shared" si="14"/>
        <v>1.02144111</v>
      </c>
    </row>
    <row r="824" ht="15.0" customHeight="1">
      <c r="A824" s="13">
        <v>785.0</v>
      </c>
      <c r="B824" s="134">
        <f t="shared" ref="B824:D824" si="1579">RAND()</f>
        <v>0.4632261915</v>
      </c>
      <c r="C824" s="134">
        <f t="shared" si="1579"/>
        <v>0.5436082604</v>
      </c>
      <c r="D824" s="134">
        <f t="shared" si="1579"/>
        <v>0.08872427564</v>
      </c>
      <c r="F824" s="134">
        <f t="shared" ref="F824:H824" si="1580">RAND()</f>
        <v>0.8064701168</v>
      </c>
      <c r="G824" s="134">
        <f t="shared" si="1580"/>
        <v>0.3601695489</v>
      </c>
      <c r="H824" s="134">
        <f t="shared" si="1580"/>
        <v>0.9277373345</v>
      </c>
      <c r="J824" s="135">
        <f t="shared" si="8"/>
        <v>148953106.5</v>
      </c>
      <c r="K824" s="136">
        <f>IF(J824&gt;0,MIN(99,$B$12*Q824/(J824*12*(1-Inputs!$H$16))),99)</f>
        <v>4.82591925</v>
      </c>
      <c r="L824" s="134">
        <f t="shared" si="9"/>
        <v>1.003326669</v>
      </c>
      <c r="M824" s="134">
        <f t="shared" si="10"/>
        <v>1.000838501</v>
      </c>
      <c r="N824" s="134">
        <f t="shared" si="11"/>
        <v>0.9675790388</v>
      </c>
      <c r="O824" s="134">
        <f t="shared" si="12"/>
        <v>1.05640653</v>
      </c>
      <c r="P824" s="134">
        <f t="shared" si="13"/>
        <v>1.10213202</v>
      </c>
      <c r="Q824" s="134">
        <f t="shared" si="14"/>
        <v>1.321289845</v>
      </c>
    </row>
    <row r="825" ht="15.0" customHeight="1">
      <c r="A825" s="13">
        <v>786.0</v>
      </c>
      <c r="B825" s="134">
        <f t="shared" ref="B825:D825" si="1581">RAND()</f>
        <v>0.2666483809</v>
      </c>
      <c r="C825" s="134">
        <f t="shared" si="1581"/>
        <v>0.1062493056</v>
      </c>
      <c r="D825" s="134">
        <f t="shared" si="1581"/>
        <v>0.6228131422</v>
      </c>
      <c r="F825" s="134">
        <f t="shared" ref="F825:H825" si="1582">RAND()</f>
        <v>0.4481804072</v>
      </c>
      <c r="G825" s="134">
        <f t="shared" si="1582"/>
        <v>0.02329503137</v>
      </c>
      <c r="H825" s="134">
        <f t="shared" si="1582"/>
        <v>0.767848773</v>
      </c>
      <c r="J825" s="135">
        <f t="shared" si="8"/>
        <v>114362879.7</v>
      </c>
      <c r="K825" s="136">
        <f>IF(J825&gt;0,MIN(99,$B$12*Q825/(J825*12*(1-Inputs!$H$16))),99)</f>
        <v>5.748947562</v>
      </c>
      <c r="L825" s="134">
        <f t="shared" si="9"/>
        <v>0.9481991422</v>
      </c>
      <c r="M825" s="134">
        <f t="shared" si="10"/>
        <v>0.9761884537</v>
      </c>
      <c r="N825" s="134">
        <f t="shared" si="11"/>
        <v>1.018529606</v>
      </c>
      <c r="O825" s="134">
        <f t="shared" si="12"/>
        <v>1.018239498</v>
      </c>
      <c r="P825" s="134">
        <f t="shared" si="13"/>
        <v>0.8819517241</v>
      </c>
      <c r="Q825" s="134">
        <f t="shared" si="14"/>
        <v>1.2084868</v>
      </c>
    </row>
    <row r="826" ht="15.0" customHeight="1">
      <c r="A826" s="13">
        <v>787.0</v>
      </c>
      <c r="B826" s="134">
        <f t="shared" ref="B826:D826" si="1583">RAND()</f>
        <v>0.4060758707</v>
      </c>
      <c r="C826" s="134">
        <f t="shared" si="1583"/>
        <v>0.2255058282</v>
      </c>
      <c r="D826" s="134">
        <f t="shared" si="1583"/>
        <v>0.1429553838</v>
      </c>
      <c r="F826" s="134">
        <f t="shared" ref="F826:H826" si="1584">RAND()</f>
        <v>0.1458557573</v>
      </c>
      <c r="G826" s="134">
        <f t="shared" si="1584"/>
        <v>0.8259081836</v>
      </c>
      <c r="H826" s="134">
        <f t="shared" si="1584"/>
        <v>0.4812919596</v>
      </c>
      <c r="J826" s="135">
        <f t="shared" si="8"/>
        <v>133386518</v>
      </c>
      <c r="K826" s="136">
        <f>IF(J826&gt;0,MIN(99,$B$12*Q826/(J826*12*(1-Inputs!$H$16))),99)</f>
        <v>4.414101479</v>
      </c>
      <c r="L826" s="134">
        <f t="shared" si="9"/>
        <v>0.9887370708</v>
      </c>
      <c r="M826" s="134">
        <f t="shared" si="10"/>
        <v>0.9943246692</v>
      </c>
      <c r="N826" s="134">
        <f t="shared" si="11"/>
        <v>0.9752946644</v>
      </c>
      <c r="O826" s="134">
        <f t="shared" si="12"/>
        <v>0.9948554096</v>
      </c>
      <c r="P826" s="134">
        <f t="shared" si="13"/>
        <v>1.466001899</v>
      </c>
      <c r="Q826" s="134">
        <f t="shared" si="14"/>
        <v>1.082237878</v>
      </c>
    </row>
    <row r="827" ht="15.0" customHeight="1">
      <c r="A827" s="13">
        <v>788.0</v>
      </c>
      <c r="B827" s="134">
        <f t="shared" ref="B827:D827" si="1585">RAND()</f>
        <v>0.1920654106</v>
      </c>
      <c r="C827" s="134">
        <f t="shared" si="1585"/>
        <v>0.1583113375</v>
      </c>
      <c r="D827" s="134">
        <f t="shared" si="1585"/>
        <v>0.9368734638</v>
      </c>
      <c r="F827" s="134">
        <f t="shared" ref="F827:H827" si="1586">RAND()</f>
        <v>0.6759662744</v>
      </c>
      <c r="G827" s="134">
        <f t="shared" si="1586"/>
        <v>0.9970943975</v>
      </c>
      <c r="H827" s="134">
        <f t="shared" si="1586"/>
        <v>0.3797390451</v>
      </c>
      <c r="J827" s="135">
        <f t="shared" si="8"/>
        <v>49586658.19</v>
      </c>
      <c r="K827" s="136">
        <f>IF(J827&gt;0,MIN(99,$B$12*Q827/(J827*12*(1-Inputs!$H$16))),99)</f>
        <v>11.48245061</v>
      </c>
      <c r="L827" s="134">
        <f t="shared" si="9"/>
        <v>0.9219944172</v>
      </c>
      <c r="M827" s="134">
        <f t="shared" si="10"/>
        <v>0.964464753</v>
      </c>
      <c r="N827" s="134">
        <f t="shared" si="11"/>
        <v>1.060990325</v>
      </c>
      <c r="O827" s="134">
        <f t="shared" si="12"/>
        <v>1.040112963</v>
      </c>
      <c r="P827" s="134">
        <f t="shared" si="13"/>
        <v>1.811508172</v>
      </c>
      <c r="Q827" s="134">
        <f t="shared" si="14"/>
        <v>1.0465691</v>
      </c>
    </row>
    <row r="828" ht="15.0" customHeight="1">
      <c r="A828" s="13">
        <v>789.0</v>
      </c>
      <c r="B828" s="134">
        <f t="shared" ref="B828:D828" si="1587">RAND()</f>
        <v>0.9636666631</v>
      </c>
      <c r="C828" s="134">
        <f t="shared" si="1587"/>
        <v>0.4158832858</v>
      </c>
      <c r="D828" s="134">
        <f t="shared" si="1587"/>
        <v>0.173284037</v>
      </c>
      <c r="F828" s="134">
        <f t="shared" ref="F828:H828" si="1588">RAND()</f>
        <v>0.6020670151</v>
      </c>
      <c r="G828" s="134">
        <f t="shared" si="1588"/>
        <v>0.2302986837</v>
      </c>
      <c r="H828" s="134">
        <f t="shared" si="1588"/>
        <v>0.9373564589</v>
      </c>
      <c r="J828" s="135">
        <f t="shared" si="8"/>
        <v>308558517.7</v>
      </c>
      <c r="K828" s="136">
        <f>IF(J828&gt;0,MIN(99,$B$12*Q828/(J828*12*(1-Inputs!$H$16))),99)</f>
        <v>2.346960003</v>
      </c>
      <c r="L828" s="134">
        <f t="shared" si="9"/>
        <v>1.204318787</v>
      </c>
      <c r="M828" s="134">
        <f t="shared" si="10"/>
        <v>1.089730285</v>
      </c>
      <c r="N828" s="134">
        <f t="shared" si="11"/>
        <v>0.9789664323</v>
      </c>
      <c r="O828" s="134">
        <f t="shared" si="12"/>
        <v>1.032354238</v>
      </c>
      <c r="P828" s="134">
        <f t="shared" si="13"/>
        <v>1.028500292</v>
      </c>
      <c r="Q828" s="134">
        <f t="shared" si="14"/>
        <v>1.331103144</v>
      </c>
    </row>
    <row r="829" ht="15.0" customHeight="1">
      <c r="A829" s="13">
        <v>790.0</v>
      </c>
      <c r="B829" s="134">
        <f t="shared" ref="B829:D829" si="1589">RAND()</f>
        <v>0.2135925783</v>
      </c>
      <c r="C829" s="134">
        <f t="shared" si="1589"/>
        <v>0.7076649734</v>
      </c>
      <c r="D829" s="134">
        <f t="shared" si="1589"/>
        <v>0.5581005625</v>
      </c>
      <c r="F829" s="134">
        <f t="shared" ref="F829:H829" si="1590">RAND()</f>
        <v>0.7565449872</v>
      </c>
      <c r="G829" s="134">
        <f t="shared" si="1590"/>
        <v>0.2675432293</v>
      </c>
      <c r="H829" s="134">
        <f t="shared" si="1590"/>
        <v>0.8931607712</v>
      </c>
      <c r="J829" s="135">
        <f t="shared" si="8"/>
        <v>91747147.84</v>
      </c>
      <c r="K829" s="136">
        <f>IF(J829&gt;0,MIN(99,$B$12*Q829/(J829*12*(1-Inputs!$H$16))),99)</f>
        <v>7.652683542</v>
      </c>
      <c r="L829" s="134">
        <f t="shared" si="9"/>
        <v>0.9300134351</v>
      </c>
      <c r="M829" s="134">
        <f t="shared" si="10"/>
        <v>0.9680523719</v>
      </c>
      <c r="N829" s="134">
        <f t="shared" si="11"/>
        <v>1.012609324</v>
      </c>
      <c r="O829" s="134">
        <f t="shared" si="12"/>
        <v>1.049666902</v>
      </c>
      <c r="P829" s="134">
        <f t="shared" si="13"/>
        <v>1.048934914</v>
      </c>
      <c r="Q829" s="134">
        <f t="shared" si="14"/>
        <v>1.290549919</v>
      </c>
    </row>
    <row r="830" ht="15.0" customHeight="1">
      <c r="A830" s="13">
        <v>791.0</v>
      </c>
      <c r="B830" s="134">
        <f t="shared" ref="B830:D830" si="1591">RAND()</f>
        <v>0.9046435248</v>
      </c>
      <c r="C830" s="134">
        <f t="shared" si="1591"/>
        <v>0.4841633566</v>
      </c>
      <c r="D830" s="134">
        <f t="shared" si="1591"/>
        <v>0.000606930999</v>
      </c>
      <c r="F830" s="134">
        <f t="shared" ref="F830:H830" si="1592">RAND()</f>
        <v>0.6813314139</v>
      </c>
      <c r="G830" s="134">
        <f t="shared" si="1592"/>
        <v>0.8741653722</v>
      </c>
      <c r="H830" s="134">
        <f t="shared" si="1592"/>
        <v>0.2628067698</v>
      </c>
      <c r="J830" s="135">
        <f t="shared" si="8"/>
        <v>261990398.9</v>
      </c>
      <c r="K830" s="136">
        <f>IF(J830&gt;0,MIN(99,$B$12*Q830/(J830*12*(1-Inputs!$H$16))),99)</f>
        <v>2.095155682</v>
      </c>
      <c r="L830" s="134">
        <f t="shared" si="9"/>
        <v>1.160494475</v>
      </c>
      <c r="M830" s="134">
        <f t="shared" si="10"/>
        <v>1.070348324</v>
      </c>
      <c r="N830" s="134">
        <f t="shared" si="11"/>
        <v>0.9413022185</v>
      </c>
      <c r="O830" s="134">
        <f t="shared" si="12"/>
        <v>1.040709198</v>
      </c>
      <c r="P830" s="134">
        <f t="shared" si="13"/>
        <v>1.525445101</v>
      </c>
      <c r="Q830" s="134">
        <f t="shared" si="14"/>
        <v>1.008951189</v>
      </c>
    </row>
    <row r="831" ht="15.0" customHeight="1">
      <c r="A831" s="13">
        <v>792.0</v>
      </c>
      <c r="B831" s="134">
        <f t="shared" ref="B831:D831" si="1593">RAND()</f>
        <v>0.7959610021</v>
      </c>
      <c r="C831" s="134">
        <f t="shared" si="1593"/>
        <v>0.572606424</v>
      </c>
      <c r="D831" s="134">
        <f t="shared" si="1593"/>
        <v>0.6075347061</v>
      </c>
      <c r="F831" s="134">
        <f t="shared" ref="F831:H831" si="1594">RAND()</f>
        <v>0.1858551391</v>
      </c>
      <c r="G831" s="134">
        <f t="shared" si="1594"/>
        <v>0.7429543309</v>
      </c>
      <c r="H831" s="134">
        <f t="shared" si="1594"/>
        <v>0.8997258136</v>
      </c>
      <c r="J831" s="135">
        <f t="shared" si="8"/>
        <v>214241447</v>
      </c>
      <c r="K831" s="136">
        <f>IF(J831&gt;0,MIN(99,$B$12*Q831/(J831*12*(1-Inputs!$H$16))),99)</f>
        <v>3.290918545</v>
      </c>
      <c r="L831" s="134">
        <f t="shared" si="9"/>
        <v>1.10750265</v>
      </c>
      <c r="M831" s="134">
        <f t="shared" si="10"/>
        <v>1.046911894</v>
      </c>
      <c r="N831" s="134">
        <f t="shared" si="11"/>
        <v>1.017088712</v>
      </c>
      <c r="O831" s="134">
        <f t="shared" si="12"/>
        <v>0.9980720618</v>
      </c>
      <c r="P831" s="134">
        <f t="shared" si="13"/>
        <v>1.380653528</v>
      </c>
      <c r="Q831" s="134">
        <f t="shared" si="14"/>
        <v>1.29595257</v>
      </c>
    </row>
    <row r="832" ht="15.0" customHeight="1">
      <c r="A832" s="13">
        <v>793.0</v>
      </c>
      <c r="B832" s="134">
        <f t="shared" ref="B832:D832" si="1595">RAND()</f>
        <v>0.09096389747</v>
      </c>
      <c r="C832" s="134">
        <f t="shared" si="1595"/>
        <v>0.7733049033</v>
      </c>
      <c r="D832" s="134">
        <f t="shared" si="1595"/>
        <v>0.6045335043</v>
      </c>
      <c r="F832" s="134">
        <f t="shared" ref="F832:H832" si="1596">RAND()</f>
        <v>0.8848641774</v>
      </c>
      <c r="G832" s="134">
        <f t="shared" si="1596"/>
        <v>0.2471909164</v>
      </c>
      <c r="H832" s="134">
        <f t="shared" si="1596"/>
        <v>0.5441922534</v>
      </c>
      <c r="J832" s="135">
        <f t="shared" si="8"/>
        <v>52915069.53</v>
      </c>
      <c r="K832" s="136">
        <f>IF(J832&gt;0,MIN(99,$B$12*Q832/(J832*12*(1-Inputs!$H$16))),99)</f>
        <v>11.37236367</v>
      </c>
      <c r="L832" s="134">
        <f t="shared" si="9"/>
        <v>0.876160459</v>
      </c>
      <c r="M832" s="134">
        <f t="shared" si="10"/>
        <v>0.9439591532</v>
      </c>
      <c r="N832" s="134">
        <f t="shared" si="11"/>
        <v>1.016808988</v>
      </c>
      <c r="O832" s="134">
        <f t="shared" si="12"/>
        <v>1.069082069</v>
      </c>
      <c r="P832" s="134">
        <f t="shared" si="13"/>
        <v>1.037705678</v>
      </c>
      <c r="Q832" s="134">
        <f t="shared" si="14"/>
        <v>1.106110695</v>
      </c>
    </row>
    <row r="833" ht="15.0" customHeight="1">
      <c r="A833" s="13">
        <v>794.0</v>
      </c>
      <c r="B833" s="134">
        <f t="shared" ref="B833:D833" si="1597">RAND()</f>
        <v>0.3985515127</v>
      </c>
      <c r="C833" s="134">
        <f t="shared" si="1597"/>
        <v>0.9792977099</v>
      </c>
      <c r="D833" s="134">
        <f t="shared" si="1597"/>
        <v>0.2266695773</v>
      </c>
      <c r="F833" s="134">
        <f t="shared" ref="F833:H833" si="1598">RAND()</f>
        <v>0.770351621</v>
      </c>
      <c r="G833" s="134">
        <f t="shared" si="1598"/>
        <v>0.4247125316</v>
      </c>
      <c r="H833" s="134">
        <f t="shared" si="1598"/>
        <v>0.3235984377</v>
      </c>
      <c r="J833" s="135">
        <f t="shared" si="8"/>
        <v>132781570.5</v>
      </c>
      <c r="K833" s="136">
        <f>IF(J833&gt;0,MIN(99,$B$12*Q833/(J833*12*(1-Inputs!$H$16))),99)</f>
        <v>4.212405577</v>
      </c>
      <c r="L833" s="134">
        <f t="shared" si="9"/>
        <v>0.9867475978</v>
      </c>
      <c r="M833" s="134">
        <f t="shared" si="10"/>
        <v>0.9934346013</v>
      </c>
      <c r="N833" s="134">
        <f t="shared" si="11"/>
        <v>0.9847197934</v>
      </c>
      <c r="O833" s="134">
        <f t="shared" si="12"/>
        <v>1.051455422</v>
      </c>
      <c r="P833" s="134">
        <f t="shared" si="13"/>
        <v>1.141516172</v>
      </c>
      <c r="Q833" s="134">
        <f t="shared" si="14"/>
        <v>1.028102609</v>
      </c>
    </row>
    <row r="834" ht="15.0" customHeight="1">
      <c r="A834" s="13">
        <v>795.0</v>
      </c>
      <c r="B834" s="134">
        <f t="shared" ref="B834:D834" si="1599">RAND()</f>
        <v>0.3248214189</v>
      </c>
      <c r="C834" s="134">
        <f t="shared" si="1599"/>
        <v>0.5919458553</v>
      </c>
      <c r="D834" s="134">
        <f t="shared" si="1599"/>
        <v>0.7810458169</v>
      </c>
      <c r="F834" s="134">
        <f t="shared" ref="F834:H834" si="1600">RAND()</f>
        <v>0.3523921874</v>
      </c>
      <c r="G834" s="134">
        <f t="shared" si="1600"/>
        <v>0.2933249569</v>
      </c>
      <c r="H834" s="134">
        <f t="shared" si="1600"/>
        <v>0.3423485362</v>
      </c>
      <c r="J834" s="135">
        <f t="shared" si="8"/>
        <v>117536500.5</v>
      </c>
      <c r="K834" s="136">
        <f>IF(J834&gt;0,MIN(99,$B$12*Q834/(J834*12*(1-Inputs!$H$16))),99)</f>
        <v>4.786914365</v>
      </c>
      <c r="L834" s="134">
        <f t="shared" si="9"/>
        <v>0.9661606906</v>
      </c>
      <c r="M834" s="134">
        <f t="shared" si="10"/>
        <v>0.9842242494</v>
      </c>
      <c r="N834" s="134">
        <f t="shared" si="11"/>
        <v>1.03563883</v>
      </c>
      <c r="O834" s="134">
        <f t="shared" si="12"/>
        <v>1.010441016</v>
      </c>
      <c r="P834" s="134">
        <f t="shared" si="13"/>
        <v>1.063386234</v>
      </c>
      <c r="Q834" s="134">
        <f t="shared" si="14"/>
        <v>1.034181812</v>
      </c>
    </row>
    <row r="835" ht="15.0" customHeight="1">
      <c r="A835" s="13">
        <v>796.0</v>
      </c>
      <c r="B835" s="134">
        <f t="shared" ref="B835:D835" si="1601">RAND()</f>
        <v>0.5016511574</v>
      </c>
      <c r="C835" s="134">
        <f t="shared" si="1601"/>
        <v>0.4720503276</v>
      </c>
      <c r="D835" s="134">
        <f t="shared" si="1601"/>
        <v>0.9659443593</v>
      </c>
      <c r="F835" s="134">
        <f t="shared" ref="F835:H835" si="1602">RAND()</f>
        <v>0.2180140238</v>
      </c>
      <c r="G835" s="134">
        <f t="shared" si="1602"/>
        <v>0.1958594853</v>
      </c>
      <c r="H835" s="134">
        <f t="shared" si="1602"/>
        <v>0.8140934039</v>
      </c>
      <c r="J835" s="135">
        <f t="shared" si="8"/>
        <v>146846673.7</v>
      </c>
      <c r="K835" s="136">
        <f>IF(J835&gt;0,MIN(99,$B$12*Q835/(J835*12*(1-Inputs!$H$16))),99)</f>
        <v>4.576608583</v>
      </c>
      <c r="L835" s="134">
        <f t="shared" si="9"/>
        <v>1.013231083</v>
      </c>
      <c r="M835" s="134">
        <f t="shared" si="10"/>
        <v>1.005218877</v>
      </c>
      <c r="N835" s="134">
        <f t="shared" si="11"/>
        <v>1.068795333</v>
      </c>
      <c r="O835" s="134">
        <f t="shared" si="12"/>
        <v>1.000417007</v>
      </c>
      <c r="P835" s="134">
        <f t="shared" si="13"/>
        <v>1.010040499</v>
      </c>
      <c r="Q835" s="134">
        <f t="shared" si="14"/>
        <v>1.235311162</v>
      </c>
    </row>
    <row r="836" ht="15.0" customHeight="1">
      <c r="A836" s="13">
        <v>797.0</v>
      </c>
      <c r="B836" s="134">
        <f t="shared" ref="B836:D836" si="1603">RAND()</f>
        <v>0.6559516822</v>
      </c>
      <c r="C836" s="134">
        <f t="shared" si="1603"/>
        <v>0.3294693273</v>
      </c>
      <c r="D836" s="134">
        <f t="shared" si="1603"/>
        <v>0.5578523888</v>
      </c>
      <c r="F836" s="134">
        <f t="shared" ref="F836:H836" si="1604">RAND()</f>
        <v>0.8586523833</v>
      </c>
      <c r="G836" s="134">
        <f t="shared" si="1604"/>
        <v>0.823239301</v>
      </c>
      <c r="H836" s="134">
        <f t="shared" si="1604"/>
        <v>0.675201748</v>
      </c>
      <c r="J836" s="135">
        <f t="shared" si="8"/>
        <v>163461454.8</v>
      </c>
      <c r="K836" s="136">
        <f>IF(J836&gt;0,MIN(99,$B$12*Q836/(J836*12*(1-Inputs!$H$16))),99)</f>
        <v>3.8668821</v>
      </c>
      <c r="L836" s="134">
        <f t="shared" si="9"/>
        <v>1.057499095</v>
      </c>
      <c r="M836" s="134">
        <f t="shared" si="10"/>
        <v>1.02479707</v>
      </c>
      <c r="N836" s="134">
        <f t="shared" si="11"/>
        <v>1.012587487</v>
      </c>
      <c r="O836" s="134">
        <f t="shared" si="12"/>
        <v>1.064464917</v>
      </c>
      <c r="P836" s="134">
        <f t="shared" si="13"/>
        <v>1.462972205</v>
      </c>
      <c r="Q836" s="134">
        <f t="shared" si="14"/>
        <v>1.161835847</v>
      </c>
    </row>
    <row r="837" ht="15.0" customHeight="1">
      <c r="A837" s="13">
        <v>798.0</v>
      </c>
      <c r="B837" s="134">
        <f t="shared" ref="B837:D837" si="1605">RAND()</f>
        <v>0.6444885005</v>
      </c>
      <c r="C837" s="134">
        <f t="shared" si="1605"/>
        <v>0.5081909466</v>
      </c>
      <c r="D837" s="134">
        <f t="shared" si="1605"/>
        <v>0.5209160563</v>
      </c>
      <c r="F837" s="134">
        <f t="shared" ref="F837:H837" si="1606">RAND()</f>
        <v>0.4999603414</v>
      </c>
      <c r="G837" s="134">
        <f t="shared" si="1606"/>
        <v>0.5825665159</v>
      </c>
      <c r="H837" s="134">
        <f t="shared" si="1606"/>
        <v>0.3623342317</v>
      </c>
      <c r="J837" s="135">
        <f t="shared" si="8"/>
        <v>176601756.5</v>
      </c>
      <c r="K837" s="136">
        <f>IF(J837&gt;0,MIN(99,$B$12*Q837/(J837*12*(1-Inputs!$H$16))),99)</f>
        <v>3.20616735</v>
      </c>
      <c r="L837" s="134">
        <f t="shared" si="9"/>
        <v>1.05390538</v>
      </c>
      <c r="M837" s="134">
        <f t="shared" si="10"/>
        <v>1.023207696</v>
      </c>
      <c r="N837" s="134">
        <f t="shared" si="11"/>
        <v>1.009403029</v>
      </c>
      <c r="O837" s="134">
        <f t="shared" si="12"/>
        <v>1.022738873</v>
      </c>
      <c r="P837" s="134">
        <f t="shared" si="13"/>
        <v>1.248386252</v>
      </c>
      <c r="Q837" s="134">
        <f t="shared" si="14"/>
        <v>1.040757831</v>
      </c>
    </row>
    <row r="838" ht="15.0" customHeight="1">
      <c r="A838" s="13">
        <v>799.0</v>
      </c>
      <c r="B838" s="134">
        <f t="shared" ref="B838:D838" si="1607">RAND()</f>
        <v>0.9236311631</v>
      </c>
      <c r="C838" s="134">
        <f t="shared" si="1607"/>
        <v>0.8255586884</v>
      </c>
      <c r="D838" s="134">
        <f t="shared" si="1607"/>
        <v>0.0212942164</v>
      </c>
      <c r="F838" s="134">
        <f t="shared" ref="F838:H838" si="1608">RAND()</f>
        <v>0.3165552189</v>
      </c>
      <c r="G838" s="134">
        <f t="shared" si="1608"/>
        <v>0.5173916087</v>
      </c>
      <c r="H838" s="134">
        <f t="shared" si="1608"/>
        <v>0.9647362769</v>
      </c>
      <c r="J838" s="135">
        <f t="shared" si="8"/>
        <v>286593421.7</v>
      </c>
      <c r="K838" s="136">
        <f>IF(J838&gt;0,MIN(99,$B$12*Q838/(J838*12*(1-Inputs!$H$16))),99)</f>
        <v>2.589668042</v>
      </c>
      <c r="L838" s="134">
        <f t="shared" si="9"/>
        <v>1.172527003</v>
      </c>
      <c r="M838" s="134">
        <f t="shared" si="10"/>
        <v>1.075669891</v>
      </c>
      <c r="N838" s="134">
        <f t="shared" si="11"/>
        <v>0.9529667403</v>
      </c>
      <c r="O838" s="134">
        <f t="shared" si="12"/>
        <v>1.007673368</v>
      </c>
      <c r="P838" s="134">
        <f t="shared" si="13"/>
        <v>1.202162771</v>
      </c>
      <c r="Q838" s="134">
        <f t="shared" si="14"/>
        <v>1.364202359</v>
      </c>
    </row>
    <row r="839" ht="15.0" customHeight="1">
      <c r="A839" s="13">
        <v>800.0</v>
      </c>
      <c r="B839" s="134">
        <f t="shared" ref="B839:D839" si="1609">RAND()</f>
        <v>0.5146734045</v>
      </c>
      <c r="C839" s="134">
        <f t="shared" si="1609"/>
        <v>0.859119717</v>
      </c>
      <c r="D839" s="134">
        <f t="shared" si="1609"/>
        <v>0.8488098924</v>
      </c>
      <c r="F839" s="134">
        <f t="shared" ref="F839:H839" si="1610">RAND()</f>
        <v>0.06805231108</v>
      </c>
      <c r="G839" s="134">
        <f t="shared" si="1610"/>
        <v>0.08067245296</v>
      </c>
      <c r="H839" s="134">
        <f t="shared" si="1610"/>
        <v>0.007539980551</v>
      </c>
      <c r="J839" s="135">
        <f t="shared" si="8"/>
        <v>159395631.2</v>
      </c>
      <c r="K839" s="136">
        <f>IF(J839&gt;0,MIN(99,$B$12*Q839/(J839*12*(1-Inputs!$H$16))),99)</f>
        <v>3.017703424</v>
      </c>
      <c r="L839" s="134">
        <f t="shared" si="9"/>
        <v>1.016673836</v>
      </c>
      <c r="M839" s="134">
        <f t="shared" si="10"/>
        <v>1.006741486</v>
      </c>
      <c r="N839" s="134">
        <f t="shared" si="11"/>
        <v>1.044892961</v>
      </c>
      <c r="O839" s="134">
        <f t="shared" si="12"/>
        <v>0.9869415363</v>
      </c>
      <c r="P839" s="134">
        <f t="shared" si="13"/>
        <v>0.9398612433</v>
      </c>
      <c r="Q839" s="134">
        <f t="shared" si="14"/>
        <v>0.8841408375</v>
      </c>
    </row>
    <row r="840" ht="15.0" customHeight="1">
      <c r="A840" s="13">
        <v>801.0</v>
      </c>
      <c r="B840" s="134">
        <f t="shared" ref="B840:D840" si="1611">RAND()</f>
        <v>0.6350772697</v>
      </c>
      <c r="C840" s="134">
        <f t="shared" si="1611"/>
        <v>0.5872360894</v>
      </c>
      <c r="D840" s="134">
        <f t="shared" si="1611"/>
        <v>0.1947490761</v>
      </c>
      <c r="F840" s="134">
        <f t="shared" ref="F840:H840" si="1612">RAND()</f>
        <v>0.8420746171</v>
      </c>
      <c r="G840" s="134">
        <f t="shared" si="1612"/>
        <v>0.1705381671</v>
      </c>
      <c r="H840" s="134">
        <f t="shared" si="1612"/>
        <v>0.1879106003</v>
      </c>
      <c r="J840" s="135">
        <f t="shared" si="8"/>
        <v>183793150.1</v>
      </c>
      <c r="K840" s="136">
        <f>IF(J840&gt;0,MIN(99,$B$12*Q840/(J840*12*(1-Inputs!$H$16))),99)</f>
        <v>2.917046473</v>
      </c>
      <c r="L840" s="134">
        <f t="shared" si="9"/>
        <v>1.050998046</v>
      </c>
      <c r="M840" s="134">
        <f t="shared" si="10"/>
        <v>1.021921884</v>
      </c>
      <c r="N840" s="134">
        <f t="shared" si="11"/>
        <v>0.981373577</v>
      </c>
      <c r="O840" s="134">
        <f t="shared" si="12"/>
        <v>1.061764089</v>
      </c>
      <c r="P840" s="134">
        <f t="shared" si="13"/>
        <v>0.9966830307</v>
      </c>
      <c r="Q840" s="134">
        <f t="shared" si="14"/>
        <v>0.9854648785</v>
      </c>
    </row>
    <row r="841" ht="15.0" customHeight="1">
      <c r="A841" s="13">
        <v>802.0</v>
      </c>
      <c r="B841" s="134">
        <f t="shared" ref="B841:D841" si="1613">RAND()</f>
        <v>0.6400534037</v>
      </c>
      <c r="C841" s="134">
        <f t="shared" si="1613"/>
        <v>0.6490454397</v>
      </c>
      <c r="D841" s="134">
        <f t="shared" si="1613"/>
        <v>0.6221303623</v>
      </c>
      <c r="F841" s="134">
        <f t="shared" ref="F841:H841" si="1614">RAND()</f>
        <v>0.1675999976</v>
      </c>
      <c r="G841" s="134">
        <f t="shared" si="1614"/>
        <v>0.03854487954</v>
      </c>
      <c r="H841" s="134">
        <f t="shared" si="1614"/>
        <v>0.1585776797</v>
      </c>
      <c r="J841" s="135">
        <f t="shared" si="8"/>
        <v>191004099.4</v>
      </c>
      <c r="K841" s="136">
        <f>IF(J841&gt;0,MIN(99,$B$12*Q841/(J841*12*(1-Inputs!$H$16))),99)</f>
        <v>2.77755723</v>
      </c>
      <c r="L841" s="134">
        <f t="shared" si="9"/>
        <v>1.052530548</v>
      </c>
      <c r="M841" s="134">
        <f t="shared" si="10"/>
        <v>1.022599656</v>
      </c>
      <c r="N841" s="134">
        <f t="shared" si="11"/>
        <v>1.018464598</v>
      </c>
      <c r="O841" s="134">
        <f t="shared" si="12"/>
        <v>0.9966520237</v>
      </c>
      <c r="P841" s="134">
        <f t="shared" si="13"/>
        <v>0.9012111695</v>
      </c>
      <c r="Q841" s="134">
        <f t="shared" si="14"/>
        <v>0.9751561984</v>
      </c>
    </row>
    <row r="842" ht="15.0" customHeight="1">
      <c r="A842" s="13">
        <v>803.0</v>
      </c>
      <c r="B842" s="134">
        <f t="shared" ref="B842:D842" si="1615">RAND()</f>
        <v>0.1279691443</v>
      </c>
      <c r="C842" s="134">
        <f t="shared" si="1615"/>
        <v>0.2584562063</v>
      </c>
      <c r="D842" s="134">
        <f t="shared" si="1615"/>
        <v>0.02724674822</v>
      </c>
      <c r="F842" s="134">
        <f t="shared" ref="F842:H842" si="1616">RAND()</f>
        <v>0.102006568</v>
      </c>
      <c r="G842" s="134">
        <f t="shared" si="1616"/>
        <v>0.3825572503</v>
      </c>
      <c r="H842" s="134">
        <f t="shared" si="1616"/>
        <v>0.553890035</v>
      </c>
      <c r="J842" s="135">
        <f t="shared" si="8"/>
        <v>87093471.97</v>
      </c>
      <c r="K842" s="136">
        <f>IF(J842&gt;0,MIN(99,$B$12*Q842/(J842*12*(1-Inputs!$H$16))),99)</f>
        <v>6.933353269</v>
      </c>
      <c r="L842" s="134">
        <f t="shared" si="9"/>
        <v>0.8949855355</v>
      </c>
      <c r="M842" s="134">
        <f t="shared" si="10"/>
        <v>0.9523812817</v>
      </c>
      <c r="N842" s="134">
        <f t="shared" si="11"/>
        <v>0.9548075021</v>
      </c>
      <c r="O842" s="134">
        <f t="shared" si="12"/>
        <v>0.9907673936</v>
      </c>
      <c r="P842" s="134">
        <f t="shared" si="13"/>
        <v>1.115557822</v>
      </c>
      <c r="Q842" s="134">
        <f t="shared" si="14"/>
        <v>1.109934662</v>
      </c>
    </row>
    <row r="843" ht="15.0" customHeight="1">
      <c r="A843" s="13">
        <v>804.0</v>
      </c>
      <c r="B843" s="134">
        <f t="shared" ref="B843:D843" si="1617">RAND()</f>
        <v>0.8562867861</v>
      </c>
      <c r="C843" s="134">
        <f t="shared" si="1617"/>
        <v>0.04693715447</v>
      </c>
      <c r="D843" s="134">
        <f t="shared" si="1617"/>
        <v>0.9874631571</v>
      </c>
      <c r="F843" s="134">
        <f t="shared" ref="F843:H843" si="1618">RAND()</f>
        <v>0.5887382268</v>
      </c>
      <c r="G843" s="134">
        <f t="shared" si="1618"/>
        <v>0.5506322775</v>
      </c>
      <c r="H843" s="134">
        <f t="shared" si="1618"/>
        <v>0.1437926663</v>
      </c>
      <c r="J843" s="135">
        <f t="shared" si="8"/>
        <v>220752769.6</v>
      </c>
      <c r="K843" s="136">
        <f>IF(J843&gt;0,MIN(99,$B$12*Q843/(J843*12*(1-Inputs!$H$16))),99)</f>
        <v>2.389553633</v>
      </c>
      <c r="L843" s="134">
        <f t="shared" si="9"/>
        <v>1.134427716</v>
      </c>
      <c r="M843" s="134">
        <f t="shared" si="10"/>
        <v>1.058819909</v>
      </c>
      <c r="N843" s="134">
        <f t="shared" si="11"/>
        <v>1.077286607</v>
      </c>
      <c r="O843" s="134">
        <f t="shared" si="12"/>
        <v>1.031034108</v>
      </c>
      <c r="P843" s="134">
        <f t="shared" si="13"/>
        <v>1.225318839</v>
      </c>
      <c r="Q843" s="134">
        <f t="shared" si="14"/>
        <v>0.9695973612</v>
      </c>
    </row>
    <row r="844" ht="15.0" customHeight="1">
      <c r="A844" s="13">
        <v>805.0</v>
      </c>
      <c r="B844" s="134">
        <f t="shared" ref="B844:D844" si="1619">RAND()</f>
        <v>0.3616634124</v>
      </c>
      <c r="C844" s="134">
        <f t="shared" si="1619"/>
        <v>0.2547768078</v>
      </c>
      <c r="D844" s="134">
        <f t="shared" si="1619"/>
        <v>0.05967769007</v>
      </c>
      <c r="F844" s="134">
        <f t="shared" ref="F844:H844" si="1620">RAND()</f>
        <v>0.06625510125</v>
      </c>
      <c r="G844" s="134">
        <f t="shared" si="1620"/>
        <v>0.08343079095</v>
      </c>
      <c r="H844" s="134">
        <f t="shared" si="1620"/>
        <v>0.8860482039</v>
      </c>
      <c r="J844" s="135">
        <f t="shared" si="8"/>
        <v>148731957.9</v>
      </c>
      <c r="K844" s="136">
        <f>IF(J844&gt;0,MIN(99,$B$12*Q844/(J844*12*(1-Inputs!$H$16))),99)</f>
        <v>4.699915866</v>
      </c>
      <c r="L844" s="134">
        <f t="shared" si="9"/>
        <v>0.97671052</v>
      </c>
      <c r="M844" s="134">
        <f t="shared" si="10"/>
        <v>0.988944125</v>
      </c>
      <c r="N844" s="134">
        <f t="shared" si="11"/>
        <v>0.9624265795</v>
      </c>
      <c r="O844" s="134">
        <f t="shared" si="12"/>
        <v>0.9867148133</v>
      </c>
      <c r="P844" s="134">
        <f t="shared" si="13"/>
        <v>0.9419832056</v>
      </c>
      <c r="Q844" s="134">
        <f t="shared" si="14"/>
        <v>1.28488086</v>
      </c>
    </row>
    <row r="845" ht="15.0" customHeight="1">
      <c r="A845" s="13">
        <v>806.0</v>
      </c>
      <c r="B845" s="134">
        <f t="shared" ref="B845:D845" si="1621">RAND()</f>
        <v>0.3404100586</v>
      </c>
      <c r="C845" s="134">
        <f t="shared" si="1621"/>
        <v>0.9817577442</v>
      </c>
      <c r="D845" s="134">
        <f t="shared" si="1621"/>
        <v>0.2052988064</v>
      </c>
      <c r="F845" s="134">
        <f t="shared" ref="F845:H845" si="1622">RAND()</f>
        <v>0.5765471006</v>
      </c>
      <c r="G845" s="134">
        <f t="shared" si="1622"/>
        <v>0.4769962977</v>
      </c>
      <c r="H845" s="134">
        <f t="shared" si="1622"/>
        <v>0.06310145936</v>
      </c>
      <c r="J845" s="135">
        <f t="shared" si="8"/>
        <v>124289775.5</v>
      </c>
      <c r="K845" s="136">
        <f>IF(J845&gt;0,MIN(99,$B$12*Q845/(J845*12*(1-Inputs!$H$16))),99)</f>
        <v>4.080353166</v>
      </c>
      <c r="L845" s="134">
        <f t="shared" si="9"/>
        <v>0.9706939743</v>
      </c>
      <c r="M845" s="134">
        <f t="shared" si="10"/>
        <v>0.9862523898</v>
      </c>
      <c r="N845" s="134">
        <f t="shared" si="11"/>
        <v>0.9825079404</v>
      </c>
      <c r="O845" s="134">
        <f t="shared" si="12"/>
        <v>1.029845265</v>
      </c>
      <c r="P845" s="134">
        <f t="shared" si="13"/>
        <v>1.175071355</v>
      </c>
      <c r="Q845" s="134">
        <f t="shared" si="14"/>
        <v>0.932183988</v>
      </c>
    </row>
    <row r="846" ht="15.0" customHeight="1">
      <c r="A846" s="13">
        <v>807.0</v>
      </c>
      <c r="B846" s="134">
        <f t="shared" ref="B846:D846" si="1623">RAND()</f>
        <v>0.9272277041</v>
      </c>
      <c r="C846" s="134">
        <f t="shared" si="1623"/>
        <v>0.28880275</v>
      </c>
      <c r="D846" s="134">
        <f t="shared" si="1623"/>
        <v>0.857405835</v>
      </c>
      <c r="F846" s="134">
        <f t="shared" ref="F846:H846" si="1624">RAND()</f>
        <v>0.6566078418</v>
      </c>
      <c r="G846" s="134">
        <f t="shared" si="1624"/>
        <v>0.640038611</v>
      </c>
      <c r="H846" s="134">
        <f t="shared" si="1624"/>
        <v>0.3771217427</v>
      </c>
      <c r="J846" s="135">
        <f t="shared" si="8"/>
        <v>256550928.7</v>
      </c>
      <c r="K846" s="136">
        <f>IF(J846&gt;0,MIN(99,$B$12*Q846/(J846*12*(1-Inputs!$H$16))),99)</f>
        <v>2.217486088</v>
      </c>
      <c r="L846" s="134">
        <f t="shared" si="9"/>
        <v>1.174969051</v>
      </c>
      <c r="M846" s="134">
        <f t="shared" si="10"/>
        <v>1.076749923</v>
      </c>
      <c r="N846" s="134">
        <f t="shared" si="11"/>
        <v>1.046205175</v>
      </c>
      <c r="O846" s="134">
        <f t="shared" si="12"/>
        <v>1.038001652</v>
      </c>
      <c r="P846" s="134">
        <f t="shared" si="13"/>
        <v>1.292245569</v>
      </c>
      <c r="Q846" s="134">
        <f t="shared" si="14"/>
        <v>1.045690051</v>
      </c>
    </row>
    <row r="847" ht="15.0" customHeight="1">
      <c r="A847" s="13">
        <v>808.0</v>
      </c>
      <c r="B847" s="134">
        <f t="shared" ref="B847:D847" si="1625">RAND()</f>
        <v>0.3867592453</v>
      </c>
      <c r="C847" s="134">
        <f t="shared" si="1625"/>
        <v>0.3629574309</v>
      </c>
      <c r="D847" s="134">
        <f t="shared" si="1625"/>
        <v>0.3500754385</v>
      </c>
      <c r="F847" s="134">
        <f t="shared" ref="F847:H847" si="1626">RAND()</f>
        <v>0.4804352773</v>
      </c>
      <c r="G847" s="134">
        <f t="shared" si="1626"/>
        <v>0.5872668378</v>
      </c>
      <c r="H847" s="134">
        <f t="shared" si="1626"/>
        <v>0.6878134715</v>
      </c>
      <c r="J847" s="135">
        <f t="shared" si="8"/>
        <v>129109709.9</v>
      </c>
      <c r="K847" s="136">
        <f>IF(J847&gt;0,MIN(99,$B$12*Q847/(J847*12*(1-Inputs!$H$16))),99)</f>
        <v>4.920664943</v>
      </c>
      <c r="L847" s="134">
        <f t="shared" si="9"/>
        <v>0.9835915029</v>
      </c>
      <c r="M847" s="134">
        <f t="shared" si="10"/>
        <v>0.9920225997</v>
      </c>
      <c r="N847" s="134">
        <f t="shared" si="11"/>
        <v>0.9958346054</v>
      </c>
      <c r="O847" s="134">
        <f t="shared" si="12"/>
        <v>1.021016075</v>
      </c>
      <c r="P847" s="134">
        <f t="shared" si="13"/>
        <v>1.251855018</v>
      </c>
      <c r="Q847" s="134">
        <f t="shared" si="14"/>
        <v>1.167753508</v>
      </c>
    </row>
    <row r="848" ht="15.0" customHeight="1">
      <c r="A848" s="13">
        <v>809.0</v>
      </c>
      <c r="B848" s="134">
        <f t="shared" ref="B848:D848" si="1627">RAND()</f>
        <v>0.7741323492</v>
      </c>
      <c r="C848" s="134">
        <f t="shared" si="1627"/>
        <v>0.7569772267</v>
      </c>
      <c r="D848" s="134">
        <f t="shared" si="1627"/>
        <v>0.2707555439</v>
      </c>
      <c r="F848" s="134">
        <f t="shared" ref="F848:H848" si="1628">RAND()</f>
        <v>0.8750326722</v>
      </c>
      <c r="G848" s="134">
        <f t="shared" si="1628"/>
        <v>0.8925211706</v>
      </c>
      <c r="H848" s="134">
        <f t="shared" si="1628"/>
        <v>0.8856632365</v>
      </c>
      <c r="J848" s="135">
        <f t="shared" si="8"/>
        <v>196229291.6</v>
      </c>
      <c r="K848" s="136">
        <f>IF(J848&gt;0,MIN(99,$B$12*Q848/(J848*12*(1-Inputs!$H$16))),99)</f>
        <v>3.561463919</v>
      </c>
      <c r="L848" s="134">
        <f t="shared" si="9"/>
        <v>1.098770598</v>
      </c>
      <c r="M848" s="134">
        <f t="shared" si="10"/>
        <v>1.043050013</v>
      </c>
      <c r="N848" s="134">
        <f t="shared" si="11"/>
        <v>0.9889747315</v>
      </c>
      <c r="O848" s="134">
        <f t="shared" si="12"/>
        <v>1.067294141</v>
      </c>
      <c r="P848" s="134">
        <f t="shared" si="13"/>
        <v>1.551017328</v>
      </c>
      <c r="Q848" s="134">
        <f t="shared" si="14"/>
        <v>1.284579142</v>
      </c>
    </row>
    <row r="849" ht="15.0" customHeight="1">
      <c r="A849" s="13">
        <v>810.0</v>
      </c>
      <c r="B849" s="134">
        <f t="shared" ref="B849:D849" si="1629">RAND()</f>
        <v>0.1718290764</v>
      </c>
      <c r="C849" s="134">
        <f t="shared" si="1629"/>
        <v>0.885041077</v>
      </c>
      <c r="D849" s="134">
        <f t="shared" si="1629"/>
        <v>0.3887106639</v>
      </c>
      <c r="F849" s="134">
        <f t="shared" ref="F849:H849" si="1630">RAND()</f>
        <v>0.420239274</v>
      </c>
      <c r="G849" s="134">
        <f t="shared" si="1630"/>
        <v>0.09788141791</v>
      </c>
      <c r="H849" s="134">
        <f t="shared" si="1630"/>
        <v>0.01317959929</v>
      </c>
      <c r="J849" s="135">
        <f t="shared" si="8"/>
        <v>93096864.54</v>
      </c>
      <c r="K849" s="136">
        <f>IF(J849&gt;0,MIN(99,$B$12*Q849/(J849*12*(1-Inputs!$H$16))),99)</f>
        <v>5.214530051</v>
      </c>
      <c r="L849" s="134">
        <f t="shared" si="9"/>
        <v>0.9140351434</v>
      </c>
      <c r="M849" s="134">
        <f t="shared" si="10"/>
        <v>0.960903863</v>
      </c>
      <c r="N849" s="134">
        <f t="shared" si="11"/>
        <v>0.9988923539</v>
      </c>
      <c r="O849" s="134">
        <f t="shared" si="12"/>
        <v>1.015899194</v>
      </c>
      <c r="P849" s="134">
        <f t="shared" si="13"/>
        <v>0.9525672647</v>
      </c>
      <c r="Q849" s="134">
        <f t="shared" si="14"/>
        <v>0.8923160615</v>
      </c>
    </row>
    <row r="850" ht="15.0" customHeight="1">
      <c r="A850" s="13">
        <v>811.0</v>
      </c>
      <c r="B850" s="134">
        <f t="shared" ref="B850:D850" si="1631">RAND()</f>
        <v>0.3004329021</v>
      </c>
      <c r="C850" s="134">
        <f t="shared" si="1631"/>
        <v>0.5264740391</v>
      </c>
      <c r="D850" s="134">
        <f t="shared" si="1631"/>
        <v>0.212837451</v>
      </c>
      <c r="F850" s="134">
        <f t="shared" ref="F850:H850" si="1632">RAND()</f>
        <v>0.3229598949</v>
      </c>
      <c r="G850" s="134">
        <f t="shared" si="1632"/>
        <v>0.1374644647</v>
      </c>
      <c r="H850" s="134">
        <f t="shared" si="1632"/>
        <v>0.593124202</v>
      </c>
      <c r="J850" s="135">
        <f t="shared" si="8"/>
        <v>126939497.4</v>
      </c>
      <c r="K850" s="136">
        <f>IF(J850&gt;0,MIN(99,$B$12*Q850/(J850*12*(1-Inputs!$H$16))),99)</f>
        <v>4.825185635</v>
      </c>
      <c r="L850" s="134">
        <f t="shared" si="9"/>
        <v>0.9588442316</v>
      </c>
      <c r="M850" s="134">
        <f t="shared" si="10"/>
        <v>0.9809509475</v>
      </c>
      <c r="N850" s="134">
        <f t="shared" si="11"/>
        <v>0.9833007721</v>
      </c>
      <c r="O850" s="134">
        <f t="shared" si="12"/>
        <v>1.008162572</v>
      </c>
      <c r="P850" s="134">
        <f t="shared" si="13"/>
        <v>0.9780849675</v>
      </c>
      <c r="Q850" s="134">
        <f t="shared" si="14"/>
        <v>1.125846759</v>
      </c>
    </row>
    <row r="851" ht="15.0" customHeight="1">
      <c r="A851" s="13">
        <v>812.0</v>
      </c>
      <c r="B851" s="134">
        <f t="shared" ref="B851:D851" si="1633">RAND()</f>
        <v>0.8146864069</v>
      </c>
      <c r="C851" s="134">
        <f t="shared" si="1633"/>
        <v>0.6949473995</v>
      </c>
      <c r="D851" s="134">
        <f t="shared" si="1633"/>
        <v>0.561334778</v>
      </c>
      <c r="F851" s="134">
        <f t="shared" ref="F851:H851" si="1634">RAND()</f>
        <v>0.523075338</v>
      </c>
      <c r="G851" s="134">
        <f t="shared" si="1634"/>
        <v>0.08482313278</v>
      </c>
      <c r="H851" s="134">
        <f t="shared" si="1634"/>
        <v>0.4844101214</v>
      </c>
      <c r="J851" s="135">
        <f t="shared" si="8"/>
        <v>233363491.2</v>
      </c>
      <c r="K851" s="136">
        <f>IF(J851&gt;0,MIN(99,$B$12*Q851/(J851*12*(1-Inputs!$H$16))),99)</f>
        <v>2.525700395</v>
      </c>
      <c r="L851" s="134">
        <f t="shared" si="9"/>
        <v>1.115373501</v>
      </c>
      <c r="M851" s="134">
        <f t="shared" si="10"/>
        <v>1.050392896</v>
      </c>
      <c r="N851" s="134">
        <f t="shared" si="11"/>
        <v>1.012894471</v>
      </c>
      <c r="O851" s="134">
        <f t="shared" si="12"/>
        <v>1.024822513</v>
      </c>
      <c r="P851" s="134">
        <f t="shared" si="13"/>
        <v>0.943040998</v>
      </c>
      <c r="Q851" s="134">
        <f t="shared" si="14"/>
        <v>1.083386019</v>
      </c>
    </row>
    <row r="852" ht="15.0" customHeight="1">
      <c r="A852" s="13">
        <v>813.0</v>
      </c>
      <c r="B852" s="134">
        <f t="shared" ref="B852:D852" si="1635">RAND()</f>
        <v>0.4382634907</v>
      </c>
      <c r="C852" s="134">
        <f t="shared" si="1635"/>
        <v>0.4596543306</v>
      </c>
      <c r="D852" s="134">
        <f t="shared" si="1635"/>
        <v>0.1472339153</v>
      </c>
      <c r="F852" s="134">
        <f t="shared" ref="F852:H852" si="1636">RAND()</f>
        <v>0.1210414814</v>
      </c>
      <c r="G852" s="134">
        <f t="shared" si="1636"/>
        <v>0.6587837096</v>
      </c>
      <c r="H852" s="134">
        <f t="shared" si="1636"/>
        <v>0.8007435815</v>
      </c>
      <c r="J852" s="135">
        <f t="shared" si="8"/>
        <v>145566339.2</v>
      </c>
      <c r="K852" s="136">
        <f>IF(J852&gt;0,MIN(99,$B$12*Q852/(J852*12*(1-Inputs!$H$16))),99)</f>
        <v>4.58675252</v>
      </c>
      <c r="L852" s="134">
        <f t="shared" si="9"/>
        <v>0.9970464877</v>
      </c>
      <c r="M852" s="134">
        <f t="shared" si="10"/>
        <v>0.9980422093</v>
      </c>
      <c r="N852" s="134">
        <f t="shared" si="11"/>
        <v>0.9758347902</v>
      </c>
      <c r="O852" s="134">
        <f t="shared" si="12"/>
        <v>0.9926324206</v>
      </c>
      <c r="P852" s="134">
        <f t="shared" si="13"/>
        <v>1.307299186</v>
      </c>
      <c r="Q852" s="134">
        <f t="shared" si="14"/>
        <v>1.22725483</v>
      </c>
    </row>
    <row r="853" ht="15.0" customHeight="1">
      <c r="A853" s="13">
        <v>814.0</v>
      </c>
      <c r="B853" s="134">
        <f t="shared" ref="B853:D853" si="1637">RAND()</f>
        <v>0.03568172763</v>
      </c>
      <c r="C853" s="134">
        <f t="shared" si="1637"/>
        <v>0.7627800563</v>
      </c>
      <c r="D853" s="134">
        <f t="shared" si="1637"/>
        <v>0.631037676</v>
      </c>
      <c r="F853" s="134">
        <f t="shared" ref="F853:H853" si="1638">RAND()</f>
        <v>0.5250065035</v>
      </c>
      <c r="G853" s="134">
        <f t="shared" si="1638"/>
        <v>0.6066450779</v>
      </c>
      <c r="H853" s="134">
        <f t="shared" si="1638"/>
        <v>0.8976520969</v>
      </c>
      <c r="J853" s="135">
        <f t="shared" si="8"/>
        <v>27484928.75</v>
      </c>
      <c r="K853" s="136">
        <f>IF(J853&gt;0,MIN(99,$B$12*Q853/(J853*12*(1-Inputs!$H$16))),99)</f>
        <v>25.61813411</v>
      </c>
      <c r="L853" s="134">
        <f t="shared" si="9"/>
        <v>0.8383576701</v>
      </c>
      <c r="M853" s="134">
        <f t="shared" si="10"/>
        <v>0.9270466085</v>
      </c>
      <c r="N853" s="134">
        <f t="shared" si="11"/>
        <v>1.019317348</v>
      </c>
      <c r="O853" s="134">
        <f t="shared" si="12"/>
        <v>1.024998856</v>
      </c>
      <c r="P853" s="134">
        <f t="shared" si="13"/>
        <v>1.266368875</v>
      </c>
      <c r="Q853" s="134">
        <f t="shared" si="14"/>
        <v>1.294227405</v>
      </c>
    </row>
    <row r="854" ht="15.0" customHeight="1">
      <c r="A854" s="13">
        <v>815.0</v>
      </c>
      <c r="B854" s="134">
        <f t="shared" ref="B854:D854" si="1639">RAND()</f>
        <v>0.04780200084</v>
      </c>
      <c r="C854" s="134">
        <f t="shared" si="1639"/>
        <v>0.2156428347</v>
      </c>
      <c r="D854" s="134">
        <f t="shared" si="1639"/>
        <v>0.3415321428</v>
      </c>
      <c r="F854" s="134">
        <f t="shared" ref="F854:H854" si="1640">RAND()</f>
        <v>0.9043486174</v>
      </c>
      <c r="G854" s="134">
        <f t="shared" si="1640"/>
        <v>0.01527846249</v>
      </c>
      <c r="H854" s="134">
        <f t="shared" si="1640"/>
        <v>0.3367655143</v>
      </c>
      <c r="J854" s="135">
        <f t="shared" si="8"/>
        <v>45082265.11</v>
      </c>
      <c r="K854" s="136">
        <f>IF(J854&gt;0,MIN(99,$B$12*Q854/(J854*12*(1-Inputs!$H$16))),99)</f>
        <v>12.45828036</v>
      </c>
      <c r="L854" s="134">
        <f t="shared" si="9"/>
        <v>0.8483329741</v>
      </c>
      <c r="M854" s="134">
        <f t="shared" si="10"/>
        <v>0.9315094479</v>
      </c>
      <c r="N854" s="134">
        <f t="shared" si="11"/>
        <v>0.9951359984</v>
      </c>
      <c r="O854" s="134">
        <f t="shared" si="12"/>
        <v>1.072867096</v>
      </c>
      <c r="P854" s="134">
        <f t="shared" si="13"/>
        <v>0.8691620017</v>
      </c>
      <c r="Q854" s="134">
        <f t="shared" si="14"/>
        <v>1.032362712</v>
      </c>
    </row>
    <row r="855" ht="15.0" customHeight="1">
      <c r="A855" s="13">
        <v>816.0</v>
      </c>
      <c r="B855" s="134">
        <f t="shared" ref="B855:D855" si="1641">RAND()</f>
        <v>0.4853413367</v>
      </c>
      <c r="C855" s="134">
        <f t="shared" si="1641"/>
        <v>0.3695248296</v>
      </c>
      <c r="D855" s="134">
        <f t="shared" si="1641"/>
        <v>0.7121160417</v>
      </c>
      <c r="F855" s="134">
        <f t="shared" ref="F855:H855" si="1642">RAND()</f>
        <v>0.009464925111</v>
      </c>
      <c r="G855" s="134">
        <f t="shared" si="1642"/>
        <v>0.9512771326</v>
      </c>
      <c r="H855" s="134">
        <f t="shared" si="1642"/>
        <v>0.4225795062</v>
      </c>
      <c r="J855" s="135">
        <f t="shared" si="8"/>
        <v>132564107.3</v>
      </c>
      <c r="K855" s="136">
        <f>IF(J855&gt;0,MIN(99,$B$12*Q855/(J855*12*(1-Inputs!$H$16))),99)</f>
        <v>4.35527158</v>
      </c>
      <c r="L855" s="134">
        <f t="shared" si="9"/>
        <v>1.008982019</v>
      </c>
      <c r="M855" s="134">
        <f t="shared" si="10"/>
        <v>1.003339664</v>
      </c>
      <c r="N855" s="134">
        <f t="shared" si="11"/>
        <v>1.027609817</v>
      </c>
      <c r="O855" s="134">
        <f t="shared" si="12"/>
        <v>0.9762464673</v>
      </c>
      <c r="P855" s="134">
        <f t="shared" si="13"/>
        <v>1.652867436</v>
      </c>
      <c r="Q855" s="134">
        <f t="shared" si="14"/>
        <v>1.06123038</v>
      </c>
    </row>
    <row r="856" ht="15.0" customHeight="1">
      <c r="A856" s="13">
        <v>817.0</v>
      </c>
      <c r="B856" s="134">
        <f t="shared" ref="B856:D856" si="1643">RAND()</f>
        <v>0.6865325422</v>
      </c>
      <c r="C856" s="134">
        <f t="shared" si="1643"/>
        <v>0.1625275288</v>
      </c>
      <c r="D856" s="134">
        <f t="shared" si="1643"/>
        <v>0.1675514323</v>
      </c>
      <c r="F856" s="134">
        <f t="shared" ref="F856:H856" si="1644">RAND()</f>
        <v>0.1143592558</v>
      </c>
      <c r="G856" s="134">
        <f t="shared" si="1644"/>
        <v>0.5523815036</v>
      </c>
      <c r="H856" s="134">
        <f t="shared" si="1644"/>
        <v>0.4058425489</v>
      </c>
      <c r="J856" s="135">
        <f t="shared" si="8"/>
        <v>199700663.4</v>
      </c>
      <c r="K856" s="136">
        <f>IF(J856&gt;0,MIN(99,$B$12*Q856/(J856*12*(1-Inputs!$H$16))),99)</f>
        <v>2.875315362</v>
      </c>
      <c r="L856" s="134">
        <f t="shared" si="9"/>
        <v>1.067390329</v>
      </c>
      <c r="M856" s="134">
        <f t="shared" si="10"/>
        <v>1.029171617</v>
      </c>
      <c r="N856" s="134">
        <f t="shared" si="11"/>
        <v>0.9782986667</v>
      </c>
      <c r="O856" s="134">
        <f t="shared" si="12"/>
        <v>0.9919956281</v>
      </c>
      <c r="P856" s="134">
        <f t="shared" si="13"/>
        <v>1.226560725</v>
      </c>
      <c r="Q856" s="134">
        <f t="shared" si="14"/>
        <v>1.055439816</v>
      </c>
    </row>
    <row r="857" ht="15.0" customHeight="1">
      <c r="A857" s="13">
        <v>818.0</v>
      </c>
      <c r="B857" s="134">
        <f t="shared" ref="B857:D857" si="1645">RAND()</f>
        <v>0.3350104199</v>
      </c>
      <c r="C857" s="134">
        <f t="shared" si="1645"/>
        <v>0.4998096678</v>
      </c>
      <c r="D857" s="134">
        <f t="shared" si="1645"/>
        <v>0.63109233</v>
      </c>
      <c r="F857" s="134">
        <f t="shared" ref="F857:H857" si="1646">RAND()</f>
        <v>0.685141653</v>
      </c>
      <c r="G857" s="134">
        <f t="shared" si="1646"/>
        <v>0.4524945754</v>
      </c>
      <c r="H857" s="134">
        <f t="shared" si="1646"/>
        <v>0.1428692722</v>
      </c>
      <c r="J857" s="135">
        <f t="shared" si="8"/>
        <v>114240107.8</v>
      </c>
      <c r="K857" s="136">
        <f>IF(J857&gt;0,MIN(99,$B$12*Q857/(J857*12*(1-Inputs!$H$16))),99)</f>
        <v>4.615775202</v>
      </c>
      <c r="L857" s="134">
        <f t="shared" si="9"/>
        <v>0.9691357057</v>
      </c>
      <c r="M857" s="134">
        <f t="shared" si="10"/>
        <v>0.9855552379</v>
      </c>
      <c r="N857" s="134">
        <f t="shared" si="11"/>
        <v>1.019322612</v>
      </c>
      <c r="O857" s="134">
        <f t="shared" si="12"/>
        <v>1.041135689</v>
      </c>
      <c r="P857" s="134">
        <f t="shared" si="13"/>
        <v>1.159147132</v>
      </c>
      <c r="Q857" s="134">
        <f t="shared" si="14"/>
        <v>0.9692409064</v>
      </c>
    </row>
    <row r="858" ht="15.0" customHeight="1">
      <c r="A858" s="13">
        <v>819.0</v>
      </c>
      <c r="B858" s="134">
        <f t="shared" ref="B858:D858" si="1647">RAND()</f>
        <v>0.7882259984</v>
      </c>
      <c r="C858" s="134">
        <f t="shared" si="1647"/>
        <v>0.07359499474</v>
      </c>
      <c r="D858" s="134">
        <f t="shared" si="1647"/>
        <v>0.0819578048</v>
      </c>
      <c r="F858" s="134">
        <f t="shared" ref="F858:H858" si="1648">RAND()</f>
        <v>0.3155002525</v>
      </c>
      <c r="G858" s="134">
        <f t="shared" si="1648"/>
        <v>0.9062251448</v>
      </c>
      <c r="H858" s="134">
        <f t="shared" si="1648"/>
        <v>0.447896772</v>
      </c>
      <c r="J858" s="135">
        <f t="shared" si="8"/>
        <v>215063490.6</v>
      </c>
      <c r="K858" s="136">
        <f>IF(J858&gt;0,MIN(99,$B$12*Q858/(J858*12*(1-Inputs!$H$16))),99)</f>
        <v>2.707135906</v>
      </c>
      <c r="L858" s="134">
        <f t="shared" si="9"/>
        <v>1.104357317</v>
      </c>
      <c r="M858" s="134">
        <f t="shared" si="10"/>
        <v>1.045520823</v>
      </c>
      <c r="N858" s="134">
        <f t="shared" si="11"/>
        <v>0.9664650453</v>
      </c>
      <c r="O858" s="134">
        <f t="shared" si="12"/>
        <v>1.007593008</v>
      </c>
      <c r="P858" s="134">
        <f t="shared" si="13"/>
        <v>1.571569376</v>
      </c>
      <c r="Q858" s="134">
        <f t="shared" si="14"/>
        <v>1.070151417</v>
      </c>
    </row>
    <row r="859" ht="15.0" customHeight="1">
      <c r="A859" s="13">
        <v>820.0</v>
      </c>
      <c r="B859" s="134">
        <f t="shared" ref="B859:D859" si="1649">RAND()</f>
        <v>0.3592181791</v>
      </c>
      <c r="C859" s="134">
        <f t="shared" si="1649"/>
        <v>0.2841845004</v>
      </c>
      <c r="D859" s="134">
        <f t="shared" si="1649"/>
        <v>0.1148380715</v>
      </c>
      <c r="F859" s="134">
        <f t="shared" ref="F859:H859" si="1650">RAND()</f>
        <v>0.6953847603</v>
      </c>
      <c r="G859" s="134">
        <f t="shared" si="1650"/>
        <v>0.4261490547</v>
      </c>
      <c r="H859" s="134">
        <f t="shared" si="1650"/>
        <v>0.395574961</v>
      </c>
      <c r="J859" s="135">
        <f t="shared" si="8"/>
        <v>129490514.8</v>
      </c>
      <c r="K859" s="136">
        <f>IF(J859&gt;0,MIN(99,$B$12*Q859/(J859*12*(1-Inputs!$H$16))),99)</f>
        <v>4.419564648</v>
      </c>
      <c r="L859" s="134">
        <f t="shared" si="9"/>
        <v>0.9760274736</v>
      </c>
      <c r="M859" s="134">
        <f t="shared" si="10"/>
        <v>0.9886385377</v>
      </c>
      <c r="N859" s="134">
        <f t="shared" si="11"/>
        <v>0.9715231513</v>
      </c>
      <c r="O859" s="134">
        <f t="shared" si="12"/>
        <v>1.042295195</v>
      </c>
      <c r="P859" s="134">
        <f t="shared" si="13"/>
        <v>1.142417235</v>
      </c>
      <c r="Q859" s="134">
        <f t="shared" si="14"/>
        <v>1.051927792</v>
      </c>
    </row>
    <row r="860" ht="15.0" customHeight="1">
      <c r="A860" s="13">
        <v>821.0</v>
      </c>
      <c r="B860" s="134">
        <f t="shared" ref="B860:D860" si="1651">RAND()</f>
        <v>0.624807229</v>
      </c>
      <c r="C860" s="134">
        <f t="shared" si="1651"/>
        <v>0.1366092695</v>
      </c>
      <c r="D860" s="134">
        <f t="shared" si="1651"/>
        <v>0.1840260101</v>
      </c>
      <c r="F860" s="134">
        <f t="shared" ref="F860:H860" si="1652">RAND()</f>
        <v>0.8251694954</v>
      </c>
      <c r="G860" s="134">
        <f t="shared" si="1652"/>
        <v>0.01803043008</v>
      </c>
      <c r="H860" s="134">
        <f t="shared" si="1652"/>
        <v>0.4029385451</v>
      </c>
      <c r="J860" s="135">
        <f t="shared" si="8"/>
        <v>186815708.8</v>
      </c>
      <c r="K860" s="136">
        <f>IF(J860&gt;0,MIN(99,$B$12*Q860/(J860*12*(1-Inputs!$H$16))),99)</f>
        <v>3.07072849</v>
      </c>
      <c r="L860" s="134">
        <f t="shared" si="9"/>
        <v>1.047867867</v>
      </c>
      <c r="M860" s="134">
        <f t="shared" si="10"/>
        <v>1.020537515</v>
      </c>
      <c r="N860" s="134">
        <f t="shared" si="11"/>
        <v>0.9801886247</v>
      </c>
      <c r="O860" s="134">
        <f t="shared" si="12"/>
        <v>1.059152328</v>
      </c>
      <c r="P860" s="134">
        <f t="shared" si="13"/>
        <v>0.8738649279</v>
      </c>
      <c r="Q860" s="134">
        <f t="shared" si="14"/>
        <v>1.054443446</v>
      </c>
    </row>
    <row r="861" ht="15.0" customHeight="1">
      <c r="A861" s="13">
        <v>822.0</v>
      </c>
      <c r="B861" s="134">
        <f t="shared" ref="B861:D861" si="1653">RAND()</f>
        <v>0.5056394117</v>
      </c>
      <c r="C861" s="134">
        <f t="shared" si="1653"/>
        <v>0.7950986372</v>
      </c>
      <c r="D861" s="134">
        <f t="shared" si="1653"/>
        <v>0.1692605682</v>
      </c>
      <c r="F861" s="134">
        <f t="shared" ref="F861:H861" si="1654">RAND()</f>
        <v>0.4453216769</v>
      </c>
      <c r="G861" s="134">
        <f t="shared" si="1654"/>
        <v>0.2111111342</v>
      </c>
      <c r="H861" s="134">
        <f t="shared" si="1654"/>
        <v>0.08155756346</v>
      </c>
      <c r="J861" s="135">
        <f t="shared" si="8"/>
        <v>164050826.9</v>
      </c>
      <c r="K861" s="136">
        <f>IF(J861&gt;0,MIN(99,$B$12*Q861/(J861*12*(1-Inputs!$H$16))),99)</f>
        <v>3.124724826</v>
      </c>
      <c r="L861" s="134">
        <f t="shared" si="9"/>
        <v>1.014280647</v>
      </c>
      <c r="M861" s="134">
        <f t="shared" si="10"/>
        <v>1.005683062</v>
      </c>
      <c r="N861" s="134">
        <f t="shared" si="11"/>
        <v>0.9784989355</v>
      </c>
      <c r="O861" s="134">
        <f t="shared" si="12"/>
        <v>1.017997375</v>
      </c>
      <c r="P861" s="134">
        <f t="shared" si="13"/>
        <v>1.018165777</v>
      </c>
      <c r="Q861" s="134">
        <f t="shared" si="14"/>
        <v>0.9422338079</v>
      </c>
    </row>
    <row r="862" ht="15.0" customHeight="1">
      <c r="A862" s="13">
        <v>823.0</v>
      </c>
      <c r="B862" s="134">
        <f t="shared" ref="B862:D862" si="1655">RAND()</f>
        <v>0.5570340225</v>
      </c>
      <c r="C862" s="134">
        <f t="shared" si="1655"/>
        <v>0.4117728675</v>
      </c>
      <c r="D862" s="134">
        <f t="shared" si="1655"/>
        <v>0.4684417759</v>
      </c>
      <c r="F862" s="134">
        <f t="shared" ref="F862:H862" si="1656">RAND()</f>
        <v>0.9224243174</v>
      </c>
      <c r="G862" s="134">
        <f t="shared" si="1656"/>
        <v>0.04883842881</v>
      </c>
      <c r="H862" s="134">
        <f t="shared" si="1656"/>
        <v>0.6867329734</v>
      </c>
      <c r="J862" s="135">
        <f t="shared" si="8"/>
        <v>162477101.7</v>
      </c>
      <c r="K862" s="136">
        <f>IF(J862&gt;0,MIN(99,$B$12*Q862/(J862*12*(1-Inputs!$H$16))),99)</f>
        <v>3.908410943</v>
      </c>
      <c r="L862" s="134">
        <f t="shared" si="9"/>
        <v>1.028204899</v>
      </c>
      <c r="M862" s="134">
        <f t="shared" si="10"/>
        <v>1.011841272</v>
      </c>
      <c r="N862" s="134">
        <f t="shared" si="11"/>
        <v>1.005083134</v>
      </c>
      <c r="O862" s="134">
        <f t="shared" si="12"/>
        <v>1.076741623</v>
      </c>
      <c r="P862" s="134">
        <f t="shared" si="13"/>
        <v>0.9120814709</v>
      </c>
      <c r="Q862" s="134">
        <f t="shared" si="14"/>
        <v>1.167241891</v>
      </c>
    </row>
    <row r="863" ht="15.0" customHeight="1">
      <c r="A863" s="13">
        <v>824.0</v>
      </c>
      <c r="B863" s="134">
        <f t="shared" ref="B863:D863" si="1657">RAND()</f>
        <v>0.7413476008</v>
      </c>
      <c r="C863" s="134">
        <f t="shared" si="1657"/>
        <v>0.1756550152</v>
      </c>
      <c r="D863" s="134">
        <f t="shared" si="1657"/>
        <v>0.3346169921</v>
      </c>
      <c r="F863" s="134">
        <f t="shared" ref="F863:H863" si="1658">RAND()</f>
        <v>0.1688566914</v>
      </c>
      <c r="G863" s="134">
        <f t="shared" si="1658"/>
        <v>0.2147641715</v>
      </c>
      <c r="H863" s="134">
        <f t="shared" si="1658"/>
        <v>0.9786030376</v>
      </c>
      <c r="J863" s="135">
        <f t="shared" si="8"/>
        <v>217310317.8</v>
      </c>
      <c r="K863" s="136">
        <f>IF(J863&gt;0,MIN(99,$B$12*Q863/(J863*12*(1-Inputs!$H$16))),99)</f>
        <v>3.470342749</v>
      </c>
      <c r="L863" s="134">
        <f t="shared" si="9"/>
        <v>1.086413932</v>
      </c>
      <c r="M863" s="134">
        <f t="shared" si="10"/>
        <v>1.037585091</v>
      </c>
      <c r="N863" s="134">
        <f t="shared" si="11"/>
        <v>0.9945641049</v>
      </c>
      <c r="O863" s="134">
        <f t="shared" si="12"/>
        <v>0.9967521856</v>
      </c>
      <c r="P863" s="134">
        <f t="shared" si="13"/>
        <v>1.020123554</v>
      </c>
      <c r="Q863" s="134">
        <f t="shared" si="14"/>
        <v>1.38618501</v>
      </c>
    </row>
    <row r="864" ht="15.0" customHeight="1">
      <c r="A864" s="13">
        <v>825.0</v>
      </c>
      <c r="B864" s="134">
        <f t="shared" ref="B864:D864" si="1659">RAND()</f>
        <v>0.9451501127</v>
      </c>
      <c r="C864" s="134">
        <f t="shared" si="1659"/>
        <v>0.4826565627</v>
      </c>
      <c r="D864" s="134">
        <f t="shared" si="1659"/>
        <v>0.6337176941</v>
      </c>
      <c r="F864" s="134">
        <f t="shared" ref="F864:H864" si="1660">RAND()</f>
        <v>0.1678609408</v>
      </c>
      <c r="G864" s="134">
        <f t="shared" si="1660"/>
        <v>0.7672226422</v>
      </c>
      <c r="H864" s="134">
        <f t="shared" si="1660"/>
        <v>0.670733029</v>
      </c>
      <c r="J864" s="135">
        <f t="shared" si="8"/>
        <v>276614745.7</v>
      </c>
      <c r="K864" s="136">
        <f>IF(J864&gt;0,MIN(99,$B$12*Q864/(J864*12*(1-Inputs!$H$16))),99)</f>
        <v>2.281008067</v>
      </c>
      <c r="L864" s="134">
        <f t="shared" si="9"/>
        <v>1.18815612</v>
      </c>
      <c r="M864" s="134">
        <f t="shared" si="10"/>
        <v>1.082582102</v>
      </c>
      <c r="N864" s="134">
        <f t="shared" si="11"/>
        <v>1.019575932</v>
      </c>
      <c r="O864" s="134">
        <f t="shared" si="12"/>
        <v>0.9966728524</v>
      </c>
      <c r="P864" s="134">
        <f t="shared" si="13"/>
        <v>1.403976382</v>
      </c>
      <c r="Q864" s="134">
        <f t="shared" si="14"/>
        <v>1.159766687</v>
      </c>
    </row>
    <row r="865" ht="15.0" customHeight="1">
      <c r="A865" s="13">
        <v>826.0</v>
      </c>
      <c r="B865" s="134">
        <f t="shared" ref="B865:D865" si="1661">RAND()</f>
        <v>0.8238292591</v>
      </c>
      <c r="C865" s="134">
        <f t="shared" si="1661"/>
        <v>0.1228557881</v>
      </c>
      <c r="D865" s="134">
        <f t="shared" si="1661"/>
        <v>0.7446429566</v>
      </c>
      <c r="F865" s="134">
        <f t="shared" ref="F865:H865" si="1662">RAND()</f>
        <v>0.912929286</v>
      </c>
      <c r="G865" s="134">
        <f t="shared" si="1662"/>
        <v>0.5478600624</v>
      </c>
      <c r="H865" s="134">
        <f t="shared" si="1662"/>
        <v>0.01918879628</v>
      </c>
      <c r="J865" s="135">
        <f t="shared" si="8"/>
        <v>213114755.5</v>
      </c>
      <c r="K865" s="136">
        <f>IF(J865&gt;0,MIN(99,$B$12*Q865/(J865*12*(1-Inputs!$H$16))),99)</f>
        <v>2.295610702</v>
      </c>
      <c r="L865" s="134">
        <f t="shared" si="9"/>
        <v>1.119361069</v>
      </c>
      <c r="M865" s="134">
        <f t="shared" si="10"/>
        <v>1.052156458</v>
      </c>
      <c r="N865" s="134">
        <f t="shared" si="11"/>
        <v>1.03126257</v>
      </c>
      <c r="O865" s="134">
        <f t="shared" si="12"/>
        <v>1.074655985</v>
      </c>
      <c r="P865" s="134">
        <f t="shared" si="13"/>
        <v>1.22335561</v>
      </c>
      <c r="Q865" s="134">
        <f t="shared" si="14"/>
        <v>0.8992495768</v>
      </c>
    </row>
    <row r="866" ht="15.0" customHeight="1">
      <c r="A866" s="13">
        <v>827.0</v>
      </c>
      <c r="B866" s="134">
        <f t="shared" ref="B866:D866" si="1663">RAND()</f>
        <v>0.3924974614</v>
      </c>
      <c r="C866" s="134">
        <f t="shared" si="1663"/>
        <v>0.6716451815</v>
      </c>
      <c r="D866" s="134">
        <f t="shared" si="1663"/>
        <v>0.9001222301</v>
      </c>
      <c r="F866" s="134">
        <f t="shared" ref="F866:H866" si="1664">RAND()</f>
        <v>0.5672248374</v>
      </c>
      <c r="G866" s="134">
        <f t="shared" si="1664"/>
        <v>0.4299532779</v>
      </c>
      <c r="H866" s="134">
        <f t="shared" si="1664"/>
        <v>0.79496856</v>
      </c>
      <c r="J866" s="135">
        <f t="shared" si="8"/>
        <v>120709683.3</v>
      </c>
      <c r="K866" s="136">
        <f>IF(J866&gt;0,MIN(99,$B$12*Q866/(J866*12*(1-Inputs!$H$16))),99)</f>
        <v>5.515931593</v>
      </c>
      <c r="L866" s="134">
        <f t="shared" si="9"/>
        <v>0.9851332063</v>
      </c>
      <c r="M866" s="134">
        <f t="shared" si="10"/>
        <v>0.9927123406</v>
      </c>
      <c r="N866" s="134">
        <f t="shared" si="11"/>
        <v>1.053410399</v>
      </c>
      <c r="O866" s="134">
        <f t="shared" si="12"/>
        <v>1.02894769</v>
      </c>
      <c r="P866" s="134">
        <f t="shared" si="13"/>
        <v>1.144808905</v>
      </c>
      <c r="Q866" s="134">
        <f t="shared" si="14"/>
        <v>1.223853582</v>
      </c>
    </row>
    <row r="867" ht="15.0" customHeight="1">
      <c r="A867" s="13">
        <v>828.0</v>
      </c>
      <c r="B867" s="134">
        <f t="shared" ref="B867:D867" si="1665">RAND()</f>
        <v>0.002625072344</v>
      </c>
      <c r="C867" s="134">
        <f t="shared" si="1665"/>
        <v>0.4005934198</v>
      </c>
      <c r="D867" s="134">
        <f t="shared" si="1665"/>
        <v>0.131988134</v>
      </c>
      <c r="F867" s="134">
        <f t="shared" ref="F867:H867" si="1666">RAND()</f>
        <v>0.6591166332</v>
      </c>
      <c r="G867" s="134">
        <f t="shared" si="1666"/>
        <v>0.9692627014</v>
      </c>
      <c r="H867" s="134">
        <f t="shared" si="1666"/>
        <v>0.9892191738</v>
      </c>
      <c r="J867" s="135">
        <f t="shared" si="8"/>
        <v>-11021928.68</v>
      </c>
      <c r="K867" s="136">
        <f>IF(J867&gt;0,MIN(99,$B$12*Q867/(J867*12*(1-Inputs!$H$16))),99)</f>
        <v>99</v>
      </c>
      <c r="L867" s="134">
        <f t="shared" si="9"/>
        <v>0.7921848957</v>
      </c>
      <c r="M867" s="134">
        <f t="shared" si="10"/>
        <v>0.906389426</v>
      </c>
      <c r="N867" s="134">
        <f t="shared" si="11"/>
        <v>0.973872036</v>
      </c>
      <c r="O867" s="134">
        <f t="shared" si="12"/>
        <v>1.038271854</v>
      </c>
      <c r="P867" s="134">
        <f t="shared" si="13"/>
        <v>1.696050562</v>
      </c>
      <c r="Q867" s="134">
        <f t="shared" si="14"/>
        <v>1.408663815</v>
      </c>
    </row>
    <row r="868" ht="15.0" customHeight="1">
      <c r="A868" s="13">
        <v>829.0</v>
      </c>
      <c r="B868" s="134">
        <f t="shared" ref="B868:D868" si="1667">RAND()</f>
        <v>0.4532071519</v>
      </c>
      <c r="C868" s="134">
        <f t="shared" si="1667"/>
        <v>0.8695522447</v>
      </c>
      <c r="D868" s="134">
        <f t="shared" si="1667"/>
        <v>0.07972161578</v>
      </c>
      <c r="F868" s="134">
        <f t="shared" ref="F868:H868" si="1668">RAND()</f>
        <v>0.1012136886</v>
      </c>
      <c r="G868" s="134">
        <f t="shared" si="1668"/>
        <v>0.8573498642</v>
      </c>
      <c r="H868" s="134">
        <f t="shared" si="1668"/>
        <v>0.9068173393</v>
      </c>
      <c r="J868" s="135">
        <f t="shared" si="8"/>
        <v>143267475.7</v>
      </c>
      <c r="K868" s="136">
        <f>IF(J868&gt;0,MIN(99,$B$12*Q868/(J868*12*(1-Inputs!$H$16))),99)</f>
        <v>4.944153707</v>
      </c>
      <c r="L868" s="134">
        <f t="shared" si="9"/>
        <v>1.00080296</v>
      </c>
      <c r="M868" s="134">
        <f t="shared" si="10"/>
        <v>0.9997216518</v>
      </c>
      <c r="N868" s="134">
        <f t="shared" si="11"/>
        <v>0.9660868461</v>
      </c>
      <c r="O868" s="134">
        <f t="shared" si="12"/>
        <v>0.9906860803</v>
      </c>
      <c r="P868" s="134">
        <f t="shared" si="13"/>
        <v>1.503613189</v>
      </c>
      <c r="Q868" s="134">
        <f t="shared" si="14"/>
        <v>1.301991215</v>
      </c>
    </row>
    <row r="869" ht="15.0" customHeight="1">
      <c r="A869" s="13">
        <v>830.0</v>
      </c>
      <c r="B869" s="134">
        <f t="shared" ref="B869:D869" si="1669">RAND()</f>
        <v>0.5837670569</v>
      </c>
      <c r="C869" s="134">
        <f t="shared" si="1669"/>
        <v>0.2058672111</v>
      </c>
      <c r="D869" s="134">
        <f t="shared" si="1669"/>
        <v>0.8082281465</v>
      </c>
      <c r="F869" s="134">
        <f t="shared" ref="F869:H869" si="1670">RAND()</f>
        <v>0.4416143117</v>
      </c>
      <c r="G869" s="134">
        <f t="shared" si="1670"/>
        <v>0.7688543371</v>
      </c>
      <c r="H869" s="134">
        <f t="shared" si="1670"/>
        <v>0.2962226256</v>
      </c>
      <c r="J869" s="135">
        <f t="shared" si="8"/>
        <v>151591173.4</v>
      </c>
      <c r="K869" s="136">
        <f>IF(J869&gt;0,MIN(99,$B$12*Q869/(J869*12*(1-Inputs!$H$16))),99)</f>
        <v>3.658407336</v>
      </c>
      <c r="L869" s="134">
        <f t="shared" si="9"/>
        <v>1.035767833</v>
      </c>
      <c r="M869" s="134">
        <f t="shared" si="10"/>
        <v>1.015186093</v>
      </c>
      <c r="N869" s="134">
        <f t="shared" si="11"/>
        <v>1.039149804</v>
      </c>
      <c r="O869" s="134">
        <f t="shared" si="12"/>
        <v>1.017684303</v>
      </c>
      <c r="P869" s="134">
        <f t="shared" si="13"/>
        <v>1.405587194</v>
      </c>
      <c r="Q869" s="134">
        <f t="shared" si="14"/>
        <v>1.019376119</v>
      </c>
    </row>
    <row r="870" ht="15.0" customHeight="1">
      <c r="A870" s="13">
        <v>831.0</v>
      </c>
      <c r="B870" s="134">
        <f t="shared" ref="B870:D870" si="1671">RAND()</f>
        <v>0.5348840171</v>
      </c>
      <c r="C870" s="134">
        <f t="shared" si="1671"/>
        <v>0.05585378387</v>
      </c>
      <c r="D870" s="134">
        <f t="shared" si="1671"/>
        <v>0.7355595824</v>
      </c>
      <c r="F870" s="134">
        <f t="shared" ref="F870:H870" si="1672">RAND()</f>
        <v>0.4466108864</v>
      </c>
      <c r="G870" s="134">
        <f t="shared" si="1672"/>
        <v>0.5566128144</v>
      </c>
      <c r="H870" s="134">
        <f t="shared" si="1672"/>
        <v>0.5596405023</v>
      </c>
      <c r="J870" s="135">
        <f t="shared" si="8"/>
        <v>150339461.5</v>
      </c>
      <c r="K870" s="136">
        <f>IF(J870&gt;0,MIN(99,$B$12*Q870/(J870*12*(1-Inputs!$H$16))),99)</f>
        <v>4.024852154</v>
      </c>
      <c r="L870" s="134">
        <f t="shared" si="9"/>
        <v>1.022109811</v>
      </c>
      <c r="M870" s="134">
        <f t="shared" si="10"/>
        <v>1.009145628</v>
      </c>
      <c r="N870" s="134">
        <f t="shared" si="11"/>
        <v>1.030220191</v>
      </c>
      <c r="O870" s="134">
        <f t="shared" si="12"/>
        <v>1.018106488</v>
      </c>
      <c r="P870" s="134">
        <f t="shared" si="13"/>
        <v>1.229574871</v>
      </c>
      <c r="Q870" s="134">
        <f t="shared" si="14"/>
        <v>1.112221801</v>
      </c>
    </row>
    <row r="871" ht="15.0" customHeight="1">
      <c r="A871" s="13">
        <v>832.0</v>
      </c>
      <c r="B871" s="134">
        <f t="shared" ref="B871:D871" si="1673">RAND()</f>
        <v>0.7463075364</v>
      </c>
      <c r="C871" s="134">
        <f t="shared" si="1673"/>
        <v>0.6290384613</v>
      </c>
      <c r="D871" s="134">
        <f t="shared" si="1673"/>
        <v>0.7898832399</v>
      </c>
      <c r="F871" s="134">
        <f t="shared" ref="F871:H871" si="1674">RAND()</f>
        <v>0.9552456067</v>
      </c>
      <c r="G871" s="134">
        <f t="shared" si="1674"/>
        <v>0.1085771441</v>
      </c>
      <c r="H871" s="134">
        <f t="shared" si="1674"/>
        <v>0.3699061671</v>
      </c>
      <c r="J871" s="135">
        <f t="shared" si="8"/>
        <v>196326118.8</v>
      </c>
      <c r="K871" s="136">
        <f>IF(J871&gt;0,MIN(99,$B$12*Q871/(J871*12*(1-Inputs!$H$16))),99)</f>
        <v>2.891030765</v>
      </c>
      <c r="L871" s="134">
        <f t="shared" si="9"/>
        <v>1.088230854</v>
      </c>
      <c r="M871" s="134">
        <f t="shared" si="10"/>
        <v>1.038388652</v>
      </c>
      <c r="N871" s="134">
        <f t="shared" si="11"/>
        <v>1.036755084</v>
      </c>
      <c r="O871" s="134">
        <f t="shared" si="12"/>
        <v>1.085179722</v>
      </c>
      <c r="P871" s="134">
        <f t="shared" si="13"/>
        <v>0.9599051869</v>
      </c>
      <c r="Q871" s="134">
        <f t="shared" si="14"/>
        <v>1.043276141</v>
      </c>
    </row>
    <row r="872" ht="15.0" customHeight="1">
      <c r="A872" s="13">
        <v>833.0</v>
      </c>
      <c r="B872" s="134">
        <f t="shared" ref="B872:D872" si="1675">RAND()</f>
        <v>0.9696356425</v>
      </c>
      <c r="C872" s="134">
        <f t="shared" si="1675"/>
        <v>0.774960599</v>
      </c>
      <c r="D872" s="134">
        <f t="shared" si="1675"/>
        <v>0.7931265686</v>
      </c>
      <c r="F872" s="134">
        <f t="shared" ref="F872:H872" si="1676">RAND()</f>
        <v>0.9677982324</v>
      </c>
      <c r="G872" s="134">
        <f t="shared" si="1676"/>
        <v>0.1187433484</v>
      </c>
      <c r="H872" s="134">
        <f t="shared" si="1676"/>
        <v>0.8866161495</v>
      </c>
      <c r="J872" s="135">
        <f t="shared" si="8"/>
        <v>291288752.1</v>
      </c>
      <c r="K872" s="136">
        <f>IF(J872&gt;0,MIN(99,$B$12*Q872/(J872*12*(1-Inputs!$H$16))),99)</f>
        <v>2.400608873</v>
      </c>
      <c r="L872" s="134">
        <f t="shared" si="9"/>
        <v>1.210384993</v>
      </c>
      <c r="M872" s="134">
        <f t="shared" si="10"/>
        <v>1.092413155</v>
      </c>
      <c r="N872" s="134">
        <f t="shared" si="11"/>
        <v>1.037170622</v>
      </c>
      <c r="O872" s="134">
        <f t="shared" si="12"/>
        <v>1.08922464</v>
      </c>
      <c r="P872" s="134">
        <f t="shared" si="13"/>
        <v>0.9665515127</v>
      </c>
      <c r="Q872" s="134">
        <f t="shared" si="14"/>
        <v>1.285326919</v>
      </c>
    </row>
    <row r="873" ht="15.0" customHeight="1">
      <c r="A873" s="13">
        <v>834.0</v>
      </c>
      <c r="B873" s="134">
        <f t="shared" ref="B873:D873" si="1677">RAND()</f>
        <v>0.09072390818</v>
      </c>
      <c r="C873" s="134">
        <f t="shared" si="1677"/>
        <v>0.05041125303</v>
      </c>
      <c r="D873" s="134">
        <f t="shared" si="1677"/>
        <v>0.3699609447</v>
      </c>
      <c r="F873" s="134">
        <f t="shared" ref="F873:H873" si="1678">RAND()</f>
        <v>0.8174728699</v>
      </c>
      <c r="G873" s="134">
        <f t="shared" si="1678"/>
        <v>0.5697653694</v>
      </c>
      <c r="H873" s="134">
        <f t="shared" si="1678"/>
        <v>0.05963189247</v>
      </c>
      <c r="J873" s="135">
        <f t="shared" si="8"/>
        <v>50727093.2</v>
      </c>
      <c r="K873" s="136">
        <f>IF(J873&gt;0,MIN(99,$B$12*Q873/(J873*12*(1-Inputs!$H$16))),99)</f>
        <v>9.975585831</v>
      </c>
      <c r="L873" s="134">
        <f t="shared" si="9"/>
        <v>0.8760269255</v>
      </c>
      <c r="M873" s="134">
        <f t="shared" si="10"/>
        <v>0.9438994117</v>
      </c>
      <c r="N873" s="134">
        <f t="shared" si="11"/>
        <v>0.997428391</v>
      </c>
      <c r="O873" s="134">
        <f t="shared" si="12"/>
        <v>1.0580052</v>
      </c>
      <c r="P873" s="134">
        <f t="shared" si="13"/>
        <v>1.239037004</v>
      </c>
      <c r="Q873" s="134">
        <f t="shared" si="14"/>
        <v>0.9301368869</v>
      </c>
    </row>
    <row r="874" ht="15.0" customHeight="1">
      <c r="A874" s="13">
        <v>835.0</v>
      </c>
      <c r="B874" s="134">
        <f t="shared" ref="B874:D874" si="1679">RAND()</f>
        <v>0.3784730095</v>
      </c>
      <c r="C874" s="134">
        <f t="shared" si="1679"/>
        <v>0.7641890785</v>
      </c>
      <c r="D874" s="134">
        <f t="shared" si="1679"/>
        <v>0.316700681</v>
      </c>
      <c r="F874" s="134">
        <f t="shared" ref="F874:H874" si="1680">RAND()</f>
        <v>0.4669404498</v>
      </c>
      <c r="G874" s="134">
        <f t="shared" si="1680"/>
        <v>0.2243446982</v>
      </c>
      <c r="H874" s="134">
        <f t="shared" si="1680"/>
        <v>0.1158534073</v>
      </c>
      <c r="J874" s="135">
        <f t="shared" si="8"/>
        <v>136871267.6</v>
      </c>
      <c r="K874" s="136">
        <f>IF(J874&gt;0,MIN(99,$B$12*Q874/(J874*12*(1-Inputs!$H$16))),99)</f>
        <v>3.80888025</v>
      </c>
      <c r="L874" s="134">
        <f t="shared" si="9"/>
        <v>0.9813448899</v>
      </c>
      <c r="M874" s="134">
        <f t="shared" si="10"/>
        <v>0.9910174902</v>
      </c>
      <c r="N874" s="134">
        <f t="shared" si="11"/>
        <v>0.9930542949</v>
      </c>
      <c r="O874" s="134">
        <f t="shared" si="12"/>
        <v>1.01984421</v>
      </c>
      <c r="P874" s="134">
        <f t="shared" si="13"/>
        <v>1.025279798</v>
      </c>
      <c r="Q874" s="134">
        <f t="shared" si="14"/>
        <v>0.9582483705</v>
      </c>
    </row>
    <row r="875" ht="15.0" customHeight="1">
      <c r="A875" s="13">
        <v>836.0</v>
      </c>
      <c r="B875" s="134">
        <f t="shared" ref="B875:D875" si="1681">RAND()</f>
        <v>0.6159983833</v>
      </c>
      <c r="C875" s="134">
        <f t="shared" si="1681"/>
        <v>0.4067079992</v>
      </c>
      <c r="D875" s="134">
        <f t="shared" si="1681"/>
        <v>0.6657139937</v>
      </c>
      <c r="F875" s="134">
        <f t="shared" ref="F875:H875" si="1682">RAND()</f>
        <v>0.2850756292</v>
      </c>
      <c r="G875" s="134">
        <f t="shared" si="1682"/>
        <v>0.9627590315</v>
      </c>
      <c r="H875" s="134">
        <f t="shared" si="1682"/>
        <v>0.6379829193</v>
      </c>
      <c r="J875" s="135">
        <f t="shared" si="8"/>
        <v>153849094</v>
      </c>
      <c r="K875" s="136">
        <f>IF(J875&gt;0,MIN(99,$B$12*Q875/(J875*12*(1-Inputs!$H$16))),99)</f>
        <v>4.048989717</v>
      </c>
      <c r="L875" s="134">
        <f t="shared" si="9"/>
        <v>1.04521701</v>
      </c>
      <c r="M875" s="134">
        <f t="shared" si="10"/>
        <v>1.019365134</v>
      </c>
      <c r="N875" s="134">
        <f t="shared" si="11"/>
        <v>1.022739423</v>
      </c>
      <c r="O875" s="134">
        <f t="shared" si="12"/>
        <v>1.005301539</v>
      </c>
      <c r="P875" s="134">
        <f t="shared" si="13"/>
        <v>1.67925864</v>
      </c>
      <c r="Q875" s="134">
        <f t="shared" si="14"/>
        <v>1.145012158</v>
      </c>
    </row>
    <row r="876" ht="15.0" customHeight="1">
      <c r="A876" s="13">
        <v>837.0</v>
      </c>
      <c r="B876" s="134">
        <f t="shared" ref="B876:D876" si="1683">RAND()</f>
        <v>0.7972527929</v>
      </c>
      <c r="C876" s="134">
        <f t="shared" si="1683"/>
        <v>0.1953291274</v>
      </c>
      <c r="D876" s="134">
        <f t="shared" si="1683"/>
        <v>0.243101403</v>
      </c>
      <c r="F876" s="134">
        <f t="shared" ref="F876:H876" si="1684">RAND()</f>
        <v>0.9654404885</v>
      </c>
      <c r="G876" s="134">
        <f t="shared" si="1684"/>
        <v>0.9728736638</v>
      </c>
      <c r="H876" s="134">
        <f t="shared" si="1684"/>
        <v>0.6577411789</v>
      </c>
      <c r="J876" s="135">
        <f t="shared" si="8"/>
        <v>194604088.1</v>
      </c>
      <c r="K876" s="136">
        <f>IF(J876&gt;0,MIN(99,$B$12*Q876/(J876*12*(1-Inputs!$H$16))),99)</f>
        <v>3.225679449</v>
      </c>
      <c r="L876" s="134">
        <f t="shared" si="9"/>
        <v>1.108033713</v>
      </c>
      <c r="M876" s="134">
        <f t="shared" si="10"/>
        <v>1.047146764</v>
      </c>
      <c r="N876" s="134">
        <f t="shared" si="11"/>
        <v>0.9863503588</v>
      </c>
      <c r="O876" s="134">
        <f t="shared" si="12"/>
        <v>1.088411548</v>
      </c>
      <c r="P876" s="134">
        <f t="shared" si="13"/>
        <v>1.706149139</v>
      </c>
      <c r="Q876" s="134">
        <f t="shared" si="14"/>
        <v>1.153829525</v>
      </c>
    </row>
    <row r="877" ht="15.0" customHeight="1">
      <c r="A877" s="13">
        <v>838.0</v>
      </c>
      <c r="B877" s="134">
        <f t="shared" ref="B877:D877" si="1685">RAND()</f>
        <v>0.2994997682</v>
      </c>
      <c r="C877" s="134">
        <f t="shared" si="1685"/>
        <v>0.7883873278</v>
      </c>
      <c r="D877" s="134">
        <f t="shared" si="1685"/>
        <v>0.7663567042</v>
      </c>
      <c r="F877" s="134">
        <f t="shared" ref="F877:H877" si="1686">RAND()</f>
        <v>0.4005117181</v>
      </c>
      <c r="G877" s="134">
        <f t="shared" si="1686"/>
        <v>0.2260638661</v>
      </c>
      <c r="H877" s="134">
        <f t="shared" si="1686"/>
        <v>0.9034095815</v>
      </c>
      <c r="J877" s="135">
        <f t="shared" si="8"/>
        <v>113479433.3</v>
      </c>
      <c r="K877" s="136">
        <f>IF(J877&gt;0,MIN(99,$B$12*Q877/(J877*12*(1-Inputs!$H$16))),99)</f>
        <v>6.227936229</v>
      </c>
      <c r="L877" s="134">
        <f t="shared" si="9"/>
        <v>0.9585585027</v>
      </c>
      <c r="M877" s="134">
        <f t="shared" si="10"/>
        <v>0.9808231156</v>
      </c>
      <c r="N877" s="134">
        <f t="shared" si="11"/>
        <v>1.033832174</v>
      </c>
      <c r="O877" s="134">
        <f t="shared" si="12"/>
        <v>1.014280653</v>
      </c>
      <c r="P877" s="134">
        <f t="shared" si="13"/>
        <v>1.026208418</v>
      </c>
      <c r="Q877" s="134">
        <f t="shared" si="14"/>
        <v>1.299061753</v>
      </c>
    </row>
    <row r="878" ht="15.0" customHeight="1">
      <c r="A878" s="13">
        <v>839.0</v>
      </c>
      <c r="B878" s="134">
        <f t="shared" ref="B878:D878" si="1687">RAND()</f>
        <v>0.1147944863</v>
      </c>
      <c r="C878" s="134">
        <f t="shared" si="1687"/>
        <v>0.4542980798</v>
      </c>
      <c r="D878" s="134">
        <f t="shared" si="1687"/>
        <v>0.8487399698</v>
      </c>
      <c r="F878" s="134">
        <f t="shared" ref="F878:H878" si="1688">RAND()</f>
        <v>0.4339817388</v>
      </c>
      <c r="G878" s="134">
        <f t="shared" si="1688"/>
        <v>0.6966325408</v>
      </c>
      <c r="H878" s="134">
        <f t="shared" si="1688"/>
        <v>0.08483271274</v>
      </c>
      <c r="J878" s="135">
        <f t="shared" si="8"/>
        <v>52854867.65</v>
      </c>
      <c r="K878" s="136">
        <f>IF(J878&gt;0,MIN(99,$B$12*Q878/(J878*12*(1-Inputs!$H$16))),99)</f>
        <v>9.715596251</v>
      </c>
      <c r="L878" s="134">
        <f t="shared" si="9"/>
        <v>0.8886414524</v>
      </c>
      <c r="M878" s="134">
        <f t="shared" si="10"/>
        <v>0.9495430099</v>
      </c>
      <c r="N878" s="134">
        <f t="shared" si="11"/>
        <v>1.044882442</v>
      </c>
      <c r="O878" s="134">
        <f t="shared" si="12"/>
        <v>1.01704302</v>
      </c>
      <c r="P878" s="134">
        <f t="shared" si="13"/>
        <v>1.339011546</v>
      </c>
      <c r="Q878" s="134">
        <f t="shared" si="14"/>
        <v>0.9438933569</v>
      </c>
    </row>
    <row r="879" ht="15.0" customHeight="1">
      <c r="A879" s="13">
        <v>840.0</v>
      </c>
      <c r="B879" s="134">
        <f t="shared" ref="B879:D879" si="1689">RAND()</f>
        <v>0.2158540037</v>
      </c>
      <c r="C879" s="134">
        <f t="shared" si="1689"/>
        <v>0.6291396028</v>
      </c>
      <c r="D879" s="134">
        <f t="shared" si="1689"/>
        <v>0.7088267259</v>
      </c>
      <c r="F879" s="134">
        <f t="shared" ref="F879:H879" si="1690">RAND()</f>
        <v>0.7169006178</v>
      </c>
      <c r="G879" s="134">
        <f t="shared" si="1690"/>
        <v>0.7514511517</v>
      </c>
      <c r="H879" s="134">
        <f t="shared" si="1690"/>
        <v>0.4849052979</v>
      </c>
      <c r="J879" s="135">
        <f t="shared" si="8"/>
        <v>77341289.23</v>
      </c>
      <c r="K879" s="136">
        <f>IF(J879&gt;0,MIN(99,$B$12*Q879/(J879*12*(1-Inputs!$H$16))),99)</f>
        <v>7.622133481</v>
      </c>
      <c r="L879" s="134">
        <f t="shared" si="9"/>
        <v>0.9308318819</v>
      </c>
      <c r="M879" s="134">
        <f t="shared" si="10"/>
        <v>0.9684185358</v>
      </c>
      <c r="N879" s="134">
        <f t="shared" si="11"/>
        <v>1.027252194</v>
      </c>
      <c r="O879" s="134">
        <f t="shared" si="12"/>
        <v>1.044796036</v>
      </c>
      <c r="P879" s="134">
        <f t="shared" si="13"/>
        <v>1.38868877</v>
      </c>
      <c r="Q879" s="134">
        <f t="shared" si="14"/>
        <v>1.083568668</v>
      </c>
    </row>
    <row r="880" ht="15.0" customHeight="1">
      <c r="A880" s="13">
        <v>841.0</v>
      </c>
      <c r="B880" s="134">
        <f t="shared" ref="B880:D880" si="1691">RAND()</f>
        <v>0.2590622938</v>
      </c>
      <c r="C880" s="134">
        <f t="shared" si="1691"/>
        <v>0.4182844091</v>
      </c>
      <c r="D880" s="134">
        <f t="shared" si="1691"/>
        <v>0.3010477155</v>
      </c>
      <c r="F880" s="134">
        <f t="shared" ref="F880:H880" si="1692">RAND()</f>
        <v>0.8945817237</v>
      </c>
      <c r="G880" s="134">
        <f t="shared" si="1692"/>
        <v>0.2484306852</v>
      </c>
      <c r="H880" s="134">
        <f t="shared" si="1692"/>
        <v>0.8643662606</v>
      </c>
      <c r="J880" s="135">
        <f t="shared" si="8"/>
        <v>103437689.3</v>
      </c>
      <c r="K880" s="136">
        <f>IF(J880&gt;0,MIN(99,$B$12*Q880/(J880*12*(1-Inputs!$H$16))),99)</f>
        <v>6.672399204</v>
      </c>
      <c r="L880" s="134">
        <f t="shared" si="9"/>
        <v>0.9457176266</v>
      </c>
      <c r="M880" s="134">
        <f t="shared" si="10"/>
        <v>0.9750782514</v>
      </c>
      <c r="N880" s="134">
        <f t="shared" si="11"/>
        <v>0.9916998706</v>
      </c>
      <c r="O880" s="134">
        <f t="shared" si="12"/>
        <v>1.07092599</v>
      </c>
      <c r="P880" s="134">
        <f t="shared" si="13"/>
        <v>1.038385336</v>
      </c>
      <c r="Q880" s="134">
        <f t="shared" si="14"/>
        <v>1.268613456</v>
      </c>
    </row>
    <row r="881" ht="15.0" customHeight="1">
      <c r="A881" s="13">
        <v>842.0</v>
      </c>
      <c r="B881" s="134">
        <f t="shared" ref="B881:D881" si="1693">RAND()</f>
        <v>0.3428153869</v>
      </c>
      <c r="C881" s="134">
        <f t="shared" si="1693"/>
        <v>0.7998335374</v>
      </c>
      <c r="D881" s="134">
        <f t="shared" si="1693"/>
        <v>0.4153526751</v>
      </c>
      <c r="F881" s="134">
        <f t="shared" ref="F881:H881" si="1694">RAND()</f>
        <v>0.5266037289</v>
      </c>
      <c r="G881" s="134">
        <f t="shared" si="1694"/>
        <v>0.1334128379</v>
      </c>
      <c r="H881" s="134">
        <f t="shared" si="1694"/>
        <v>0.01529430284</v>
      </c>
      <c r="J881" s="135">
        <f t="shared" si="8"/>
        <v>129240026.4</v>
      </c>
      <c r="K881" s="136">
        <f>IF(J881&gt;0,MIN(99,$B$12*Q881/(J881*12*(1-Inputs!$H$16))),99)</f>
        <v>3.767149717</v>
      </c>
      <c r="L881" s="134">
        <f t="shared" si="9"/>
        <v>0.9713841415</v>
      </c>
      <c r="M881" s="134">
        <f t="shared" si="10"/>
        <v>0.9865611629</v>
      </c>
      <c r="N881" s="134">
        <f t="shared" si="11"/>
        <v>1.00092465</v>
      </c>
      <c r="O881" s="134">
        <f t="shared" si="12"/>
        <v>1.025144976</v>
      </c>
      <c r="P881" s="134">
        <f t="shared" si="13"/>
        <v>0.9756589792</v>
      </c>
      <c r="Q881" s="134">
        <f t="shared" si="14"/>
        <v>0.8949080196</v>
      </c>
    </row>
    <row r="882" ht="15.0" customHeight="1">
      <c r="A882" s="13">
        <v>843.0</v>
      </c>
      <c r="B882" s="134">
        <f t="shared" ref="B882:D882" si="1695">RAND()</f>
        <v>0.08445730085</v>
      </c>
      <c r="C882" s="134">
        <f t="shared" si="1695"/>
        <v>0.9386298004</v>
      </c>
      <c r="D882" s="134">
        <f t="shared" si="1695"/>
        <v>0.2665233647</v>
      </c>
      <c r="F882" s="134">
        <f t="shared" ref="F882:H882" si="1696">RAND()</f>
        <v>0.452178799</v>
      </c>
      <c r="G882" s="134">
        <f t="shared" si="1696"/>
        <v>0.03950896275</v>
      </c>
      <c r="H882" s="134">
        <f t="shared" si="1696"/>
        <v>0.7853735995</v>
      </c>
      <c r="J882" s="135">
        <f t="shared" si="8"/>
        <v>69413111.04</v>
      </c>
      <c r="K882" s="136">
        <f>IF(J882&gt;0,MIN(99,$B$12*Q882/(J882*12*(1-Inputs!$H$16))),99)</f>
        <v>9.548753221</v>
      </c>
      <c r="L882" s="134">
        <f t="shared" si="9"/>
        <v>0.8724753628</v>
      </c>
      <c r="M882" s="134">
        <f t="shared" si="10"/>
        <v>0.9423104823</v>
      </c>
      <c r="N882" s="134">
        <f t="shared" si="11"/>
        <v>0.9885820897</v>
      </c>
      <c r="O882" s="134">
        <f t="shared" si="12"/>
        <v>1.0185792</v>
      </c>
      <c r="P882" s="134">
        <f t="shared" si="13"/>
        <v>0.9022865424</v>
      </c>
      <c r="Q882" s="134">
        <f t="shared" si="14"/>
        <v>1.218306778</v>
      </c>
    </row>
    <row r="883" ht="15.0" customHeight="1">
      <c r="A883" s="13">
        <v>844.0</v>
      </c>
      <c r="B883" s="134">
        <f t="shared" ref="B883:D883" si="1697">RAND()</f>
        <v>0.4194097347</v>
      </c>
      <c r="C883" s="134">
        <f t="shared" si="1697"/>
        <v>0.5888380456</v>
      </c>
      <c r="D883" s="134">
        <f t="shared" si="1697"/>
        <v>0.1142571013</v>
      </c>
      <c r="F883" s="134">
        <f t="shared" ref="F883:H883" si="1698">RAND()</f>
        <v>0.8896873338</v>
      </c>
      <c r="G883" s="134">
        <f t="shared" si="1698"/>
        <v>0.9619656004</v>
      </c>
      <c r="H883" s="134">
        <f t="shared" si="1698"/>
        <v>0.9751850388</v>
      </c>
      <c r="J883" s="135">
        <f t="shared" si="8"/>
        <v>116166386.7</v>
      </c>
      <c r="K883" s="136">
        <f>IF(J883&gt;0,MIN(99,$B$12*Q883/(J883*12*(1-Inputs!$H$16))),99)</f>
        <v>6.464002457</v>
      </c>
      <c r="L883" s="134">
        <f t="shared" si="9"/>
        <v>0.9922178518</v>
      </c>
      <c r="M883" s="134">
        <f t="shared" si="10"/>
        <v>0.9958819317</v>
      </c>
      <c r="N883" s="134">
        <f t="shared" si="11"/>
        <v>0.9714406092</v>
      </c>
      <c r="O883" s="134">
        <f t="shared" si="12"/>
        <v>1.069987114</v>
      </c>
      <c r="P883" s="134">
        <f t="shared" si="13"/>
        <v>1.677314099</v>
      </c>
      <c r="Q883" s="134">
        <f t="shared" si="14"/>
        <v>1.380226861</v>
      </c>
    </row>
    <row r="884" ht="15.0" customHeight="1">
      <c r="A884" s="13">
        <v>845.0</v>
      </c>
      <c r="B884" s="134">
        <f t="shared" ref="B884:D884" si="1699">RAND()</f>
        <v>0.9070430596</v>
      </c>
      <c r="C884" s="134">
        <f t="shared" si="1699"/>
        <v>0.8576968418</v>
      </c>
      <c r="D884" s="134">
        <f t="shared" si="1699"/>
        <v>0.6844847327</v>
      </c>
      <c r="F884" s="134">
        <f t="shared" ref="F884:H884" si="1700">RAND()</f>
        <v>0.3575896884</v>
      </c>
      <c r="G884" s="134">
        <f t="shared" si="1700"/>
        <v>0.9467299271</v>
      </c>
      <c r="H884" s="134">
        <f t="shared" si="1700"/>
        <v>0.05346043324</v>
      </c>
      <c r="J884" s="135">
        <f t="shared" si="8"/>
        <v>242857455</v>
      </c>
      <c r="K884" s="136">
        <f>IF(J884&gt;0,MIN(99,$B$12*Q884/(J884*12*(1-Inputs!$H$16))),99)</f>
        <v>2.075160517</v>
      </c>
      <c r="L884" s="134">
        <f t="shared" si="9"/>
        <v>1.161944353</v>
      </c>
      <c r="M884" s="134">
        <f t="shared" si="10"/>
        <v>1.070989555</v>
      </c>
      <c r="N884" s="134">
        <f t="shared" si="11"/>
        <v>1.024666128</v>
      </c>
      <c r="O884" s="134">
        <f t="shared" si="12"/>
        <v>1.010848711</v>
      </c>
      <c r="P884" s="134">
        <f t="shared" si="13"/>
        <v>1.643291177</v>
      </c>
      <c r="Q884" s="134">
        <f t="shared" si="14"/>
        <v>0.9263425574</v>
      </c>
    </row>
    <row r="885" ht="15.0" customHeight="1">
      <c r="A885" s="13">
        <v>846.0</v>
      </c>
      <c r="B885" s="134">
        <f t="shared" ref="B885:D885" si="1701">RAND()</f>
        <v>0.6405995593</v>
      </c>
      <c r="C885" s="134">
        <f t="shared" si="1701"/>
        <v>0.8477972438</v>
      </c>
      <c r="D885" s="134">
        <f t="shared" si="1701"/>
        <v>0.4563761696</v>
      </c>
      <c r="F885" s="134">
        <f t="shared" ref="F885:H885" si="1702">RAND()</f>
        <v>0.3589304452</v>
      </c>
      <c r="G885" s="134">
        <f t="shared" si="1702"/>
        <v>0.3032233561</v>
      </c>
      <c r="H885" s="134">
        <f t="shared" si="1702"/>
        <v>0.9757416545</v>
      </c>
      <c r="J885" s="135">
        <f t="shared" si="8"/>
        <v>185652212.3</v>
      </c>
      <c r="K885" s="136">
        <f>IF(J885&gt;0,MIN(99,$B$12*Q885/(J885*12*(1-Inputs!$H$16))),99)</f>
        <v>4.047415894</v>
      </c>
      <c r="L885" s="134">
        <f t="shared" si="9"/>
        <v>1.052699391</v>
      </c>
      <c r="M885" s="134">
        <f t="shared" si="10"/>
        <v>1.022674329</v>
      </c>
      <c r="N885" s="134">
        <f t="shared" si="11"/>
        <v>1.004120428</v>
      </c>
      <c r="O885" s="134">
        <f t="shared" si="12"/>
        <v>1.010954149</v>
      </c>
      <c r="P885" s="134">
        <f t="shared" si="13"/>
        <v>1.069004435</v>
      </c>
      <c r="Q885" s="134">
        <f t="shared" si="14"/>
        <v>1.381167794</v>
      </c>
    </row>
    <row r="886" ht="15.0" customHeight="1">
      <c r="A886" s="13">
        <v>847.0</v>
      </c>
      <c r="B886" s="134">
        <f t="shared" ref="B886:D886" si="1703">RAND()</f>
        <v>0.2152814934</v>
      </c>
      <c r="C886" s="134">
        <f t="shared" si="1703"/>
        <v>0.8019749248</v>
      </c>
      <c r="D886" s="134">
        <f t="shared" si="1703"/>
        <v>0.2034920495</v>
      </c>
      <c r="F886" s="134">
        <f t="shared" ref="F886:H886" si="1704">RAND()</f>
        <v>0.2060591178</v>
      </c>
      <c r="G886" s="134">
        <f t="shared" si="1704"/>
        <v>0.9655489846</v>
      </c>
      <c r="H886" s="134">
        <f t="shared" si="1704"/>
        <v>0.6796049531</v>
      </c>
      <c r="J886" s="135">
        <f t="shared" si="8"/>
        <v>82511174.41</v>
      </c>
      <c r="K886" s="136">
        <f>IF(J886&gt;0,MIN(99,$B$12*Q886/(J886*12*(1-Inputs!$H$16))),99)</f>
        <v>7.674148165</v>
      </c>
      <c r="L886" s="134">
        <f t="shared" si="9"/>
        <v>0.930625088</v>
      </c>
      <c r="M886" s="134">
        <f t="shared" si="10"/>
        <v>0.9683260185</v>
      </c>
      <c r="N886" s="134">
        <f t="shared" si="11"/>
        <v>0.9823157731</v>
      </c>
      <c r="O886" s="134">
        <f t="shared" si="12"/>
        <v>0.9995645907</v>
      </c>
      <c r="P886" s="134">
        <f t="shared" si="13"/>
        <v>1.686266287</v>
      </c>
      <c r="Q886" s="134">
        <f t="shared" si="14"/>
        <v>1.163888641</v>
      </c>
    </row>
    <row r="887" ht="15.0" customHeight="1">
      <c r="A887" s="13">
        <v>848.0</v>
      </c>
      <c r="B887" s="134">
        <f t="shared" ref="B887:D887" si="1705">RAND()</f>
        <v>0.6803370961</v>
      </c>
      <c r="C887" s="134">
        <f t="shared" si="1705"/>
        <v>0.4060063599</v>
      </c>
      <c r="D887" s="134">
        <f t="shared" si="1705"/>
        <v>0.2456280192</v>
      </c>
      <c r="F887" s="134">
        <f t="shared" ref="F887:H887" si="1706">RAND()</f>
        <v>0.6518945211</v>
      </c>
      <c r="G887" s="134">
        <f t="shared" si="1706"/>
        <v>0.2793417395</v>
      </c>
      <c r="H887" s="134">
        <f t="shared" si="1706"/>
        <v>0.1945663963</v>
      </c>
      <c r="J887" s="135">
        <f t="shared" si="8"/>
        <v>195130983.2</v>
      </c>
      <c r="K887" s="136">
        <f>IF(J887&gt;0,MIN(99,$B$12*Q887/(J887*12*(1-Inputs!$H$16))),99)</f>
        <v>2.753757111</v>
      </c>
      <c r="L887" s="134">
        <f t="shared" si="9"/>
        <v>1.065348744</v>
      </c>
      <c r="M887" s="134">
        <f t="shared" si="10"/>
        <v>1.028268695</v>
      </c>
      <c r="N887" s="134">
        <f t="shared" si="11"/>
        <v>0.9865961326</v>
      </c>
      <c r="O887" s="134">
        <f t="shared" si="12"/>
        <v>1.037496675</v>
      </c>
      <c r="P887" s="134">
        <f t="shared" si="13"/>
        <v>1.055516175</v>
      </c>
      <c r="Q887" s="134">
        <f t="shared" si="14"/>
        <v>0.9876892929</v>
      </c>
    </row>
    <row r="888" ht="15.0" customHeight="1">
      <c r="A888" s="13">
        <v>849.0</v>
      </c>
      <c r="B888" s="134">
        <f t="shared" ref="B888:D888" si="1707">RAND()</f>
        <v>0.8775604771</v>
      </c>
      <c r="C888" s="134">
        <f t="shared" si="1707"/>
        <v>0.1401652361</v>
      </c>
      <c r="D888" s="134">
        <f t="shared" si="1707"/>
        <v>0.6673073219</v>
      </c>
      <c r="F888" s="134">
        <f t="shared" ref="F888:H888" si="1708">RAND()</f>
        <v>0.3995530586</v>
      </c>
      <c r="G888" s="134">
        <f t="shared" si="1708"/>
        <v>0.033868574</v>
      </c>
      <c r="H888" s="134">
        <f t="shared" si="1708"/>
        <v>0.2531932144</v>
      </c>
      <c r="J888" s="135">
        <f t="shared" si="8"/>
        <v>257764139.2</v>
      </c>
      <c r="K888" s="136">
        <f>IF(J888&gt;0,MIN(99,$B$12*Q888/(J888*12*(1-Inputs!$H$16))),99)</f>
        <v>2.123270211</v>
      </c>
      <c r="L888" s="134">
        <f t="shared" si="9"/>
        <v>1.145248567</v>
      </c>
      <c r="M888" s="134">
        <f t="shared" si="10"/>
        <v>1.063605592</v>
      </c>
      <c r="N888" s="134">
        <f t="shared" si="11"/>
        <v>1.022900832</v>
      </c>
      <c r="O888" s="134">
        <f t="shared" si="12"/>
        <v>1.014202684</v>
      </c>
      <c r="P888" s="134">
        <f t="shared" si="13"/>
        <v>0.8957929895</v>
      </c>
      <c r="Q888" s="134">
        <f t="shared" si="14"/>
        <v>1.00599598</v>
      </c>
    </row>
    <row r="889" ht="15.0" customHeight="1">
      <c r="A889" s="13">
        <v>850.0</v>
      </c>
      <c r="B889" s="134">
        <f t="shared" ref="B889:D889" si="1709">RAND()</f>
        <v>0.7586593944</v>
      </c>
      <c r="C889" s="134">
        <f t="shared" si="1709"/>
        <v>0.247561644</v>
      </c>
      <c r="D889" s="134">
        <f t="shared" si="1709"/>
        <v>0.2761480362</v>
      </c>
      <c r="F889" s="134">
        <f t="shared" ref="F889:H889" si="1710">RAND()</f>
        <v>0.292945427</v>
      </c>
      <c r="G889" s="134">
        <f t="shared" si="1710"/>
        <v>0.1459236806</v>
      </c>
      <c r="H889" s="134">
        <f t="shared" si="1710"/>
        <v>0.895206502</v>
      </c>
      <c r="J889" s="135">
        <f t="shared" si="8"/>
        <v>223270521.1</v>
      </c>
      <c r="K889" s="136">
        <f>IF(J889&gt;0,MIN(99,$B$12*Q889/(J889*12*(1-Inputs!$H$16))),99)</f>
        <v>3.14872672</v>
      </c>
      <c r="L889" s="134">
        <f t="shared" si="9"/>
        <v>1.092834325</v>
      </c>
      <c r="M889" s="134">
        <f t="shared" si="10"/>
        <v>1.040424606</v>
      </c>
      <c r="N889" s="134">
        <f t="shared" si="11"/>
        <v>0.9894706023</v>
      </c>
      <c r="O889" s="134">
        <f t="shared" si="12"/>
        <v>1.00588951</v>
      </c>
      <c r="P889" s="134">
        <f t="shared" si="13"/>
        <v>0.9830374287</v>
      </c>
      <c r="Q889" s="134">
        <f t="shared" si="14"/>
        <v>1.292215175</v>
      </c>
    </row>
    <row r="890" ht="15.0" customHeight="1">
      <c r="A890" s="13">
        <v>851.0</v>
      </c>
      <c r="B890" s="134">
        <f t="shared" ref="B890:D890" si="1711">RAND()</f>
        <v>0.5660532816</v>
      </c>
      <c r="C890" s="134">
        <f t="shared" si="1711"/>
        <v>0.578057975</v>
      </c>
      <c r="D890" s="134">
        <f t="shared" si="1711"/>
        <v>0.445765249</v>
      </c>
      <c r="F890" s="134">
        <f t="shared" ref="F890:H890" si="1712">RAND()</f>
        <v>0.3755228347</v>
      </c>
      <c r="G890" s="134">
        <f t="shared" si="1712"/>
        <v>0.4331440773</v>
      </c>
      <c r="H890" s="134">
        <f t="shared" si="1712"/>
        <v>0.4180887416</v>
      </c>
      <c r="J890" s="135">
        <f t="shared" si="8"/>
        <v>166600679.8</v>
      </c>
      <c r="K890" s="136">
        <f>IF(J890&gt;0,MIN(99,$B$12*Q890/(J890*12*(1-Inputs!$H$16))),99)</f>
        <v>3.460387951</v>
      </c>
      <c r="L890" s="134">
        <f t="shared" si="9"/>
        <v>1.030730326</v>
      </c>
      <c r="M890" s="134">
        <f t="shared" si="10"/>
        <v>1.01295818</v>
      </c>
      <c r="N890" s="134">
        <f t="shared" si="11"/>
        <v>1.003282583</v>
      </c>
      <c r="O890" s="134">
        <f t="shared" si="12"/>
        <v>1.012268214</v>
      </c>
      <c r="P890" s="134">
        <f t="shared" si="13"/>
        <v>1.146821084</v>
      </c>
      <c r="Q890" s="134">
        <f t="shared" si="14"/>
        <v>1.059668542</v>
      </c>
    </row>
    <row r="891" ht="15.0" customHeight="1">
      <c r="A891" s="13">
        <v>852.0</v>
      </c>
      <c r="B891" s="134">
        <f t="shared" ref="B891:D891" si="1713">RAND()</f>
        <v>0.8266080088</v>
      </c>
      <c r="C891" s="134">
        <f t="shared" si="1713"/>
        <v>0.3341028869</v>
      </c>
      <c r="D891" s="134">
        <f t="shared" si="1713"/>
        <v>0.4531975604</v>
      </c>
      <c r="F891" s="134">
        <f t="shared" ref="F891:H891" si="1714">RAND()</f>
        <v>0.494673297</v>
      </c>
      <c r="G891" s="134">
        <f t="shared" si="1714"/>
        <v>0.3389226569</v>
      </c>
      <c r="H891" s="134">
        <f t="shared" si="1714"/>
        <v>0.1277646785</v>
      </c>
      <c r="J891" s="135">
        <f t="shared" si="8"/>
        <v>234466039</v>
      </c>
      <c r="K891" s="136">
        <f>IF(J891&gt;0,MIN(99,$B$12*Q891/(J891*12*(1-Inputs!$H$16))),99)</f>
        <v>2.235038496</v>
      </c>
      <c r="L891" s="134">
        <f t="shared" si="9"/>
        <v>1.120593398</v>
      </c>
      <c r="M891" s="134">
        <f t="shared" si="10"/>
        <v>1.052701473</v>
      </c>
      <c r="N891" s="134">
        <f t="shared" si="11"/>
        <v>1.003868592</v>
      </c>
      <c r="O891" s="134">
        <f t="shared" si="12"/>
        <v>1.022269098</v>
      </c>
      <c r="P891" s="134">
        <f t="shared" si="13"/>
        <v>1.089605945</v>
      </c>
      <c r="Q891" s="134">
        <f t="shared" si="14"/>
        <v>0.9632376192</v>
      </c>
    </row>
    <row r="892" ht="15.0" customHeight="1">
      <c r="A892" s="13">
        <v>853.0</v>
      </c>
      <c r="B892" s="134">
        <f t="shared" ref="B892:D892" si="1715">RAND()</f>
        <v>0.5264875673</v>
      </c>
      <c r="C892" s="134">
        <f t="shared" si="1715"/>
        <v>0.6013994127</v>
      </c>
      <c r="D892" s="134">
        <f t="shared" si="1715"/>
        <v>0.3652865454</v>
      </c>
      <c r="F892" s="134">
        <f t="shared" ref="F892:H892" si="1716">RAND()</f>
        <v>0.174818578</v>
      </c>
      <c r="G892" s="134">
        <f t="shared" si="1716"/>
        <v>0.2442807663</v>
      </c>
      <c r="H892" s="134">
        <f t="shared" si="1716"/>
        <v>0.3335519323</v>
      </c>
      <c r="J892" s="135">
        <f t="shared" si="8"/>
        <v>166787274.8</v>
      </c>
      <c r="K892" s="136">
        <f>IF(J892&gt;0,MIN(99,$B$12*Q892/(J892*12*(1-Inputs!$H$16))),99)</f>
        <v>3.364044032</v>
      </c>
      <c r="L892" s="134">
        <f t="shared" si="9"/>
        <v>1.019837386</v>
      </c>
      <c r="M892" s="134">
        <f t="shared" si="10"/>
        <v>1.008140614</v>
      </c>
      <c r="N892" s="134">
        <f t="shared" si="11"/>
        <v>0.9970576759</v>
      </c>
      <c r="O892" s="134">
        <f t="shared" si="12"/>
        <v>0.9972223643</v>
      </c>
      <c r="P892" s="134">
        <f t="shared" si="13"/>
        <v>1.036112489</v>
      </c>
      <c r="Q892" s="134">
        <f t="shared" si="14"/>
        <v>1.031319111</v>
      </c>
    </row>
    <row r="893" ht="15.0" customHeight="1">
      <c r="A893" s="13">
        <v>854.0</v>
      </c>
      <c r="B893" s="134">
        <f t="shared" ref="B893:D893" si="1717">RAND()</f>
        <v>0.6940102277</v>
      </c>
      <c r="C893" s="134">
        <f t="shared" si="1717"/>
        <v>0.4135209201</v>
      </c>
      <c r="D893" s="134">
        <f t="shared" si="1717"/>
        <v>0.05452971697</v>
      </c>
      <c r="F893" s="134">
        <f t="shared" ref="F893:H893" si="1718">RAND()</f>
        <v>0.9651825214</v>
      </c>
      <c r="G893" s="134">
        <f t="shared" si="1718"/>
        <v>0.6332802491</v>
      </c>
      <c r="H893" s="134">
        <f t="shared" si="1718"/>
        <v>0.1470914212</v>
      </c>
      <c r="J893" s="135">
        <f t="shared" si="8"/>
        <v>187110759.3</v>
      </c>
      <c r="K893" s="136">
        <f>IF(J893&gt;0,MIN(99,$B$12*Q893/(J893*12*(1-Inputs!$H$16))),99)</f>
        <v>2.822864566</v>
      </c>
      <c r="L893" s="134">
        <f t="shared" si="9"/>
        <v>1.069881513</v>
      </c>
      <c r="M893" s="134">
        <f t="shared" si="10"/>
        <v>1.030273381</v>
      </c>
      <c r="N893" s="134">
        <f t="shared" si="11"/>
        <v>0.9613904153</v>
      </c>
      <c r="O893" s="134">
        <f t="shared" si="12"/>
        <v>1.088324292</v>
      </c>
      <c r="P893" s="134">
        <f t="shared" si="13"/>
        <v>1.286914644</v>
      </c>
      <c r="Q893" s="134">
        <f t="shared" si="14"/>
        <v>0.9708615123</v>
      </c>
    </row>
    <row r="894" ht="15.0" customHeight="1">
      <c r="A894" s="13">
        <v>855.0</v>
      </c>
      <c r="B894" s="134">
        <f t="shared" ref="B894:D894" si="1719">RAND()</f>
        <v>0.9180712628</v>
      </c>
      <c r="C894" s="134">
        <f t="shared" si="1719"/>
        <v>0.3589917114</v>
      </c>
      <c r="D894" s="134">
        <f t="shared" si="1719"/>
        <v>0.801812378</v>
      </c>
      <c r="F894" s="134">
        <f t="shared" ref="F894:H894" si="1720">RAND()</f>
        <v>0.2971045172</v>
      </c>
      <c r="G894" s="134">
        <f t="shared" si="1720"/>
        <v>0.4197881811</v>
      </c>
      <c r="H894" s="134">
        <f t="shared" si="1720"/>
        <v>0.3346276255</v>
      </c>
      <c r="J894" s="135">
        <f t="shared" si="8"/>
        <v>264792131.4</v>
      </c>
      <c r="K894" s="136">
        <f>IF(J894&gt;0,MIN(99,$B$12*Q894/(J894*12*(1-Inputs!$H$16))),99)</f>
        <v>2.119661296</v>
      </c>
      <c r="L894" s="134">
        <f t="shared" si="9"/>
        <v>1.168862347</v>
      </c>
      <c r="M894" s="134">
        <f t="shared" si="10"/>
        <v>1.074049141</v>
      </c>
      <c r="N894" s="134">
        <f t="shared" si="11"/>
        <v>1.038299777</v>
      </c>
      <c r="O894" s="134">
        <f t="shared" si="12"/>
        <v>1.006201568</v>
      </c>
      <c r="P894" s="134">
        <f t="shared" si="13"/>
        <v>1.138435869</v>
      </c>
      <c r="Q894" s="134">
        <f t="shared" si="14"/>
        <v>1.031668158</v>
      </c>
    </row>
    <row r="895" ht="15.0" customHeight="1">
      <c r="A895" s="13">
        <v>856.0</v>
      </c>
      <c r="B895" s="134">
        <f t="shared" ref="B895:D895" si="1721">RAND()</f>
        <v>0.2189559004</v>
      </c>
      <c r="C895" s="134">
        <f t="shared" si="1721"/>
        <v>0.6433789253</v>
      </c>
      <c r="D895" s="134">
        <f t="shared" si="1721"/>
        <v>0.4374784167</v>
      </c>
      <c r="F895" s="134">
        <f t="shared" ref="F895:H895" si="1722">RAND()</f>
        <v>0.5021355883</v>
      </c>
      <c r="G895" s="134">
        <f t="shared" si="1722"/>
        <v>0.2214022837</v>
      </c>
      <c r="H895" s="134">
        <f t="shared" si="1722"/>
        <v>0.00798456959</v>
      </c>
      <c r="J895" s="135">
        <f t="shared" si="8"/>
        <v>100459329.4</v>
      </c>
      <c r="K895" s="136">
        <f>IF(J895&gt;0,MIN(99,$B$12*Q895/(J895*12*(1-Inputs!$H$16))),99)</f>
        <v>4.792088561</v>
      </c>
      <c r="L895" s="134">
        <f t="shared" si="9"/>
        <v>0.931947567</v>
      </c>
      <c r="M895" s="134">
        <f t="shared" si="10"/>
        <v>0.9689176809</v>
      </c>
      <c r="N895" s="134">
        <f t="shared" si="11"/>
        <v>1.002633812</v>
      </c>
      <c r="O895" s="134">
        <f t="shared" si="12"/>
        <v>1.022932873</v>
      </c>
      <c r="P895" s="134">
        <f t="shared" si="13"/>
        <v>1.023692818</v>
      </c>
      <c r="Q895" s="134">
        <f t="shared" si="14"/>
        <v>0.8848783946</v>
      </c>
    </row>
    <row r="896" ht="15.0" customHeight="1">
      <c r="A896" s="13">
        <v>857.0</v>
      </c>
      <c r="B896" s="134">
        <f t="shared" ref="B896:D896" si="1723">RAND()</f>
        <v>0.915599662</v>
      </c>
      <c r="C896" s="134">
        <f t="shared" si="1723"/>
        <v>0.1019548132</v>
      </c>
      <c r="D896" s="134">
        <f t="shared" si="1723"/>
        <v>0.9691568553</v>
      </c>
      <c r="F896" s="134">
        <f t="shared" ref="F896:H896" si="1724">RAND()</f>
        <v>0.5995062752</v>
      </c>
      <c r="G896" s="134">
        <f t="shared" si="1724"/>
        <v>0.5688183806</v>
      </c>
      <c r="H896" s="134">
        <f t="shared" si="1724"/>
        <v>0.6601883555</v>
      </c>
      <c r="J896" s="135">
        <f t="shared" si="8"/>
        <v>247508061.1</v>
      </c>
      <c r="K896" s="136">
        <f>IF(J896&gt;0,MIN(99,$B$12*Q896/(J896*12*(1-Inputs!$H$16))),99)</f>
        <v>2.538640875</v>
      </c>
      <c r="L896" s="134">
        <f t="shared" si="9"/>
        <v>1.167273279</v>
      </c>
      <c r="M896" s="134">
        <f t="shared" si="10"/>
        <v>1.073346352</v>
      </c>
      <c r="N896" s="134">
        <f t="shared" si="11"/>
        <v>1.069838938</v>
      </c>
      <c r="O896" s="134">
        <f t="shared" si="12"/>
        <v>1.032098917</v>
      </c>
      <c r="P896" s="134">
        <f t="shared" si="13"/>
        <v>1.238350937</v>
      </c>
      <c r="Q896" s="134">
        <f t="shared" si="14"/>
        <v>1.154939135</v>
      </c>
    </row>
    <row r="897" ht="15.0" customHeight="1">
      <c r="A897" s="13">
        <v>858.0</v>
      </c>
      <c r="B897" s="134">
        <f t="shared" ref="B897:D897" si="1725">RAND()</f>
        <v>0.8041806006</v>
      </c>
      <c r="C897" s="134">
        <f t="shared" si="1725"/>
        <v>0.4795348965</v>
      </c>
      <c r="D897" s="134">
        <f t="shared" si="1725"/>
        <v>0.6297605161</v>
      </c>
      <c r="F897" s="134">
        <f t="shared" ref="F897:H897" si="1726">RAND()</f>
        <v>0.8937712287</v>
      </c>
      <c r="G897" s="134">
        <f t="shared" si="1726"/>
        <v>0.7211492132</v>
      </c>
      <c r="H897" s="134">
        <f t="shared" si="1726"/>
        <v>0.5562546888</v>
      </c>
      <c r="J897" s="135">
        <f t="shared" si="8"/>
        <v>204976611.8</v>
      </c>
      <c r="K897" s="136">
        <f>IF(J897&gt;0,MIN(99,$B$12*Q897/(J897*12*(1-Inputs!$H$16))),99)</f>
        <v>2.948436384</v>
      </c>
      <c r="L897" s="134">
        <f t="shared" si="9"/>
        <v>1.110911099</v>
      </c>
      <c r="M897" s="134">
        <f t="shared" si="10"/>
        <v>1.048419331</v>
      </c>
      <c r="N897" s="134">
        <f t="shared" si="11"/>
        <v>1.01919445</v>
      </c>
      <c r="O897" s="134">
        <f t="shared" si="12"/>
        <v>1.070769032</v>
      </c>
      <c r="P897" s="134">
        <f t="shared" si="13"/>
        <v>1.360620976</v>
      </c>
      <c r="Q897" s="134">
        <f t="shared" si="14"/>
        <v>1.110873363</v>
      </c>
    </row>
    <row r="898" ht="15.0" customHeight="1">
      <c r="A898" s="13">
        <v>859.0</v>
      </c>
      <c r="B898" s="134">
        <f t="shared" ref="B898:D898" si="1727">RAND()</f>
        <v>0.5607550766</v>
      </c>
      <c r="C898" s="134">
        <f t="shared" si="1727"/>
        <v>0.2280052198</v>
      </c>
      <c r="D898" s="134">
        <f t="shared" si="1727"/>
        <v>0.1472663636</v>
      </c>
      <c r="F898" s="134">
        <f t="shared" ref="F898:H898" si="1728">RAND()</f>
        <v>0.1249003233</v>
      </c>
      <c r="G898" s="134">
        <f t="shared" si="1728"/>
        <v>0.7422093706</v>
      </c>
      <c r="H898" s="134">
        <f t="shared" si="1728"/>
        <v>0.007754313941</v>
      </c>
      <c r="J898" s="135">
        <f t="shared" si="8"/>
        <v>166011447.6</v>
      </c>
      <c r="K898" s="136">
        <f>IF(J898&gt;0,MIN(99,$B$12*Q898/(J898*12*(1-Inputs!$H$16))),99)</f>
        <v>2.898617111</v>
      </c>
      <c r="L898" s="134">
        <f t="shared" si="9"/>
        <v>1.029243663</v>
      </c>
      <c r="M898" s="134">
        <f t="shared" si="10"/>
        <v>1.012300681</v>
      </c>
      <c r="N898" s="134">
        <f t="shared" si="11"/>
        <v>0.9758388563</v>
      </c>
      <c r="O898" s="134">
        <f t="shared" si="12"/>
        <v>0.9929921626</v>
      </c>
      <c r="P898" s="134">
        <f t="shared" si="13"/>
        <v>1.379955413</v>
      </c>
      <c r="Q898" s="134">
        <f t="shared" si="14"/>
        <v>0.8844990475</v>
      </c>
    </row>
    <row r="899" ht="15.0" customHeight="1">
      <c r="A899" s="13">
        <v>860.0</v>
      </c>
      <c r="B899" s="134">
        <f t="shared" ref="B899:D899" si="1729">RAND()</f>
        <v>0.08518768007</v>
      </c>
      <c r="C899" s="134">
        <f t="shared" si="1729"/>
        <v>0.528717166</v>
      </c>
      <c r="D899" s="134">
        <f t="shared" si="1729"/>
        <v>0.3645137976</v>
      </c>
      <c r="F899" s="134">
        <f t="shared" ref="F899:H899" si="1730">RAND()</f>
        <v>0.9095409522</v>
      </c>
      <c r="G899" s="134">
        <f t="shared" si="1730"/>
        <v>0.7909596283</v>
      </c>
      <c r="H899" s="134">
        <f t="shared" si="1730"/>
        <v>0.3736003341</v>
      </c>
      <c r="J899" s="135">
        <f t="shared" si="8"/>
        <v>39004189.21</v>
      </c>
      <c r="K899" s="136">
        <f>IF(J899&gt;0,MIN(99,$B$12*Q899/(J899*12*(1-Inputs!$H$16))),99)</f>
        <v>14.56910835</v>
      </c>
      <c r="L899" s="134">
        <f t="shared" si="9"/>
        <v>0.8728959346</v>
      </c>
      <c r="M899" s="134">
        <f t="shared" si="10"/>
        <v>0.9424986415</v>
      </c>
      <c r="N899" s="134">
        <f t="shared" si="11"/>
        <v>0.9969961632</v>
      </c>
      <c r="O899" s="134">
        <f t="shared" si="12"/>
        <v>1.073939498</v>
      </c>
      <c r="P899" s="134">
        <f t="shared" si="13"/>
        <v>1.427997279</v>
      </c>
      <c r="Q899" s="134">
        <f t="shared" si="14"/>
        <v>1.044510257</v>
      </c>
    </row>
    <row r="900" ht="15.0" customHeight="1">
      <c r="A900" s="13">
        <v>861.0</v>
      </c>
      <c r="B900" s="134">
        <f t="shared" ref="B900:D900" si="1731">RAND()</f>
        <v>0.9415329146</v>
      </c>
      <c r="C900" s="134">
        <f t="shared" si="1731"/>
        <v>0.6040002361</v>
      </c>
      <c r="D900" s="134">
        <f t="shared" si="1731"/>
        <v>0.1423619814</v>
      </c>
      <c r="F900" s="134">
        <f t="shared" ref="F900:H900" si="1732">RAND()</f>
        <v>0.1074649451</v>
      </c>
      <c r="G900" s="134">
        <f t="shared" si="1732"/>
        <v>0.570210037</v>
      </c>
      <c r="H900" s="134">
        <f t="shared" si="1732"/>
        <v>0.3347376273</v>
      </c>
      <c r="J900" s="135">
        <f t="shared" si="8"/>
        <v>292756238.6</v>
      </c>
      <c r="K900" s="136">
        <f>IF(J900&gt;0,MIN(99,$B$12*Q900/(J900*12*(1-Inputs!$H$16))),99)</f>
        <v>1.917257384</v>
      </c>
      <c r="L900" s="134">
        <f t="shared" si="9"/>
        <v>1.185338279</v>
      </c>
      <c r="M900" s="134">
        <f t="shared" si="10"/>
        <v>1.08133587</v>
      </c>
      <c r="N900" s="134">
        <f t="shared" si="11"/>
        <v>0.9752191179</v>
      </c>
      <c r="O900" s="134">
        <f t="shared" si="12"/>
        <v>0.9913188039</v>
      </c>
      <c r="P900" s="134">
        <f t="shared" si="13"/>
        <v>1.239359414</v>
      </c>
      <c r="Q900" s="134">
        <f t="shared" si="14"/>
        <v>1.031703868</v>
      </c>
    </row>
    <row r="901" ht="15.0" customHeight="1">
      <c r="A901" s="13">
        <v>862.0</v>
      </c>
      <c r="B901" s="134">
        <f t="shared" ref="B901:D901" si="1733">RAND()</f>
        <v>0.1690974612</v>
      </c>
      <c r="C901" s="134">
        <f t="shared" si="1733"/>
        <v>0.0723836804</v>
      </c>
      <c r="D901" s="134">
        <f t="shared" si="1733"/>
        <v>0.1787210674</v>
      </c>
      <c r="F901" s="134">
        <f t="shared" ref="F901:H901" si="1734">RAND()</f>
        <v>0.7873107752</v>
      </c>
      <c r="G901" s="134">
        <f t="shared" si="1734"/>
        <v>0.7353253682</v>
      </c>
      <c r="H901" s="134">
        <f t="shared" si="1734"/>
        <v>0.5367609341</v>
      </c>
      <c r="J901" s="135">
        <f t="shared" si="8"/>
        <v>73937130.7</v>
      </c>
      <c r="K901" s="136">
        <f>IF(J901&gt;0,MIN(99,$B$12*Q901/(J901*12*(1-Inputs!$H$16))),99)</f>
        <v>8.117574456</v>
      </c>
      <c r="L901" s="134">
        <f t="shared" si="9"/>
        <v>0.9129255755</v>
      </c>
      <c r="M901" s="134">
        <f t="shared" si="10"/>
        <v>0.9604074548</v>
      </c>
      <c r="N901" s="134">
        <f t="shared" si="11"/>
        <v>0.9795896349</v>
      </c>
      <c r="O901" s="134">
        <f t="shared" si="12"/>
        <v>1.053727614</v>
      </c>
      <c r="P901" s="134">
        <f t="shared" si="13"/>
        <v>1.373551431</v>
      </c>
      <c r="Q901" s="134">
        <f t="shared" si="14"/>
        <v>1.103207879</v>
      </c>
    </row>
    <row r="902" ht="15.0" customHeight="1">
      <c r="A902" s="13">
        <v>863.0</v>
      </c>
      <c r="B902" s="134">
        <f t="shared" ref="B902:D902" si="1735">RAND()</f>
        <v>0.9029384819</v>
      </c>
      <c r="C902" s="134">
        <f t="shared" si="1735"/>
        <v>0.7037086161</v>
      </c>
      <c r="D902" s="134">
        <f t="shared" si="1735"/>
        <v>0.5147821179</v>
      </c>
      <c r="F902" s="134">
        <f t="shared" ref="F902:H902" si="1736">RAND()</f>
        <v>0.1677044824</v>
      </c>
      <c r="G902" s="134">
        <f t="shared" si="1736"/>
        <v>0.5315316415</v>
      </c>
      <c r="H902" s="134">
        <f t="shared" si="1736"/>
        <v>0.5537282319</v>
      </c>
      <c r="J902" s="135">
        <f t="shared" si="8"/>
        <v>263495069.1</v>
      </c>
      <c r="K902" s="136">
        <f>IF(J902&gt;0,MIN(99,$B$12*Q902/(J902*12*(1-Inputs!$H$16))),99)</f>
        <v>2.291560581</v>
      </c>
      <c r="L902" s="134">
        <f t="shared" si="9"/>
        <v>1.159475289</v>
      </c>
      <c r="M902" s="134">
        <f t="shared" si="10"/>
        <v>1.069897574</v>
      </c>
      <c r="N902" s="134">
        <f t="shared" si="11"/>
        <v>1.008886239</v>
      </c>
      <c r="O902" s="134">
        <f t="shared" si="12"/>
        <v>0.9966603657</v>
      </c>
      <c r="P902" s="134">
        <f t="shared" si="13"/>
        <v>1.211912286</v>
      </c>
      <c r="Q902" s="134">
        <f t="shared" si="14"/>
        <v>1.109870522</v>
      </c>
    </row>
    <row r="903" ht="15.0" customHeight="1">
      <c r="A903" s="13">
        <v>864.0</v>
      </c>
      <c r="B903" s="134">
        <f t="shared" ref="B903:D903" si="1737">RAND()</f>
        <v>0.3038146372</v>
      </c>
      <c r="C903" s="134">
        <f t="shared" si="1737"/>
        <v>0.7625043086</v>
      </c>
      <c r="D903" s="134">
        <f t="shared" si="1737"/>
        <v>0.02580900085</v>
      </c>
      <c r="F903" s="134">
        <f t="shared" ref="F903:H903" si="1738">RAND()</f>
        <v>0.2596674624</v>
      </c>
      <c r="G903" s="134">
        <f t="shared" si="1738"/>
        <v>0.6890109613</v>
      </c>
      <c r="H903" s="134">
        <f t="shared" si="1738"/>
        <v>0.591794173</v>
      </c>
      <c r="J903" s="135">
        <f t="shared" si="8"/>
        <v>121031352.1</v>
      </c>
      <c r="K903" s="136">
        <f>IF(J903&gt;0,MIN(99,$B$12*Q903/(J903*12*(1-Inputs!$H$16))),99)</f>
        <v>5.058247285</v>
      </c>
      <c r="L903" s="134">
        <f t="shared" si="9"/>
        <v>0.9598760306</v>
      </c>
      <c r="M903" s="134">
        <f t="shared" si="10"/>
        <v>0.9814125629</v>
      </c>
      <c r="N903" s="134">
        <f t="shared" si="11"/>
        <v>0.9543829947</v>
      </c>
      <c r="O903" s="134">
        <f t="shared" si="12"/>
        <v>1.003424998</v>
      </c>
      <c r="P903" s="134">
        <f t="shared" si="13"/>
        <v>1.332473146</v>
      </c>
      <c r="Q903" s="134">
        <f t="shared" si="14"/>
        <v>1.125295089</v>
      </c>
    </row>
    <row r="904" ht="15.0" customHeight="1">
      <c r="A904" s="13">
        <v>865.0</v>
      </c>
      <c r="B904" s="134">
        <f t="shared" ref="B904:D904" si="1739">RAND()</f>
        <v>0.8995734168</v>
      </c>
      <c r="C904" s="134">
        <f t="shared" si="1739"/>
        <v>0.2642760446</v>
      </c>
      <c r="D904" s="134">
        <f t="shared" si="1739"/>
        <v>0.4265074801</v>
      </c>
      <c r="F904" s="134">
        <f t="shared" ref="F904:H904" si="1740">RAND()</f>
        <v>0.5656065364</v>
      </c>
      <c r="G904" s="134">
        <f t="shared" si="1740"/>
        <v>0.9197278084</v>
      </c>
      <c r="H904" s="134">
        <f t="shared" si="1740"/>
        <v>0.8783298647</v>
      </c>
      <c r="J904" s="135">
        <f t="shared" si="8"/>
        <v>243910345.5</v>
      </c>
      <c r="K904" s="136">
        <f>IF(J904&gt;0,MIN(99,$B$12*Q904/(J904*12*(1-Inputs!$H$16))),99)</f>
        <v>2.852637671</v>
      </c>
      <c r="L904" s="134">
        <f t="shared" si="9"/>
        <v>1.157489766</v>
      </c>
      <c r="M904" s="134">
        <f t="shared" si="10"/>
        <v>1.069019446</v>
      </c>
      <c r="N904" s="134">
        <f t="shared" si="11"/>
        <v>1.001782212</v>
      </c>
      <c r="O904" s="134">
        <f t="shared" si="12"/>
        <v>1.028792863</v>
      </c>
      <c r="P904" s="134">
        <f t="shared" si="13"/>
        <v>1.593348578</v>
      </c>
      <c r="Q904" s="134">
        <f t="shared" si="14"/>
        <v>1.278925703</v>
      </c>
    </row>
    <row r="905" ht="15.0" customHeight="1">
      <c r="A905" s="13">
        <v>866.0</v>
      </c>
      <c r="B905" s="134">
        <f t="shared" ref="B905:D905" si="1741">RAND()</f>
        <v>0.7766950589</v>
      </c>
      <c r="C905" s="134">
        <f t="shared" si="1741"/>
        <v>0.7329818205</v>
      </c>
      <c r="D905" s="134">
        <f t="shared" si="1741"/>
        <v>0.4353982938</v>
      </c>
      <c r="F905" s="134">
        <f t="shared" ref="F905:H905" si="1742">RAND()</f>
        <v>0.5987938483</v>
      </c>
      <c r="G905" s="134">
        <f t="shared" si="1742"/>
        <v>0.275695191</v>
      </c>
      <c r="H905" s="134">
        <f t="shared" si="1742"/>
        <v>0.3375963426</v>
      </c>
      <c r="J905" s="135">
        <f t="shared" si="8"/>
        <v>218485244.8</v>
      </c>
      <c r="K905" s="136">
        <f>IF(J905&gt;0,MIN(99,$B$12*Q905/(J905*12*(1-Inputs!$H$16))),99)</f>
        <v>2.571315557</v>
      </c>
      <c r="L905" s="134">
        <f t="shared" si="9"/>
        <v>1.099773206</v>
      </c>
      <c r="M905" s="134">
        <f t="shared" si="10"/>
        <v>1.043493431</v>
      </c>
      <c r="N905" s="134">
        <f t="shared" si="11"/>
        <v>1.002471713</v>
      </c>
      <c r="O905" s="134">
        <f t="shared" si="12"/>
        <v>1.032028029</v>
      </c>
      <c r="P905" s="134">
        <f t="shared" si="13"/>
        <v>1.0534764</v>
      </c>
      <c r="Q905" s="134">
        <f t="shared" si="14"/>
        <v>1.032632932</v>
      </c>
    </row>
    <row r="906" ht="15.0" customHeight="1">
      <c r="A906" s="13">
        <v>867.0</v>
      </c>
      <c r="B906" s="134">
        <f t="shared" ref="B906:D906" si="1743">RAND()</f>
        <v>0.308070812</v>
      </c>
      <c r="C906" s="134">
        <f t="shared" si="1743"/>
        <v>0.4632587888</v>
      </c>
      <c r="D906" s="134">
        <f t="shared" si="1743"/>
        <v>0.4904447224</v>
      </c>
      <c r="F906" s="134">
        <f t="shared" ref="F906:H906" si="1744">RAND()</f>
        <v>0.7830010838</v>
      </c>
      <c r="G906" s="134">
        <f t="shared" si="1744"/>
        <v>0.9882533526</v>
      </c>
      <c r="H906" s="134">
        <f t="shared" si="1744"/>
        <v>0.6449664814</v>
      </c>
      <c r="J906" s="135">
        <f t="shared" si="8"/>
        <v>86642129.87</v>
      </c>
      <c r="K906" s="136">
        <f>IF(J906&gt;0,MIN(99,$B$12*Q906/(J906*12*(1-Inputs!$H$16))),99)</f>
        <v>7.209120872</v>
      </c>
      <c r="L906" s="134">
        <f t="shared" si="9"/>
        <v>0.9611665017</v>
      </c>
      <c r="M906" s="134">
        <f t="shared" si="10"/>
        <v>0.9819899052</v>
      </c>
      <c r="N906" s="134">
        <f t="shared" si="11"/>
        <v>1.006867299</v>
      </c>
      <c r="O906" s="134">
        <f t="shared" si="12"/>
        <v>1.053141863</v>
      </c>
      <c r="P906" s="134">
        <f t="shared" si="13"/>
        <v>1.759703732</v>
      </c>
      <c r="Q906" s="134">
        <f t="shared" si="14"/>
        <v>1.148100506</v>
      </c>
    </row>
    <row r="907" ht="15.0" customHeight="1">
      <c r="A907" s="13">
        <v>868.0</v>
      </c>
      <c r="B907" s="134">
        <f t="shared" ref="B907:D907" si="1745">RAND()</f>
        <v>0.9036343065</v>
      </c>
      <c r="C907" s="134">
        <f t="shared" si="1745"/>
        <v>0.6189354407</v>
      </c>
      <c r="D907" s="134">
        <f t="shared" si="1745"/>
        <v>0.9540823753</v>
      </c>
      <c r="F907" s="134">
        <f t="shared" ref="F907:H907" si="1746">RAND()</f>
        <v>0.5782948109</v>
      </c>
      <c r="G907" s="134">
        <f t="shared" si="1746"/>
        <v>0.03927394344</v>
      </c>
      <c r="H907" s="134">
        <f t="shared" si="1746"/>
        <v>0.6646126419</v>
      </c>
      <c r="J907" s="135">
        <f t="shared" si="8"/>
        <v>255880043.9</v>
      </c>
      <c r="K907" s="136">
        <f>IF(J907&gt;0,MIN(99,$B$12*Q907/(J907*12*(1-Inputs!$H$16))),99)</f>
        <v>2.459867539</v>
      </c>
      <c r="L907" s="134">
        <f t="shared" si="9"/>
        <v>1.159890127</v>
      </c>
      <c r="M907" s="134">
        <f t="shared" si="10"/>
        <v>1.070081042</v>
      </c>
      <c r="N907" s="134">
        <f t="shared" si="11"/>
        <v>1.065315422</v>
      </c>
      <c r="O907" s="134">
        <f t="shared" si="12"/>
        <v>1.030014636</v>
      </c>
      <c r="P907" s="134">
        <f t="shared" si="13"/>
        <v>0.9020256139</v>
      </c>
      <c r="Q907" s="134">
        <f t="shared" si="14"/>
        <v>1.156955405</v>
      </c>
    </row>
    <row r="908" ht="15.0" customHeight="1">
      <c r="A908" s="13">
        <v>869.0</v>
      </c>
      <c r="B908" s="134">
        <f t="shared" ref="B908:D908" si="1747">RAND()</f>
        <v>0.05677045887</v>
      </c>
      <c r="C908" s="134">
        <f t="shared" si="1747"/>
        <v>0.8931269995</v>
      </c>
      <c r="D908" s="134">
        <f t="shared" si="1747"/>
        <v>0.9047945522</v>
      </c>
      <c r="F908" s="134">
        <f t="shared" ref="F908:H908" si="1748">RAND()</f>
        <v>0.1242851126</v>
      </c>
      <c r="G908" s="134">
        <f t="shared" si="1748"/>
        <v>0.581117355</v>
      </c>
      <c r="H908" s="134">
        <f t="shared" si="1748"/>
        <v>0.5597407332</v>
      </c>
      <c r="J908" s="135">
        <f t="shared" si="8"/>
        <v>37393674.02</v>
      </c>
      <c r="K908" s="136">
        <f>IF(J908&gt;0,MIN(99,$B$12*Q908/(J908*12*(1-Inputs!$H$16))),99)</f>
        <v>16.18230573</v>
      </c>
      <c r="L908" s="134">
        <f t="shared" si="9"/>
        <v>0.8549166855</v>
      </c>
      <c r="M908" s="134">
        <f t="shared" si="10"/>
        <v>0.9344549267</v>
      </c>
      <c r="N908" s="134">
        <f t="shared" si="11"/>
        <v>1.054285651</v>
      </c>
      <c r="O908" s="134">
        <f t="shared" si="12"/>
        <v>0.9929351855</v>
      </c>
      <c r="P908" s="134">
        <f t="shared" si="13"/>
        <v>1.247320736</v>
      </c>
      <c r="Q908" s="134">
        <f t="shared" si="14"/>
        <v>1.112261798</v>
      </c>
    </row>
    <row r="909" ht="15.0" customHeight="1">
      <c r="A909" s="13">
        <v>870.0</v>
      </c>
      <c r="B909" s="134">
        <f t="shared" ref="B909:D909" si="1749">RAND()</f>
        <v>0.5571804369</v>
      </c>
      <c r="C909" s="134">
        <f t="shared" si="1749"/>
        <v>0.9263004209</v>
      </c>
      <c r="D909" s="134">
        <f t="shared" si="1749"/>
        <v>0.4295157321</v>
      </c>
      <c r="F909" s="134">
        <f t="shared" ref="F909:H909" si="1750">RAND()</f>
        <v>0.4725593755</v>
      </c>
      <c r="G909" s="134">
        <f t="shared" si="1750"/>
        <v>0.07768888577</v>
      </c>
      <c r="H909" s="134">
        <f t="shared" si="1750"/>
        <v>0.2513593727</v>
      </c>
      <c r="J909" s="135">
        <f t="shared" si="8"/>
        <v>171639898.7</v>
      </c>
      <c r="K909" s="136">
        <f>IF(J909&gt;0,MIN(99,$B$12*Q909/(J909*12*(1-Inputs!$H$16))),99)</f>
        <v>3.186889595</v>
      </c>
      <c r="L909" s="134">
        <f t="shared" si="9"/>
        <v>1.028245689</v>
      </c>
      <c r="M909" s="134">
        <f t="shared" si="10"/>
        <v>1.011859312</v>
      </c>
      <c r="N909" s="134">
        <f t="shared" si="11"/>
        <v>1.002014906</v>
      </c>
      <c r="O909" s="134">
        <f t="shared" si="12"/>
        <v>1.020330323</v>
      </c>
      <c r="P909" s="134">
        <f t="shared" si="13"/>
        <v>0.9375247532</v>
      </c>
      <c r="Q909" s="134">
        <f t="shared" si="14"/>
        <v>1.005434421</v>
      </c>
    </row>
    <row r="910" ht="15.0" customHeight="1">
      <c r="A910" s="13">
        <v>871.0</v>
      </c>
      <c r="B910" s="134">
        <f t="shared" ref="B910:D910" si="1751">RAND()</f>
        <v>0.5994024932</v>
      </c>
      <c r="C910" s="134">
        <f t="shared" si="1751"/>
        <v>0.9721423837</v>
      </c>
      <c r="D910" s="134">
        <f t="shared" si="1751"/>
        <v>0.8510846033</v>
      </c>
      <c r="F910" s="134">
        <f t="shared" ref="F910:H910" si="1752">RAND()</f>
        <v>0.1938082448</v>
      </c>
      <c r="G910" s="134">
        <f t="shared" si="1752"/>
        <v>0.3396802542</v>
      </c>
      <c r="H910" s="134">
        <f t="shared" si="1752"/>
        <v>0.8581877176</v>
      </c>
      <c r="J910" s="135">
        <f t="shared" si="8"/>
        <v>168597937.6</v>
      </c>
      <c r="K910" s="136">
        <f>IF(J910&gt;0,MIN(99,$B$12*Q910/(J910*12*(1-Inputs!$H$16))),99)</f>
        <v>4.079454921</v>
      </c>
      <c r="L910" s="134">
        <f t="shared" si="9"/>
        <v>1.040304118</v>
      </c>
      <c r="M910" s="134">
        <f t="shared" si="10"/>
        <v>1.017192333</v>
      </c>
      <c r="N910" s="134">
        <f t="shared" si="11"/>
        <v>1.045236496</v>
      </c>
      <c r="O910" s="134">
        <f t="shared" si="12"/>
        <v>0.9986688197</v>
      </c>
      <c r="P910" s="134">
        <f t="shared" si="13"/>
        <v>1.090049095</v>
      </c>
      <c r="Q910" s="134">
        <f t="shared" si="14"/>
        <v>1.264220643</v>
      </c>
    </row>
    <row r="911" ht="15.0" customHeight="1">
      <c r="A911" s="13">
        <v>872.0</v>
      </c>
      <c r="B911" s="134">
        <f t="shared" ref="B911:D911" si="1753">RAND()</f>
        <v>0.07030935145</v>
      </c>
      <c r="C911" s="134">
        <f t="shared" si="1753"/>
        <v>0.9330624528</v>
      </c>
      <c r="D911" s="134">
        <f t="shared" si="1753"/>
        <v>0.5554125818</v>
      </c>
      <c r="F911" s="134">
        <f t="shared" ref="F911:H911" si="1754">RAND()</f>
        <v>0.9516432052</v>
      </c>
      <c r="G911" s="134">
        <f t="shared" si="1754"/>
        <v>0.6942530707</v>
      </c>
      <c r="H911" s="134">
        <f t="shared" si="1754"/>
        <v>0.7198157816</v>
      </c>
      <c r="J911" s="135">
        <f t="shared" si="8"/>
        <v>32172061.39</v>
      </c>
      <c r="K911" s="136">
        <f>IF(J911&gt;0,MIN(99,$B$12*Q911/(J911*12*(1-Inputs!$H$16))),99)</f>
        <v>20.01052141</v>
      </c>
      <c r="L911" s="134">
        <f t="shared" si="9"/>
        <v>0.8639370679</v>
      </c>
      <c r="M911" s="134">
        <f t="shared" si="10"/>
        <v>0.9384905448</v>
      </c>
      <c r="N911" s="134">
        <f t="shared" si="11"/>
        <v>1.01237313</v>
      </c>
      <c r="O911" s="134">
        <f t="shared" si="12"/>
        <v>1.084127735</v>
      </c>
      <c r="P911" s="134">
        <f t="shared" si="13"/>
        <v>1.336961517</v>
      </c>
      <c r="Q911" s="134">
        <f t="shared" si="14"/>
        <v>1.183329728</v>
      </c>
    </row>
    <row r="912" ht="15.0" customHeight="1">
      <c r="A912" s="13">
        <v>873.0</v>
      </c>
      <c r="B912" s="134">
        <f t="shared" ref="B912:D912" si="1755">RAND()</f>
        <v>0.3723438285</v>
      </c>
      <c r="C912" s="134">
        <f t="shared" si="1755"/>
        <v>0.5054702175</v>
      </c>
      <c r="D912" s="134">
        <f t="shared" si="1755"/>
        <v>0.5621863856</v>
      </c>
      <c r="F912" s="134">
        <f t="shared" ref="F912:H912" si="1756">RAND()</f>
        <v>0.2793616023</v>
      </c>
      <c r="G912" s="134">
        <f t="shared" si="1756"/>
        <v>0.88132416</v>
      </c>
      <c r="H912" s="134">
        <f t="shared" si="1756"/>
        <v>0.6956039945</v>
      </c>
      <c r="J912" s="135">
        <f t="shared" si="8"/>
        <v>114730987.8</v>
      </c>
      <c r="K912" s="136">
        <f>IF(J912&gt;0,MIN(99,$B$12*Q912/(J912*12*(1-Inputs!$H$16))),99)</f>
        <v>5.554967603</v>
      </c>
      <c r="L912" s="134">
        <f t="shared" si="9"/>
        <v>0.9796672439</v>
      </c>
      <c r="M912" s="134">
        <f t="shared" si="10"/>
        <v>0.9902669302</v>
      </c>
      <c r="N912" s="134">
        <f t="shared" si="11"/>
        <v>1.012969728</v>
      </c>
      <c r="O912" s="134">
        <f t="shared" si="12"/>
        <v>1.004876655</v>
      </c>
      <c r="P912" s="134">
        <f t="shared" si="13"/>
        <v>1.535180767</v>
      </c>
      <c r="Q912" s="134">
        <f t="shared" si="14"/>
        <v>1.171468848</v>
      </c>
    </row>
    <row r="913" ht="15.0" customHeight="1">
      <c r="A913" s="13">
        <v>874.0</v>
      </c>
      <c r="B913" s="134">
        <f t="shared" ref="B913:D913" si="1757">RAND()</f>
        <v>0.9559275902</v>
      </c>
      <c r="C913" s="134">
        <f t="shared" si="1757"/>
        <v>0.05848458054</v>
      </c>
      <c r="D913" s="134">
        <f t="shared" si="1757"/>
        <v>0.01733243012</v>
      </c>
      <c r="F913" s="134">
        <f t="shared" ref="F913:H913" si="1758">RAND()</f>
        <v>0.834793412</v>
      </c>
      <c r="G913" s="134">
        <f t="shared" si="1758"/>
        <v>0.1850661454</v>
      </c>
      <c r="H913" s="134">
        <f t="shared" si="1758"/>
        <v>0.3684768409</v>
      </c>
      <c r="J913" s="135">
        <f t="shared" si="8"/>
        <v>305876195.1</v>
      </c>
      <c r="K913" s="136">
        <f>IF(J913&gt;0,MIN(99,$B$12*Q913/(J913*12*(1-Inputs!$H$16))),99)</f>
        <v>1.854755647</v>
      </c>
      <c r="L913" s="134">
        <f t="shared" si="9"/>
        <v>1.197154279</v>
      </c>
      <c r="M913" s="134">
        <f t="shared" si="10"/>
        <v>1.086561673</v>
      </c>
      <c r="N913" s="134">
        <f t="shared" si="11"/>
        <v>0.9515941215</v>
      </c>
      <c r="O913" s="134">
        <f t="shared" si="12"/>
        <v>1.060622845</v>
      </c>
      <c r="P913" s="134">
        <f t="shared" si="13"/>
        <v>1.004336844</v>
      </c>
      <c r="Q913" s="134">
        <f t="shared" si="14"/>
        <v>1.042799616</v>
      </c>
    </row>
    <row r="914" ht="15.0" customHeight="1">
      <c r="A914" s="13">
        <v>875.0</v>
      </c>
      <c r="B914" s="134">
        <f t="shared" ref="B914:D914" si="1759">RAND()</f>
        <v>0.01033124112</v>
      </c>
      <c r="C914" s="134">
        <f t="shared" si="1759"/>
        <v>0.2898935196</v>
      </c>
      <c r="D914" s="134">
        <f t="shared" si="1759"/>
        <v>0.3309575093</v>
      </c>
      <c r="F914" s="134">
        <f t="shared" ref="F914:H914" si="1760">RAND()</f>
        <v>0.8609738557</v>
      </c>
      <c r="G914" s="134">
        <f t="shared" si="1760"/>
        <v>0.5015525333</v>
      </c>
      <c r="H914" s="134">
        <f t="shared" si="1760"/>
        <v>0.8481489856</v>
      </c>
      <c r="J914" s="135">
        <f t="shared" si="8"/>
        <v>10259676.02</v>
      </c>
      <c r="K914" s="136">
        <f>IF(J914&gt;0,MIN(99,$B$12*Q914/(J914*12*(1-Inputs!$H$16))),99)</f>
        <v>66.67004994</v>
      </c>
      <c r="L914" s="134">
        <f t="shared" si="9"/>
        <v>0.8090920024</v>
      </c>
      <c r="M914" s="134">
        <f t="shared" si="10"/>
        <v>0.9139534763</v>
      </c>
      <c r="N914" s="134">
        <f t="shared" si="11"/>
        <v>0.9942590683</v>
      </c>
      <c r="O914" s="134">
        <f t="shared" si="12"/>
        <v>1.064855521</v>
      </c>
      <c r="P914" s="134">
        <f t="shared" si="13"/>
        <v>1.191409875</v>
      </c>
      <c r="Q914" s="134">
        <f t="shared" si="14"/>
        <v>1.257282609</v>
      </c>
    </row>
    <row r="915" ht="15.0" customHeight="1">
      <c r="A915" s="13">
        <v>876.0</v>
      </c>
      <c r="B915" s="134">
        <f t="shared" ref="B915:D915" si="1761">RAND()</f>
        <v>0.50665392</v>
      </c>
      <c r="C915" s="134">
        <f t="shared" si="1761"/>
        <v>0.02606161818</v>
      </c>
      <c r="D915" s="134">
        <f t="shared" si="1761"/>
        <v>0.9990239225</v>
      </c>
      <c r="F915" s="134">
        <f t="shared" ref="F915:H915" si="1762">RAND()</f>
        <v>0.3817749715</v>
      </c>
      <c r="G915" s="134">
        <f t="shared" si="1762"/>
        <v>0.1589184599</v>
      </c>
      <c r="H915" s="134">
        <f t="shared" si="1762"/>
        <v>0.7070570077</v>
      </c>
      <c r="J915" s="135">
        <f t="shared" si="8"/>
        <v>142537147.9</v>
      </c>
      <c r="K915" s="136">
        <f>IF(J915&gt;0,MIN(99,$B$12*Q915/(J915*12*(1-Inputs!$H$16))),99)</f>
        <v>4.492485257</v>
      </c>
      <c r="L915" s="134">
        <f t="shared" si="9"/>
        <v>1.014548304</v>
      </c>
      <c r="M915" s="134">
        <f t="shared" si="10"/>
        <v>1.005801437</v>
      </c>
      <c r="N915" s="134">
        <f t="shared" si="11"/>
        <v>1.0867317</v>
      </c>
      <c r="O915" s="134">
        <f t="shared" si="12"/>
        <v>1.012767885</v>
      </c>
      <c r="P915" s="134">
        <f t="shared" si="13"/>
        <v>0.9903735001</v>
      </c>
      <c r="Q915" s="134">
        <f t="shared" si="14"/>
        <v>1.177018276</v>
      </c>
    </row>
    <row r="916" ht="15.0" customHeight="1">
      <c r="A916" s="13">
        <v>877.0</v>
      </c>
      <c r="B916" s="134">
        <f t="shared" ref="B916:D916" si="1763">RAND()</f>
        <v>0.8480816152</v>
      </c>
      <c r="C916" s="134">
        <f t="shared" si="1763"/>
        <v>0.3467854592</v>
      </c>
      <c r="D916" s="134">
        <f t="shared" si="1763"/>
        <v>0.750784773</v>
      </c>
      <c r="F916" s="134">
        <f t="shared" ref="F916:H916" si="1764">RAND()</f>
        <v>0.7048233761</v>
      </c>
      <c r="G916" s="134">
        <f t="shared" si="1764"/>
        <v>0.3022747232</v>
      </c>
      <c r="H916" s="134">
        <f t="shared" si="1764"/>
        <v>0.1573359637</v>
      </c>
      <c r="J916" s="135">
        <f t="shared" si="8"/>
        <v>232601650.5</v>
      </c>
      <c r="K916" s="136">
        <f>IF(J916&gt;0,MIN(99,$B$12*Q916/(J916*12*(1-Inputs!$H$16))),99)</f>
        <v>2.279762006</v>
      </c>
      <c r="L916" s="134">
        <f t="shared" si="9"/>
        <v>1.130470495</v>
      </c>
      <c r="M916" s="134">
        <f t="shared" si="10"/>
        <v>1.057069768</v>
      </c>
      <c r="N916" s="134">
        <f t="shared" si="11"/>
        <v>1.031977926</v>
      </c>
      <c r="O916" s="134">
        <f t="shared" si="12"/>
        <v>1.043381019</v>
      </c>
      <c r="P916" s="134">
        <f t="shared" si="13"/>
        <v>1.068464282</v>
      </c>
      <c r="Q916" s="134">
        <f t="shared" si="14"/>
        <v>0.9746995932</v>
      </c>
    </row>
    <row r="917" ht="15.0" customHeight="1">
      <c r="A917" s="13">
        <v>878.0</v>
      </c>
      <c r="B917" s="134">
        <f t="shared" ref="B917:D917" si="1765">RAND()</f>
        <v>0.4312611304</v>
      </c>
      <c r="C917" s="134">
        <f t="shared" si="1765"/>
        <v>0.4284430715</v>
      </c>
      <c r="D917" s="134">
        <f t="shared" si="1765"/>
        <v>0.7979027382</v>
      </c>
      <c r="F917" s="134">
        <f t="shared" ref="F917:H917" si="1766">RAND()</f>
        <v>0.01188590866</v>
      </c>
      <c r="G917" s="134">
        <f t="shared" si="1766"/>
        <v>0.7343591568</v>
      </c>
      <c r="H917" s="134">
        <f t="shared" si="1766"/>
        <v>0.2182849517</v>
      </c>
      <c r="J917" s="135">
        <f t="shared" si="8"/>
        <v>131161411.5</v>
      </c>
      <c r="K917" s="136">
        <f>IF(J917&gt;0,MIN(99,$B$12*Q917/(J917*12*(1-Inputs!$H$16))),99)</f>
        <v>4.12846869</v>
      </c>
      <c r="L917" s="134">
        <f t="shared" si="9"/>
        <v>0.9952654698</v>
      </c>
      <c r="M917" s="134">
        <f t="shared" si="10"/>
        <v>0.9972454018</v>
      </c>
      <c r="N917" s="134">
        <f t="shared" si="11"/>
        <v>1.037788524</v>
      </c>
      <c r="O917" s="134">
        <f t="shared" si="12"/>
        <v>0.9770136923</v>
      </c>
      <c r="P917" s="134">
        <f t="shared" si="13"/>
        <v>1.37265929</v>
      </c>
      <c r="Q917" s="134">
        <f t="shared" si="14"/>
        <v>0.9953218963</v>
      </c>
    </row>
    <row r="918" ht="15.0" customHeight="1">
      <c r="A918" s="13">
        <v>879.0</v>
      </c>
      <c r="B918" s="134">
        <f t="shared" ref="B918:D918" si="1767">RAND()</f>
        <v>0.9654377209</v>
      </c>
      <c r="C918" s="134">
        <f t="shared" si="1767"/>
        <v>0.2439154539</v>
      </c>
      <c r="D918" s="134">
        <f t="shared" si="1767"/>
        <v>0.6415993793</v>
      </c>
      <c r="F918" s="134">
        <f t="shared" ref="F918:H918" si="1768">RAND()</f>
        <v>0.591373021</v>
      </c>
      <c r="G918" s="134">
        <f t="shared" si="1768"/>
        <v>0.805957108</v>
      </c>
      <c r="H918" s="134">
        <f t="shared" si="1768"/>
        <v>0.01570721732</v>
      </c>
      <c r="J918" s="135">
        <f t="shared" si="8"/>
        <v>283754121.8</v>
      </c>
      <c r="K918" s="136">
        <f>IF(J918&gt;0,MIN(99,$B$12*Q918/(J918*12*(1-Inputs!$H$16))),99)</f>
        <v>1.716733582</v>
      </c>
      <c r="L918" s="134">
        <f t="shared" si="9"/>
        <v>1.206062975</v>
      </c>
      <c r="M918" s="134">
        <f t="shared" si="10"/>
        <v>1.090501678</v>
      </c>
      <c r="N918" s="134">
        <f t="shared" si="11"/>
        <v>1.020341934</v>
      </c>
      <c r="O918" s="134">
        <f t="shared" si="12"/>
        <v>1.031293351</v>
      </c>
      <c r="P918" s="134">
        <f t="shared" si="13"/>
        <v>1.443883641</v>
      </c>
      <c r="Q918" s="134">
        <f t="shared" si="14"/>
        <v>0.8953927276</v>
      </c>
    </row>
    <row r="919" ht="15.0" customHeight="1">
      <c r="A919" s="13">
        <v>880.0</v>
      </c>
      <c r="B919" s="134">
        <f t="shared" ref="B919:D919" si="1769">RAND()</f>
        <v>0.5802514262</v>
      </c>
      <c r="C919" s="134">
        <f t="shared" si="1769"/>
        <v>0.6276107541</v>
      </c>
      <c r="D919" s="134">
        <f t="shared" si="1769"/>
        <v>0.8178651759</v>
      </c>
      <c r="F919" s="134">
        <f t="shared" ref="F919:H919" si="1770">RAND()</f>
        <v>0.8203799022</v>
      </c>
      <c r="G919" s="134">
        <f t="shared" si="1770"/>
        <v>0.1642652749</v>
      </c>
      <c r="H919" s="134">
        <f t="shared" si="1770"/>
        <v>0.4693462019</v>
      </c>
      <c r="J919" s="135">
        <f t="shared" si="8"/>
        <v>159346201.6</v>
      </c>
      <c r="K919" s="136">
        <f>IF(J919&gt;0,MIN(99,$B$12*Q919/(J919*12*(1-Inputs!$H$16))),99)</f>
        <v>3.680074127</v>
      </c>
      <c r="L919" s="134">
        <f t="shared" si="9"/>
        <v>1.034759643</v>
      </c>
      <c r="M919" s="134">
        <f t="shared" si="10"/>
        <v>1.014740206</v>
      </c>
      <c r="N919" s="134">
        <f t="shared" si="11"/>
        <v>1.040453801</v>
      </c>
      <c r="O919" s="134">
        <f t="shared" si="12"/>
        <v>1.058435576</v>
      </c>
      <c r="P919" s="134">
        <f t="shared" si="13"/>
        <v>0.9933045196</v>
      </c>
      <c r="Q919" s="134">
        <f t="shared" si="14"/>
        <v>1.07787094</v>
      </c>
    </row>
    <row r="920" ht="15.0" customHeight="1">
      <c r="A920" s="13">
        <v>881.0</v>
      </c>
      <c r="B920" s="134">
        <f t="shared" ref="B920:D920" si="1771">RAND()</f>
        <v>0.1174017378</v>
      </c>
      <c r="C920" s="134">
        <f t="shared" si="1771"/>
        <v>0.2156913793</v>
      </c>
      <c r="D920" s="134">
        <f t="shared" si="1771"/>
        <v>0.919871469</v>
      </c>
      <c r="F920" s="134">
        <f t="shared" ref="F920:H920" si="1772">RAND()</f>
        <v>0.4783031645</v>
      </c>
      <c r="G920" s="134">
        <f t="shared" si="1772"/>
        <v>0.2039483745</v>
      </c>
      <c r="H920" s="134">
        <f t="shared" si="1772"/>
        <v>0.00789801322</v>
      </c>
      <c r="J920" s="135">
        <f t="shared" si="8"/>
        <v>62935551.04</v>
      </c>
      <c r="K920" s="136">
        <f>IF(J920&gt;0,MIN(99,$B$12*Q920/(J920*12*(1-Inputs!$H$16))),99)</f>
        <v>7.64802671</v>
      </c>
      <c r="L920" s="134">
        <f t="shared" si="9"/>
        <v>0.8899247384</v>
      </c>
      <c r="M920" s="134">
        <f t="shared" si="10"/>
        <v>0.9501171377</v>
      </c>
      <c r="N920" s="134">
        <f t="shared" si="11"/>
        <v>1.05726733</v>
      </c>
      <c r="O920" s="134">
        <f t="shared" si="12"/>
        <v>1.020829923</v>
      </c>
      <c r="P920" s="134">
        <f t="shared" si="13"/>
        <v>1.014340143</v>
      </c>
      <c r="Q920" s="134">
        <f t="shared" si="14"/>
        <v>0.8847364425</v>
      </c>
    </row>
    <row r="921" ht="15.0" customHeight="1">
      <c r="A921" s="13">
        <v>882.0</v>
      </c>
      <c r="B921" s="134">
        <f t="shared" ref="B921:D921" si="1773">RAND()</f>
        <v>0.9909296373</v>
      </c>
      <c r="C921" s="134">
        <f t="shared" si="1773"/>
        <v>0.5812256826</v>
      </c>
      <c r="D921" s="134">
        <f t="shared" si="1773"/>
        <v>0.3606283321</v>
      </c>
      <c r="F921" s="134">
        <f t="shared" ref="F921:H921" si="1774">RAND()</f>
        <v>0.9259901543</v>
      </c>
      <c r="G921" s="134">
        <f t="shared" si="1774"/>
        <v>0.6288352033</v>
      </c>
      <c r="H921" s="134">
        <f t="shared" si="1774"/>
        <v>0.4283529538</v>
      </c>
      <c r="J921" s="135">
        <f t="shared" si="8"/>
        <v>316347436.8</v>
      </c>
      <c r="K921" s="136">
        <f>IF(J921&gt;0,MIN(99,$B$12*Q921/(J921*12*(1-Inputs!$H$16))),99)</f>
        <v>1.828527415</v>
      </c>
      <c r="L921" s="134">
        <f t="shared" si="9"/>
        <v>1.239684637</v>
      </c>
      <c r="M921" s="134">
        <f t="shared" si="10"/>
        <v>1.105371363</v>
      </c>
      <c r="N921" s="134">
        <f t="shared" si="11"/>
        <v>0.9966858772</v>
      </c>
      <c r="O921" s="134">
        <f t="shared" si="12"/>
        <v>1.077557642</v>
      </c>
      <c r="P921" s="134">
        <f t="shared" si="13"/>
        <v>1.28343518</v>
      </c>
      <c r="Q921" s="134">
        <f t="shared" si="14"/>
        <v>1.063247273</v>
      </c>
    </row>
    <row r="922" ht="15.0" customHeight="1">
      <c r="A922" s="13">
        <v>883.0</v>
      </c>
      <c r="B922" s="134">
        <f t="shared" ref="B922:D922" si="1775">RAND()</f>
        <v>0.9693408679</v>
      </c>
      <c r="C922" s="134">
        <f t="shared" si="1775"/>
        <v>0.3676771803</v>
      </c>
      <c r="D922" s="134">
        <f t="shared" si="1775"/>
        <v>0.385267227</v>
      </c>
      <c r="F922" s="134">
        <f t="shared" ref="F922:H922" si="1776">RAND()</f>
        <v>0.3915593246</v>
      </c>
      <c r="G922" s="134">
        <f t="shared" si="1776"/>
        <v>0.2992174925</v>
      </c>
      <c r="H922" s="134">
        <f t="shared" si="1776"/>
        <v>0.7930387144</v>
      </c>
      <c r="J922" s="135">
        <f t="shared" si="8"/>
        <v>309914749.3</v>
      </c>
      <c r="K922" s="136">
        <f>IF(J922&gt;0,MIN(99,$B$12*Q922/(J922*12*(1-Inputs!$H$16))),99)</f>
        <v>2.146441318</v>
      </c>
      <c r="L922" s="134">
        <f t="shared" si="9"/>
        <v>1.210072112</v>
      </c>
      <c r="M922" s="134">
        <f t="shared" si="10"/>
        <v>1.092274779</v>
      </c>
      <c r="N922" s="134">
        <f t="shared" si="11"/>
        <v>0.9986261846</v>
      </c>
      <c r="O922" s="134">
        <f t="shared" si="12"/>
        <v>1.01355495</v>
      </c>
      <c r="P922" s="134">
        <f t="shared" si="13"/>
        <v>1.066725983</v>
      </c>
      <c r="Q922" s="134">
        <f t="shared" si="14"/>
        <v>1.222727687</v>
      </c>
    </row>
    <row r="923" ht="15.0" customHeight="1">
      <c r="A923" s="13">
        <v>884.0</v>
      </c>
      <c r="B923" s="134">
        <f t="shared" ref="B923:D923" si="1777">RAND()</f>
        <v>0.8101923201</v>
      </c>
      <c r="C923" s="134">
        <f t="shared" si="1777"/>
        <v>0.8569297244</v>
      </c>
      <c r="D923" s="134">
        <f t="shared" si="1777"/>
        <v>0.916301447</v>
      </c>
      <c r="F923" s="134">
        <f t="shared" ref="F923:H923" si="1778">RAND()</f>
        <v>0.837029598</v>
      </c>
      <c r="G923" s="134">
        <f t="shared" si="1778"/>
        <v>0.2316041088</v>
      </c>
      <c r="H923" s="134">
        <f t="shared" si="1778"/>
        <v>0.5404126168</v>
      </c>
      <c r="J923" s="135">
        <f t="shared" si="8"/>
        <v>212134338.6</v>
      </c>
      <c r="K923" s="136">
        <f>IF(J923&gt;0,MIN(99,$B$12*Q923/(J923*12*(1-Inputs!$H$16))),99)</f>
        <v>2.832943508</v>
      </c>
      <c r="L923" s="134">
        <f t="shared" si="9"/>
        <v>1.113449525</v>
      </c>
      <c r="M923" s="134">
        <f t="shared" si="10"/>
        <v>1.049541988</v>
      </c>
      <c r="N923" s="134">
        <f t="shared" si="11"/>
        <v>1.056537565</v>
      </c>
      <c r="O923" s="134">
        <f t="shared" si="12"/>
        <v>1.060970617</v>
      </c>
      <c r="P923" s="134">
        <f t="shared" si="13"/>
        <v>1.029208056</v>
      </c>
      <c r="Q923" s="134">
        <f t="shared" si="14"/>
        <v>1.104631363</v>
      </c>
    </row>
    <row r="924" ht="15.0" customHeight="1">
      <c r="A924" s="13">
        <v>885.0</v>
      </c>
      <c r="B924" s="134">
        <f t="shared" ref="B924:D924" si="1779">RAND()</f>
        <v>0.7889768882</v>
      </c>
      <c r="C924" s="134">
        <f t="shared" si="1779"/>
        <v>0.1243982421</v>
      </c>
      <c r="D924" s="134">
        <f t="shared" si="1779"/>
        <v>0.3022949517</v>
      </c>
      <c r="F924" s="134">
        <f t="shared" ref="F924:H924" si="1780">RAND()</f>
        <v>0.1665690758</v>
      </c>
      <c r="G924" s="134">
        <f t="shared" si="1780"/>
        <v>0.8462019767</v>
      </c>
      <c r="H924" s="134">
        <f t="shared" si="1780"/>
        <v>0.6612496072</v>
      </c>
      <c r="J924" s="135">
        <f t="shared" si="8"/>
        <v>214200750.9</v>
      </c>
      <c r="K924" s="136">
        <f>IF(J924&gt;0,MIN(99,$B$12*Q924/(J924*12*(1-Inputs!$H$16))),99)</f>
        <v>2.934614117</v>
      </c>
      <c r="L924" s="134">
        <f t="shared" si="9"/>
        <v>1.104660111</v>
      </c>
      <c r="M924" s="134">
        <f t="shared" si="10"/>
        <v>1.045654738</v>
      </c>
      <c r="N924" s="134">
        <f t="shared" si="11"/>
        <v>0.9918090639</v>
      </c>
      <c r="O924" s="134">
        <f t="shared" si="12"/>
        <v>0.9965695757</v>
      </c>
      <c r="P924" s="134">
        <f t="shared" si="13"/>
        <v>1.489843524</v>
      </c>
      <c r="Q924" s="134">
        <f t="shared" si="14"/>
        <v>1.155421574</v>
      </c>
    </row>
    <row r="925" ht="15.0" customHeight="1">
      <c r="A925" s="13">
        <v>886.0</v>
      </c>
      <c r="B925" s="134">
        <f t="shared" ref="B925:D925" si="1781">RAND()</f>
        <v>0.6398576791</v>
      </c>
      <c r="C925" s="134">
        <f t="shared" si="1781"/>
        <v>0.1017931173</v>
      </c>
      <c r="D925" s="134">
        <f t="shared" si="1781"/>
        <v>0.1937225905</v>
      </c>
      <c r="F925" s="134">
        <f t="shared" ref="F925:H925" si="1782">RAND()</f>
        <v>0.6134212141</v>
      </c>
      <c r="G925" s="134">
        <f t="shared" si="1782"/>
        <v>0.3886305672</v>
      </c>
      <c r="H925" s="134">
        <f t="shared" si="1782"/>
        <v>0.3547169544</v>
      </c>
      <c r="J925" s="135">
        <f t="shared" si="8"/>
        <v>184999955.1</v>
      </c>
      <c r="K925" s="136">
        <f>IF(J925&gt;0,MIN(99,$B$12*Q925/(J925*12*(1-Inputs!$H$16))),99)</f>
        <v>3.053215341</v>
      </c>
      <c r="L925" s="134">
        <f t="shared" si="9"/>
        <v>1.052470071</v>
      </c>
      <c r="M925" s="134">
        <f t="shared" si="10"/>
        <v>1.022572909</v>
      </c>
      <c r="N925" s="134">
        <f t="shared" si="11"/>
        <v>0.981261581</v>
      </c>
      <c r="O925" s="134">
        <f t="shared" si="12"/>
        <v>1.033496343</v>
      </c>
      <c r="P925" s="134">
        <f t="shared" si="13"/>
        <v>1.119241765</v>
      </c>
      <c r="Q925" s="134">
        <f t="shared" si="14"/>
        <v>1.038239482</v>
      </c>
    </row>
    <row r="926" ht="15.0" customHeight="1">
      <c r="A926" s="13">
        <v>887.0</v>
      </c>
      <c r="B926" s="134">
        <f t="shared" ref="B926:D926" si="1783">RAND()</f>
        <v>0.05335434924</v>
      </c>
      <c r="C926" s="134">
        <f t="shared" si="1783"/>
        <v>0.484906709</v>
      </c>
      <c r="D926" s="134">
        <f t="shared" si="1783"/>
        <v>0.3002293063</v>
      </c>
      <c r="F926" s="134">
        <f t="shared" ref="F926:H926" si="1784">RAND()</f>
        <v>0.1867736335</v>
      </c>
      <c r="G926" s="134">
        <f t="shared" si="1784"/>
        <v>0.5363058947</v>
      </c>
      <c r="H926" s="134">
        <f t="shared" si="1784"/>
        <v>0.4042013773</v>
      </c>
      <c r="J926" s="135">
        <f t="shared" si="8"/>
        <v>47724818.58</v>
      </c>
      <c r="K926" s="136">
        <f>IF(J926&gt;0,MIN(99,$B$12*Q926/(J926*12*(1-Inputs!$H$16))),99)</f>
        <v>12.02510342</v>
      </c>
      <c r="L926" s="134">
        <f t="shared" si="9"/>
        <v>0.8524749268</v>
      </c>
      <c r="M926" s="134">
        <f t="shared" si="10"/>
        <v>0.9333625112</v>
      </c>
      <c r="N926" s="134">
        <f t="shared" si="11"/>
        <v>0.9916280974</v>
      </c>
      <c r="O926" s="134">
        <f t="shared" si="12"/>
        <v>0.9981416244</v>
      </c>
      <c r="P926" s="134">
        <f t="shared" si="13"/>
        <v>1.215237269</v>
      </c>
      <c r="Q926" s="134">
        <f t="shared" si="14"/>
        <v>1.054876428</v>
      </c>
    </row>
    <row r="927" ht="15.0" customHeight="1">
      <c r="A927" s="13">
        <v>888.0</v>
      </c>
      <c r="B927" s="134">
        <f t="shared" ref="B927:D927" si="1785">RAND()</f>
        <v>0.894134172</v>
      </c>
      <c r="C927" s="134">
        <f t="shared" si="1785"/>
        <v>0.7859524337</v>
      </c>
      <c r="D927" s="134">
        <f t="shared" si="1785"/>
        <v>0.9556528627</v>
      </c>
      <c r="F927" s="134">
        <f t="shared" ref="F927:H927" si="1786">RAND()</f>
        <v>0.4649002647</v>
      </c>
      <c r="G927" s="134">
        <f t="shared" si="1786"/>
        <v>0.4678478405</v>
      </c>
      <c r="H927" s="134">
        <f t="shared" si="1786"/>
        <v>0.730497822</v>
      </c>
      <c r="J927" s="135">
        <f t="shared" si="8"/>
        <v>243066885.1</v>
      </c>
      <c r="K927" s="136">
        <f>IF(J927&gt;0,MIN(99,$B$12*Q927/(J927*12*(1-Inputs!$H$16))),99)</f>
        <v>2.660646782</v>
      </c>
      <c r="L927" s="134">
        <f t="shared" si="9"/>
        <v>1.154349466</v>
      </c>
      <c r="M927" s="134">
        <f t="shared" si="10"/>
        <v>1.067630602</v>
      </c>
      <c r="N927" s="134">
        <f t="shared" si="11"/>
        <v>1.065747907</v>
      </c>
      <c r="O927" s="134">
        <f t="shared" si="12"/>
        <v>1.019668341</v>
      </c>
      <c r="P927" s="134">
        <f t="shared" si="13"/>
        <v>1.1690828</v>
      </c>
      <c r="Q927" s="134">
        <f t="shared" si="14"/>
        <v>1.188725283</v>
      </c>
    </row>
    <row r="928" ht="15.0" customHeight="1">
      <c r="A928" s="13">
        <v>889.0</v>
      </c>
      <c r="B928" s="134">
        <f t="shared" ref="B928:D928" si="1787">RAND()</f>
        <v>0.7492988429</v>
      </c>
      <c r="C928" s="134">
        <f t="shared" si="1787"/>
        <v>0.3393036988</v>
      </c>
      <c r="D928" s="134">
        <f t="shared" si="1787"/>
        <v>0.5623603739</v>
      </c>
      <c r="F928" s="134">
        <f t="shared" ref="F928:H928" si="1788">RAND()</f>
        <v>0.8640337626</v>
      </c>
      <c r="G928" s="134">
        <f t="shared" si="1788"/>
        <v>0.01528599592</v>
      </c>
      <c r="H928" s="134">
        <f t="shared" si="1788"/>
        <v>0.2083217171</v>
      </c>
      <c r="J928" s="135">
        <f t="shared" si="8"/>
        <v>209460880.1</v>
      </c>
      <c r="K928" s="136">
        <f>IF(J928&gt;0,MIN(99,$B$12*Q928/(J928*12*(1-Inputs!$H$16))),99)</f>
        <v>2.576998831</v>
      </c>
      <c r="L928" s="134">
        <f t="shared" si="9"/>
        <v>1.089335224</v>
      </c>
      <c r="M928" s="134">
        <f t="shared" si="10"/>
        <v>1.038877076</v>
      </c>
      <c r="N928" s="134">
        <f t="shared" si="11"/>
        <v>1.012985112</v>
      </c>
      <c r="O928" s="134">
        <f t="shared" si="12"/>
        <v>1.065375388</v>
      </c>
      <c r="P928" s="134">
        <f t="shared" si="13"/>
        <v>0.8691754299</v>
      </c>
      <c r="Q928" s="134">
        <f t="shared" si="14"/>
        <v>0.9921689391</v>
      </c>
    </row>
    <row r="929" ht="15.0" customHeight="1">
      <c r="A929" s="13">
        <v>890.0</v>
      </c>
      <c r="B929" s="134">
        <f t="shared" ref="B929:D929" si="1789">RAND()</f>
        <v>0.4018046556</v>
      </c>
      <c r="C929" s="134">
        <f t="shared" si="1789"/>
        <v>0.4903231035</v>
      </c>
      <c r="D929" s="134">
        <f t="shared" si="1789"/>
        <v>0.9982470154</v>
      </c>
      <c r="F929" s="134">
        <f t="shared" ref="F929:H929" si="1790">RAND()</f>
        <v>0.5390679281</v>
      </c>
      <c r="G929" s="134">
        <f t="shared" si="1790"/>
        <v>0.5037464121</v>
      </c>
      <c r="H929" s="134">
        <f t="shared" si="1790"/>
        <v>0.4882300159</v>
      </c>
      <c r="J929" s="135">
        <f t="shared" si="8"/>
        <v>114235695.3</v>
      </c>
      <c r="K929" s="136">
        <f>IF(J929&gt;0,MIN(99,$B$12*Q929/(J929*12*(1-Inputs!$H$16))),99)</f>
        <v>5.166284041</v>
      </c>
      <c r="L929" s="134">
        <f t="shared" si="9"/>
        <v>0.9876100274</v>
      </c>
      <c r="M929" s="134">
        <f t="shared" si="10"/>
        <v>0.9938204426</v>
      </c>
      <c r="N929" s="134">
        <f t="shared" si="11"/>
        <v>1.085488386</v>
      </c>
      <c r="O929" s="134">
        <f t="shared" si="12"/>
        <v>1.026293823</v>
      </c>
      <c r="P929" s="134">
        <f t="shared" si="13"/>
        <v>1.192888966</v>
      </c>
      <c r="Q929" s="134">
        <f t="shared" si="14"/>
        <v>1.084797288</v>
      </c>
    </row>
    <row r="930" ht="15.0" customHeight="1">
      <c r="A930" s="13">
        <v>891.0</v>
      </c>
      <c r="B930" s="134">
        <f t="shared" ref="B930:D930" si="1791">RAND()</f>
        <v>0.6840275212</v>
      </c>
      <c r="C930" s="134">
        <f t="shared" si="1791"/>
        <v>0.5880057268</v>
      </c>
      <c r="D930" s="134">
        <f t="shared" si="1791"/>
        <v>0.3552687417</v>
      </c>
      <c r="F930" s="134">
        <f t="shared" ref="F930:H930" si="1792">RAND()</f>
        <v>0.9168152857</v>
      </c>
      <c r="G930" s="134">
        <f t="shared" si="1792"/>
        <v>0.5024226477</v>
      </c>
      <c r="H930" s="134">
        <f t="shared" si="1792"/>
        <v>0.975825995</v>
      </c>
      <c r="J930" s="135">
        <f t="shared" si="8"/>
        <v>182326001.8</v>
      </c>
      <c r="K930" s="136">
        <f>IF(J930&gt;0,MIN(99,$B$12*Q930/(J930*12*(1-Inputs!$H$16))),99)</f>
        <v>4.121681952</v>
      </c>
      <c r="L930" s="134">
        <f t="shared" si="9"/>
        <v>1.066562441</v>
      </c>
      <c r="M930" s="134">
        <f t="shared" si="10"/>
        <v>1.028805471</v>
      </c>
      <c r="N930" s="134">
        <f t="shared" si="11"/>
        <v>0.9962551142</v>
      </c>
      <c r="O930" s="134">
        <f t="shared" si="12"/>
        <v>1.075495094</v>
      </c>
      <c r="P930" s="134">
        <f t="shared" si="13"/>
        <v>1.191996107</v>
      </c>
      <c r="Q930" s="134">
        <f t="shared" si="14"/>
        <v>1.381311305</v>
      </c>
    </row>
    <row r="931" ht="15.0" customHeight="1">
      <c r="A931" s="13">
        <v>892.0</v>
      </c>
      <c r="B931" s="134">
        <f t="shared" ref="B931:D931" si="1793">RAND()</f>
        <v>0.6575504544</v>
      </c>
      <c r="C931" s="134">
        <f t="shared" si="1793"/>
        <v>0.1012620009</v>
      </c>
      <c r="D931" s="134">
        <f t="shared" si="1793"/>
        <v>0.893977444</v>
      </c>
      <c r="F931" s="134">
        <f t="shared" ref="F931:H931" si="1794">RAND()</f>
        <v>0.3851269514</v>
      </c>
      <c r="G931" s="134">
        <f t="shared" si="1794"/>
        <v>0.262723346</v>
      </c>
      <c r="H931" s="134">
        <f t="shared" si="1794"/>
        <v>0.8062736399</v>
      </c>
      <c r="J931" s="135">
        <f t="shared" si="8"/>
        <v>179120882.6</v>
      </c>
      <c r="K931" s="136">
        <f>IF(J931&gt;0,MIN(99,$B$12*Q931/(J931*12*(1-Inputs!$H$16))),99)</f>
        <v>3.737554191</v>
      </c>
      <c r="L931" s="134">
        <f t="shared" si="9"/>
        <v>1.05800504</v>
      </c>
      <c r="M931" s="134">
        <f t="shared" si="10"/>
        <v>1.025020832</v>
      </c>
      <c r="N931" s="134">
        <f t="shared" si="11"/>
        <v>1.052289916</v>
      </c>
      <c r="O931" s="134">
        <f t="shared" si="12"/>
        <v>1.013036816</v>
      </c>
      <c r="P931" s="134">
        <f t="shared" si="13"/>
        <v>1.046261623</v>
      </c>
      <c r="Q931" s="134">
        <f t="shared" si="14"/>
        <v>1.230558317</v>
      </c>
    </row>
    <row r="932" ht="15.0" customHeight="1">
      <c r="A932" s="13">
        <v>893.0</v>
      </c>
      <c r="B932" s="134">
        <f t="shared" ref="B932:D932" si="1795">RAND()</f>
        <v>0.09828529315</v>
      </c>
      <c r="C932" s="134">
        <f t="shared" si="1795"/>
        <v>0.6262251238</v>
      </c>
      <c r="D932" s="134">
        <f t="shared" si="1795"/>
        <v>0.505106501</v>
      </c>
      <c r="F932" s="134">
        <f t="shared" ref="F932:H932" si="1796">RAND()</f>
        <v>0.6845573745</v>
      </c>
      <c r="G932" s="134">
        <f t="shared" si="1796"/>
        <v>0.2807174351</v>
      </c>
      <c r="H932" s="134">
        <f t="shared" si="1796"/>
        <v>0.5855660773</v>
      </c>
      <c r="J932" s="135">
        <f t="shared" si="8"/>
        <v>61092833.14</v>
      </c>
      <c r="K932" s="136">
        <f>IF(J932&gt;0,MIN(99,$B$12*Q932/(J932*12*(1-Inputs!$H$16))),99)</f>
        <v>9.998023024</v>
      </c>
      <c r="L932" s="134">
        <f t="shared" si="9"/>
        <v>0.8801527245</v>
      </c>
      <c r="M932" s="134">
        <f t="shared" si="10"/>
        <v>0.9457452481</v>
      </c>
      <c r="N932" s="134">
        <f t="shared" si="11"/>
        <v>1.008077655</v>
      </c>
      <c r="O932" s="134">
        <f t="shared" si="12"/>
        <v>1.041070122</v>
      </c>
      <c r="P932" s="134">
        <f t="shared" si="13"/>
        <v>1.05628704</v>
      </c>
      <c r="Q932" s="134">
        <f t="shared" si="14"/>
        <v>1.122723672</v>
      </c>
    </row>
    <row r="933" ht="15.0" customHeight="1">
      <c r="A933" s="13">
        <v>894.0</v>
      </c>
      <c r="B933" s="134">
        <f t="shared" ref="B933:D933" si="1797">RAND()</f>
        <v>0.3988479651</v>
      </c>
      <c r="C933" s="134">
        <f t="shared" si="1797"/>
        <v>0.3939857239</v>
      </c>
      <c r="D933" s="134">
        <f t="shared" si="1797"/>
        <v>0.598668119</v>
      </c>
      <c r="F933" s="134">
        <f t="shared" ref="F933:H933" si="1798">RAND()</f>
        <v>0.9387831687</v>
      </c>
      <c r="G933" s="134">
        <f t="shared" si="1798"/>
        <v>0.6878865029</v>
      </c>
      <c r="H933" s="134">
        <f t="shared" si="1798"/>
        <v>0.3260241681</v>
      </c>
      <c r="J933" s="135">
        <f t="shared" si="8"/>
        <v>114086808</v>
      </c>
      <c r="K933" s="136">
        <f>IF(J933&gt;0,MIN(99,$B$12*Q933/(J933*12*(1-Inputs!$H$16))),99)</f>
        <v>4.906396352</v>
      </c>
      <c r="L933" s="134">
        <f t="shared" si="9"/>
        <v>0.9868263347</v>
      </c>
      <c r="M933" s="134">
        <f t="shared" si="10"/>
        <v>0.9934698273</v>
      </c>
      <c r="N933" s="134">
        <f t="shared" si="11"/>
        <v>1.016265357</v>
      </c>
      <c r="O933" s="134">
        <f t="shared" si="12"/>
        <v>1.080660537</v>
      </c>
      <c r="P933" s="134">
        <f t="shared" si="13"/>
        <v>1.331515308</v>
      </c>
      <c r="Q933" s="134">
        <f t="shared" si="14"/>
        <v>1.028884298</v>
      </c>
    </row>
    <row r="934" ht="15.0" customHeight="1">
      <c r="A934" s="13">
        <v>895.0</v>
      </c>
      <c r="B934" s="134">
        <f t="shared" ref="B934:D934" si="1799">RAND()</f>
        <v>0.7730058117</v>
      </c>
      <c r="C934" s="134">
        <f t="shared" si="1799"/>
        <v>0.7067602232</v>
      </c>
      <c r="D934" s="134">
        <f t="shared" si="1799"/>
        <v>0.5711168487</v>
      </c>
      <c r="F934" s="134">
        <f t="shared" ref="F934:H934" si="1800">RAND()</f>
        <v>0.1931325598</v>
      </c>
      <c r="G934" s="134">
        <f t="shared" si="1800"/>
        <v>0.2777409893</v>
      </c>
      <c r="H934" s="134">
        <f t="shared" si="1800"/>
        <v>0.1705746805</v>
      </c>
      <c r="J934" s="135">
        <f t="shared" si="8"/>
        <v>220247110.2</v>
      </c>
      <c r="K934" s="136">
        <f>IF(J934&gt;0,MIN(99,$B$12*Q934/(J934*12*(1-Inputs!$H$16))),99)</f>
        <v>2.419448342</v>
      </c>
      <c r="L934" s="134">
        <f t="shared" si="9"/>
        <v>1.098331664</v>
      </c>
      <c r="M934" s="134">
        <f t="shared" si="10"/>
        <v>1.042855887</v>
      </c>
      <c r="N934" s="134">
        <f t="shared" si="11"/>
        <v>1.01376337</v>
      </c>
      <c r="O934" s="134">
        <f t="shared" si="12"/>
        <v>0.9986186017</v>
      </c>
      <c r="P934" s="134">
        <f t="shared" si="13"/>
        <v>1.054620127</v>
      </c>
      <c r="Q934" s="134">
        <f t="shared" si="14"/>
        <v>0.9794788304</v>
      </c>
    </row>
    <row r="935" ht="15.0" customHeight="1">
      <c r="A935" s="13">
        <v>896.0</v>
      </c>
      <c r="B935" s="134">
        <f t="shared" ref="B935:D935" si="1801">RAND()</f>
        <v>0.01894869868</v>
      </c>
      <c r="C935" s="134">
        <f t="shared" si="1801"/>
        <v>0.9058358972</v>
      </c>
      <c r="D935" s="134">
        <f t="shared" si="1801"/>
        <v>0.79341052</v>
      </c>
      <c r="F935" s="134">
        <f t="shared" ref="F935:H935" si="1802">RAND()</f>
        <v>0.7603670624</v>
      </c>
      <c r="G935" s="134">
        <f t="shared" si="1802"/>
        <v>0.5207513321</v>
      </c>
      <c r="H935" s="134">
        <f t="shared" si="1802"/>
        <v>0.3449934226</v>
      </c>
      <c r="J935" s="135">
        <f t="shared" si="8"/>
        <v>11969074.29</v>
      </c>
      <c r="K935" s="136">
        <f>IF(J935&gt;0,MIN(99,$B$12*Q935/(J935*12*(1-Inputs!$H$16))),99)</f>
        <v>47.04686901</v>
      </c>
      <c r="L935" s="134">
        <f t="shared" si="9"/>
        <v>0.8211706465</v>
      </c>
      <c r="M935" s="134">
        <f t="shared" si="10"/>
        <v>0.9193573266</v>
      </c>
      <c r="N935" s="134">
        <f t="shared" si="11"/>
        <v>1.037207156</v>
      </c>
      <c r="O935" s="134">
        <f t="shared" si="12"/>
        <v>1.050156824</v>
      </c>
      <c r="P935" s="134">
        <f t="shared" si="13"/>
        <v>1.204466213</v>
      </c>
      <c r="Q935" s="134">
        <f t="shared" si="14"/>
        <v>1.035046283</v>
      </c>
    </row>
    <row r="936" ht="15.0" customHeight="1">
      <c r="A936" s="13">
        <v>897.0</v>
      </c>
      <c r="B936" s="134">
        <f t="shared" ref="B936:D936" si="1803">RAND()</f>
        <v>0.6430082048</v>
      </c>
      <c r="C936" s="134">
        <f t="shared" si="1803"/>
        <v>0.08823857137</v>
      </c>
      <c r="D936" s="134">
        <f t="shared" si="1803"/>
        <v>0.8228303062</v>
      </c>
      <c r="F936" s="134">
        <f t="shared" ref="F936:H936" si="1804">RAND()</f>
        <v>0.3952955747</v>
      </c>
      <c r="G936" s="134">
        <f t="shared" si="1804"/>
        <v>0.4091514143</v>
      </c>
      <c r="H936" s="134">
        <f t="shared" si="1804"/>
        <v>0.07561308009</v>
      </c>
      <c r="J936" s="135">
        <f t="shared" si="8"/>
        <v>174953677.3</v>
      </c>
      <c r="K936" s="136">
        <f>IF(J936&gt;0,MIN(99,$B$12*Q936/(J936*12*(1-Inputs!$H$16))),99)</f>
        <v>2.920358012</v>
      </c>
      <c r="L936" s="134">
        <f t="shared" si="9"/>
        <v>1.053445556</v>
      </c>
      <c r="M936" s="134">
        <f t="shared" si="10"/>
        <v>1.023004331</v>
      </c>
      <c r="N936" s="134">
        <f t="shared" si="11"/>
        <v>1.041139113</v>
      </c>
      <c r="O936" s="134">
        <f t="shared" si="12"/>
        <v>1.013857166</v>
      </c>
      <c r="P936" s="134">
        <f t="shared" si="13"/>
        <v>1.131826609</v>
      </c>
      <c r="Q936" s="134">
        <f t="shared" si="14"/>
        <v>0.939134191</v>
      </c>
    </row>
    <row r="937" ht="15.0" customHeight="1">
      <c r="A937" s="13">
        <v>898.0</v>
      </c>
      <c r="B937" s="134">
        <f t="shared" ref="B937:D937" si="1805">RAND()</f>
        <v>0.3251464868</v>
      </c>
      <c r="C937" s="134">
        <f t="shared" si="1805"/>
        <v>0.1351598627</v>
      </c>
      <c r="D937" s="134">
        <f t="shared" si="1805"/>
        <v>0.1184220943</v>
      </c>
      <c r="F937" s="134">
        <f t="shared" ref="F937:H937" si="1806">RAND()</f>
        <v>0.7117548811</v>
      </c>
      <c r="G937" s="134">
        <f t="shared" si="1806"/>
        <v>0.5336551947</v>
      </c>
      <c r="H937" s="134">
        <f t="shared" si="1806"/>
        <v>0.3121183911</v>
      </c>
      <c r="J937" s="135">
        <f t="shared" si="8"/>
        <v>119529551.9</v>
      </c>
      <c r="K937" s="136">
        <f>IF(J937&gt;0,MIN(99,$B$12*Q937/(J937*12*(1-Inputs!$H$16))),99)</f>
        <v>4.662674986</v>
      </c>
      <c r="L937" s="134">
        <f t="shared" si="9"/>
        <v>0.9662563195</v>
      </c>
      <c r="M937" s="134">
        <f t="shared" si="10"/>
        <v>0.9842670327</v>
      </c>
      <c r="N937" s="134">
        <f t="shared" si="11"/>
        <v>0.9720278037</v>
      </c>
      <c r="O937" s="134">
        <f t="shared" si="12"/>
        <v>1.044189522</v>
      </c>
      <c r="P937" s="134">
        <f t="shared" si="13"/>
        <v>1.213389112</v>
      </c>
      <c r="Q937" s="134">
        <f t="shared" si="14"/>
        <v>1.024422047</v>
      </c>
    </row>
    <row r="938" ht="15.0" customHeight="1">
      <c r="A938" s="13">
        <v>899.0</v>
      </c>
      <c r="B938" s="134">
        <f t="shared" ref="B938:D938" si="1807">RAND()</f>
        <v>0.4442466644</v>
      </c>
      <c r="C938" s="134">
        <f t="shared" si="1807"/>
        <v>0.7925246391</v>
      </c>
      <c r="D938" s="134">
        <f t="shared" si="1807"/>
        <v>0.08813376846</v>
      </c>
      <c r="F938" s="134">
        <f t="shared" ref="F938:H938" si="1808">RAND()</f>
        <v>0.6555905841</v>
      </c>
      <c r="G938" s="134">
        <f t="shared" si="1808"/>
        <v>0.3279155406</v>
      </c>
      <c r="H938" s="134">
        <f t="shared" si="1808"/>
        <v>0.09510586883</v>
      </c>
      <c r="J938" s="135">
        <f t="shared" si="8"/>
        <v>149354014.9</v>
      </c>
      <c r="K938" s="136">
        <f>IF(J938&gt;0,MIN(99,$B$12*Q938/(J938*12*(1-Inputs!$H$16))),99)</f>
        <v>3.456491196</v>
      </c>
      <c r="L938" s="134">
        <f t="shared" si="9"/>
        <v>0.9985570391</v>
      </c>
      <c r="M938" s="134">
        <f t="shared" si="10"/>
        <v>0.9987180131</v>
      </c>
      <c r="N938" s="134">
        <f t="shared" si="11"/>
        <v>0.9674835522</v>
      </c>
      <c r="O938" s="134">
        <f t="shared" si="12"/>
        <v>1.037892373</v>
      </c>
      <c r="P938" s="134">
        <f t="shared" si="13"/>
        <v>1.083195855</v>
      </c>
      <c r="Q938" s="134">
        <f t="shared" si="14"/>
        <v>0.9489008553</v>
      </c>
    </row>
    <row r="939" ht="15.0" customHeight="1">
      <c r="A939" s="13">
        <v>900.0</v>
      </c>
      <c r="B939" s="134">
        <f t="shared" ref="B939:D939" si="1809">RAND()</f>
        <v>0.308002358</v>
      </c>
      <c r="C939" s="134">
        <f t="shared" si="1809"/>
        <v>0.7573106722</v>
      </c>
      <c r="D939" s="134">
        <f t="shared" si="1809"/>
        <v>0.8765358193</v>
      </c>
      <c r="F939" s="134">
        <f t="shared" ref="F939:H939" si="1810">RAND()</f>
        <v>0.7088139799</v>
      </c>
      <c r="G939" s="134">
        <f t="shared" si="1810"/>
        <v>0.5540014618</v>
      </c>
      <c r="H939" s="134">
        <f t="shared" si="1810"/>
        <v>0.1486493943</v>
      </c>
      <c r="J939" s="135">
        <f t="shared" si="8"/>
        <v>99503788.22</v>
      </c>
      <c r="K939" s="136">
        <f>IF(J939&gt;0,MIN(99,$B$12*Q939/(J939*12*(1-Inputs!$H$16))),99)</f>
        <v>5.311460778</v>
      </c>
      <c r="L939" s="134">
        <f t="shared" si="9"/>
        <v>0.9611458172</v>
      </c>
      <c r="M939" s="134">
        <f t="shared" si="10"/>
        <v>0.9819806512</v>
      </c>
      <c r="N939" s="134">
        <f t="shared" si="11"/>
        <v>1.049275513</v>
      </c>
      <c r="O939" s="134">
        <f t="shared" si="12"/>
        <v>1.043845316</v>
      </c>
      <c r="P939" s="134">
        <f t="shared" si="13"/>
        <v>1.227713001</v>
      </c>
      <c r="Q939" s="134">
        <f t="shared" si="14"/>
        <v>0.9714536296</v>
      </c>
    </row>
    <row r="940" ht="15.0" customHeight="1">
      <c r="A940" s="13">
        <v>901.0</v>
      </c>
      <c r="B940" s="134">
        <f t="shared" ref="B940:D940" si="1811">RAND()</f>
        <v>0.9068498606</v>
      </c>
      <c r="C940" s="134">
        <f t="shared" si="1811"/>
        <v>0.3288207797</v>
      </c>
      <c r="D940" s="134">
        <f t="shared" si="1811"/>
        <v>0.5119463382</v>
      </c>
      <c r="F940" s="134">
        <f t="shared" ref="F940:H940" si="1812">RAND()</f>
        <v>0.8510702829</v>
      </c>
      <c r="G940" s="134">
        <f t="shared" si="1812"/>
        <v>0.7441197542</v>
      </c>
      <c r="H940" s="134">
        <f t="shared" si="1812"/>
        <v>0.2242970651</v>
      </c>
      <c r="J940" s="135">
        <f t="shared" si="8"/>
        <v>247908640.7</v>
      </c>
      <c r="K940" s="136">
        <f>IF(J940&gt;0,MIN(99,$B$12*Q940/(J940*12*(1-Inputs!$H$16))),99)</f>
        <v>2.188354413</v>
      </c>
      <c r="L940" s="134">
        <f t="shared" si="9"/>
        <v>1.161826928</v>
      </c>
      <c r="M940" s="134">
        <f t="shared" si="10"/>
        <v>1.070937622</v>
      </c>
      <c r="N940" s="134">
        <f t="shared" si="11"/>
        <v>1.008648426</v>
      </c>
      <c r="O940" s="134">
        <f t="shared" si="12"/>
        <v>1.063211032</v>
      </c>
      <c r="P940" s="134">
        <f t="shared" si="13"/>
        <v>1.381747698</v>
      </c>
      <c r="Q940" s="134">
        <f t="shared" si="14"/>
        <v>0.9971897472</v>
      </c>
    </row>
    <row r="941" ht="15.0" customHeight="1">
      <c r="A941" s="13">
        <v>902.0</v>
      </c>
      <c r="B941" s="134">
        <f t="shared" ref="B941:D941" si="1813">RAND()</f>
        <v>0.5352298268</v>
      </c>
      <c r="C941" s="134">
        <f t="shared" si="1813"/>
        <v>0.1723515514</v>
      </c>
      <c r="D941" s="134">
        <f t="shared" si="1813"/>
        <v>0.5977643331</v>
      </c>
      <c r="F941" s="134">
        <f t="shared" ref="F941:H941" si="1814">RAND()</f>
        <v>0.7061507984</v>
      </c>
      <c r="G941" s="134">
        <f t="shared" si="1814"/>
        <v>0.2034240142</v>
      </c>
      <c r="H941" s="134">
        <f t="shared" si="1814"/>
        <v>0.397496341</v>
      </c>
      <c r="J941" s="135">
        <f t="shared" si="8"/>
        <v>157391343.2</v>
      </c>
      <c r="K941" s="136">
        <f>IF(J941&gt;0,MIN(99,$B$12*Q941/(J941*12*(1-Inputs!$H$16))),99)</f>
        <v>3.638370418</v>
      </c>
      <c r="L941" s="134">
        <f t="shared" si="9"/>
        <v>1.022203839</v>
      </c>
      <c r="M941" s="134">
        <f t="shared" si="10"/>
        <v>1.009187213</v>
      </c>
      <c r="N941" s="134">
        <f t="shared" si="11"/>
        <v>1.016181944</v>
      </c>
      <c r="O941" s="134">
        <f t="shared" si="12"/>
        <v>1.043535111</v>
      </c>
      <c r="P941" s="134">
        <f t="shared" si="13"/>
        <v>1.01406076</v>
      </c>
      <c r="Q941" s="134">
        <f t="shared" si="14"/>
        <v>1.052582717</v>
      </c>
    </row>
    <row r="942" ht="15.0" customHeight="1">
      <c r="A942" s="13">
        <v>903.0</v>
      </c>
      <c r="B942" s="134">
        <f t="shared" ref="B942:D942" si="1815">RAND()</f>
        <v>0.5124791464</v>
      </c>
      <c r="C942" s="134">
        <f t="shared" si="1815"/>
        <v>0.2534080754</v>
      </c>
      <c r="D942" s="134">
        <f t="shared" si="1815"/>
        <v>0.9224055959</v>
      </c>
      <c r="F942" s="134">
        <f t="shared" ref="F942:H942" si="1816">RAND()</f>
        <v>0.4027265362</v>
      </c>
      <c r="G942" s="134">
        <f t="shared" si="1816"/>
        <v>0.8508052472</v>
      </c>
      <c r="H942" s="134">
        <f t="shared" si="1816"/>
        <v>0.09463684875</v>
      </c>
      <c r="J942" s="135">
        <f t="shared" si="8"/>
        <v>130580311.8</v>
      </c>
      <c r="K942" s="136">
        <f>IF(J942&gt;0,MIN(99,$B$12*Q942/(J942*12*(1-Inputs!$H$16))),99)</f>
        <v>3.9525083</v>
      </c>
      <c r="L942" s="134">
        <f t="shared" si="9"/>
        <v>1.016090523</v>
      </c>
      <c r="M942" s="134">
        <f t="shared" si="10"/>
        <v>1.006483507</v>
      </c>
      <c r="N942" s="134">
        <f t="shared" si="11"/>
        <v>1.057795256</v>
      </c>
      <c r="O942" s="134">
        <f t="shared" si="12"/>
        <v>1.014461027</v>
      </c>
      <c r="P942" s="134">
        <f t="shared" si="13"/>
        <v>1.495466824</v>
      </c>
      <c r="Q942" s="134">
        <f t="shared" si="14"/>
        <v>0.9486783137</v>
      </c>
    </row>
    <row r="943" ht="15.0" customHeight="1">
      <c r="A943" s="13">
        <v>904.0</v>
      </c>
      <c r="B943" s="134">
        <f t="shared" ref="B943:D943" si="1817">RAND()</f>
        <v>0.04795537282</v>
      </c>
      <c r="C943" s="134">
        <f t="shared" si="1817"/>
        <v>0.6263907628</v>
      </c>
      <c r="D943" s="134">
        <f t="shared" si="1817"/>
        <v>0.2126787301</v>
      </c>
      <c r="F943" s="134">
        <f t="shared" ref="F943:H943" si="1818">RAND()</f>
        <v>0.6218170712</v>
      </c>
      <c r="G943" s="134">
        <f t="shared" si="1818"/>
        <v>0.7860436793</v>
      </c>
      <c r="H943" s="134">
        <f t="shared" si="1818"/>
        <v>0.4408230391</v>
      </c>
      <c r="J943" s="135">
        <f t="shared" si="8"/>
        <v>32830712.84</v>
      </c>
      <c r="K943" s="136">
        <f>IF(J943&gt;0,MIN(99,$B$12*Q943/(J943*12*(1-Inputs!$H$16))),99)</f>
        <v>17.69194091</v>
      </c>
      <c r="L943" s="134">
        <f t="shared" si="9"/>
        <v>0.8484505238</v>
      </c>
      <c r="M943" s="134">
        <f t="shared" si="10"/>
        <v>0.9315620383</v>
      </c>
      <c r="N943" s="134">
        <f t="shared" si="11"/>
        <v>0.9832842257</v>
      </c>
      <c r="O943" s="134">
        <f t="shared" si="12"/>
        <v>1.034351698</v>
      </c>
      <c r="P943" s="134">
        <f t="shared" si="13"/>
        <v>1.422914812</v>
      </c>
      <c r="Q943" s="134">
        <f t="shared" si="14"/>
        <v>1.067638616</v>
      </c>
    </row>
    <row r="944" ht="15.0" customHeight="1">
      <c r="A944" s="13">
        <v>905.0</v>
      </c>
      <c r="B944" s="134">
        <f t="shared" ref="B944:D944" si="1819">RAND()</f>
        <v>0.4248689631</v>
      </c>
      <c r="C944" s="134">
        <f t="shared" si="1819"/>
        <v>0.7989672646</v>
      </c>
      <c r="D944" s="134">
        <f t="shared" si="1819"/>
        <v>0.03174478447</v>
      </c>
      <c r="F944" s="134">
        <f t="shared" ref="F944:H944" si="1820">RAND()</f>
        <v>0.6387176295</v>
      </c>
      <c r="G944" s="134">
        <f t="shared" si="1820"/>
        <v>0.4239815727</v>
      </c>
      <c r="H944" s="134">
        <f t="shared" si="1820"/>
        <v>0.6342848796</v>
      </c>
      <c r="J944" s="135">
        <f t="shared" si="8"/>
        <v>146372375.2</v>
      </c>
      <c r="K944" s="136">
        <f>IF(J944&gt;0,MIN(99,$B$12*Q944/(J944*12*(1-Inputs!$H$16))),99)</f>
        <v>4.249778978</v>
      </c>
      <c r="L944" s="134">
        <f t="shared" si="9"/>
        <v>0.9936269845</v>
      </c>
      <c r="M944" s="134">
        <f t="shared" si="10"/>
        <v>0.9965123619</v>
      </c>
      <c r="N944" s="134">
        <f t="shared" si="11"/>
        <v>0.9560678007</v>
      </c>
      <c r="O944" s="134">
        <f t="shared" si="12"/>
        <v>1.036102787</v>
      </c>
      <c r="P944" s="134">
        <f t="shared" si="13"/>
        <v>1.141058108</v>
      </c>
      <c r="Q944" s="134">
        <f t="shared" si="14"/>
        <v>1.143388831</v>
      </c>
    </row>
    <row r="945" ht="15.0" customHeight="1">
      <c r="A945" s="13">
        <v>906.0</v>
      </c>
      <c r="B945" s="134">
        <f t="shared" ref="B945:D945" si="1821">RAND()</f>
        <v>0.8820978038</v>
      </c>
      <c r="C945" s="134">
        <f t="shared" si="1821"/>
        <v>0.8576146379</v>
      </c>
      <c r="D945" s="134">
        <f t="shared" si="1821"/>
        <v>0.7712189848</v>
      </c>
      <c r="F945" s="134">
        <f t="shared" ref="F945:H945" si="1822">RAND()</f>
        <v>0.5938675031</v>
      </c>
      <c r="G945" s="134">
        <f t="shared" si="1822"/>
        <v>0.9552134714</v>
      </c>
      <c r="H945" s="134">
        <f t="shared" si="1822"/>
        <v>0.7475161726</v>
      </c>
      <c r="J945" s="135">
        <f t="shared" si="8"/>
        <v>225010250.4</v>
      </c>
      <c r="K945" s="136">
        <f>IF(J945&gt;0,MIN(99,$B$12*Q945/(J945*12*(1-Inputs!$H$16))),99)</f>
        <v>2.895488659</v>
      </c>
      <c r="L945" s="134">
        <f t="shared" si="9"/>
        <v>1.147675407</v>
      </c>
      <c r="M945" s="134">
        <f t="shared" si="10"/>
        <v>1.064678899</v>
      </c>
      <c r="N945" s="134">
        <f t="shared" si="11"/>
        <v>1.034423742</v>
      </c>
      <c r="O945" s="134">
        <f t="shared" si="12"/>
        <v>1.03153956</v>
      </c>
      <c r="P945" s="134">
        <f t="shared" si="13"/>
        <v>1.661524875</v>
      </c>
      <c r="Q945" s="134">
        <f t="shared" si="14"/>
        <v>1.197547235</v>
      </c>
    </row>
    <row r="946" ht="15.0" customHeight="1">
      <c r="A946" s="13">
        <v>907.0</v>
      </c>
      <c r="B946" s="134">
        <f t="shared" ref="B946:D946" si="1823">RAND()</f>
        <v>0.2058968043</v>
      </c>
      <c r="C946" s="134">
        <f t="shared" si="1823"/>
        <v>0.6675923145</v>
      </c>
      <c r="D946" s="134">
        <f t="shared" si="1823"/>
        <v>0.05652870485</v>
      </c>
      <c r="F946" s="134">
        <f t="shared" ref="F946:H946" si="1824">RAND()</f>
        <v>0.3859035496</v>
      </c>
      <c r="G946" s="134">
        <f t="shared" si="1824"/>
        <v>0.4389624543</v>
      </c>
      <c r="H946" s="134">
        <f t="shared" si="1824"/>
        <v>0.1877967453</v>
      </c>
      <c r="J946" s="135">
        <f t="shared" si="8"/>
        <v>102267286.4</v>
      </c>
      <c r="K946" s="136">
        <f>IF(J946&gt;0,MIN(99,$B$12*Q946/(J946*12*(1-Inputs!$H$16))),99)</f>
        <v>5.242265567</v>
      </c>
      <c r="L946" s="134">
        <f t="shared" si="9"/>
        <v>0.927195238</v>
      </c>
      <c r="M946" s="134">
        <f t="shared" si="10"/>
        <v>0.9667915421</v>
      </c>
      <c r="N946" s="134">
        <f t="shared" si="11"/>
        <v>0.961798341</v>
      </c>
      <c r="O946" s="134">
        <f t="shared" si="12"/>
        <v>1.013099228</v>
      </c>
      <c r="P946" s="134">
        <f t="shared" si="13"/>
        <v>1.150504898</v>
      </c>
      <c r="Q946" s="134">
        <f t="shared" si="14"/>
        <v>0.9854264876</v>
      </c>
    </row>
    <row r="947" ht="15.0" customHeight="1">
      <c r="A947" s="13">
        <v>908.0</v>
      </c>
      <c r="B947" s="134">
        <f t="shared" ref="B947:D947" si="1825">RAND()</f>
        <v>0.619321739</v>
      </c>
      <c r="C947" s="134">
        <f t="shared" si="1825"/>
        <v>0.5771898302</v>
      </c>
      <c r="D947" s="134">
        <f t="shared" si="1825"/>
        <v>0.3456751977</v>
      </c>
      <c r="F947" s="134">
        <f t="shared" ref="F947:H947" si="1826">RAND()</f>
        <v>0.2714270141</v>
      </c>
      <c r="G947" s="134">
        <f t="shared" si="1826"/>
        <v>0.9731811963</v>
      </c>
      <c r="H947" s="134">
        <f t="shared" si="1826"/>
        <v>0.4370791777</v>
      </c>
      <c r="J947" s="135">
        <f t="shared" si="8"/>
        <v>159834202.8</v>
      </c>
      <c r="K947" s="136">
        <f>IF(J947&gt;0,MIN(99,$B$12*Q947/(J947*12*(1-Inputs!$H$16))),99)</f>
        <v>3.629504719</v>
      </c>
      <c r="L947" s="134">
        <f t="shared" si="9"/>
        <v>1.046213504</v>
      </c>
      <c r="M947" s="134">
        <f t="shared" si="10"/>
        <v>1.019805848</v>
      </c>
      <c r="N947" s="134">
        <f t="shared" si="11"/>
        <v>0.9954758645</v>
      </c>
      <c r="O947" s="134">
        <f t="shared" si="12"/>
        <v>1.004289439</v>
      </c>
      <c r="P947" s="134">
        <f t="shared" si="13"/>
        <v>1.707039457</v>
      </c>
      <c r="Q947" s="134">
        <f t="shared" si="14"/>
        <v>1.066315116</v>
      </c>
    </row>
    <row r="948" ht="15.0" customHeight="1">
      <c r="A948" s="13">
        <v>909.0</v>
      </c>
      <c r="B948" s="134">
        <f t="shared" ref="B948:D948" si="1827">RAND()</f>
        <v>0.6908857862</v>
      </c>
      <c r="C948" s="134">
        <f t="shared" si="1827"/>
        <v>0.09418643836</v>
      </c>
      <c r="D948" s="134">
        <f t="shared" si="1827"/>
        <v>0.4963381528</v>
      </c>
      <c r="F948" s="134">
        <f t="shared" ref="F948:H948" si="1828">RAND()</f>
        <v>0.8730939513</v>
      </c>
      <c r="G948" s="134">
        <f t="shared" si="1828"/>
        <v>0.1551574487</v>
      </c>
      <c r="H948" s="134">
        <f t="shared" si="1828"/>
        <v>0.2527695474</v>
      </c>
      <c r="J948" s="135">
        <f t="shared" si="8"/>
        <v>190597138.5</v>
      </c>
      <c r="K948" s="136">
        <f>IF(J948&gt;0,MIN(99,$B$12*Q948/(J948*12*(1-Inputs!$H$16))),99)</f>
        <v>2.871146482</v>
      </c>
      <c r="L948" s="134">
        <f t="shared" si="9"/>
        <v>1.068836947</v>
      </c>
      <c r="M948" s="134">
        <f t="shared" si="10"/>
        <v>1.029811406</v>
      </c>
      <c r="N948" s="134">
        <f t="shared" si="11"/>
        <v>1.007351692</v>
      </c>
      <c r="O948" s="134">
        <f t="shared" si="12"/>
        <v>1.066949977</v>
      </c>
      <c r="P948" s="134">
        <f t="shared" si="13"/>
        <v>0.9882821414</v>
      </c>
      <c r="Q948" s="134">
        <f t="shared" si="14"/>
        <v>1.005866183</v>
      </c>
    </row>
    <row r="949" ht="15.0" customHeight="1">
      <c r="A949" s="13">
        <v>910.0</v>
      </c>
      <c r="B949" s="134">
        <f t="shared" ref="B949:D949" si="1829">RAND()</f>
        <v>0.3867037617</v>
      </c>
      <c r="C949" s="134">
        <f t="shared" si="1829"/>
        <v>0.6130625994</v>
      </c>
      <c r="D949" s="134">
        <f t="shared" si="1829"/>
        <v>0.2932335518</v>
      </c>
      <c r="F949" s="134">
        <f t="shared" ref="F949:H949" si="1830">RAND()</f>
        <v>0.9140047953</v>
      </c>
      <c r="G949" s="134">
        <f t="shared" si="1830"/>
        <v>0.4992260503</v>
      </c>
      <c r="H949" s="134">
        <f t="shared" si="1830"/>
        <v>0.1333043483</v>
      </c>
      <c r="J949" s="135">
        <f t="shared" si="8"/>
        <v>123471269.2</v>
      </c>
      <c r="K949" s="136">
        <f>IF(J949&gt;0,MIN(99,$B$12*Q949/(J949*12*(1-Inputs!$H$16))),99)</f>
        <v>4.254105397</v>
      </c>
      <c r="L949" s="134">
        <f t="shared" si="9"/>
        <v>0.9835765404</v>
      </c>
      <c r="M949" s="134">
        <f t="shared" si="10"/>
        <v>0.9920159057</v>
      </c>
      <c r="N949" s="134">
        <f t="shared" si="11"/>
        <v>0.9910105442</v>
      </c>
      <c r="O949" s="134">
        <f t="shared" si="12"/>
        <v>1.074886314</v>
      </c>
      <c r="P949" s="134">
        <f t="shared" si="13"/>
        <v>1.189844935</v>
      </c>
      <c r="Q949" s="134">
        <f t="shared" si="14"/>
        <v>0.9654785712</v>
      </c>
    </row>
    <row r="950" ht="15.0" customHeight="1">
      <c r="A950" s="13">
        <v>911.0</v>
      </c>
      <c r="B950" s="134">
        <f t="shared" ref="B950:D950" si="1831">RAND()</f>
        <v>0.5264245011</v>
      </c>
      <c r="C950" s="134">
        <f t="shared" si="1831"/>
        <v>0.374763719</v>
      </c>
      <c r="D950" s="134">
        <f t="shared" si="1831"/>
        <v>0.9967036483</v>
      </c>
      <c r="F950" s="134">
        <f t="shared" ref="F950:H950" si="1832">RAND()</f>
        <v>0.4556261005</v>
      </c>
      <c r="G950" s="134">
        <f t="shared" si="1832"/>
        <v>0.4277921596</v>
      </c>
      <c r="H950" s="134">
        <f t="shared" si="1832"/>
        <v>0.318313744</v>
      </c>
      <c r="J950" s="135">
        <f t="shared" si="8"/>
        <v>140099272.4</v>
      </c>
      <c r="K950" s="136">
        <f>IF(J950&gt;0,MIN(99,$B$12*Q950/(J950*12*(1-Inputs!$H$16))),99)</f>
        <v>3.985787766</v>
      </c>
      <c r="L950" s="134">
        <f t="shared" si="9"/>
        <v>1.019820394</v>
      </c>
      <c r="M950" s="134">
        <f t="shared" si="10"/>
        <v>1.008133099</v>
      </c>
      <c r="N950" s="134">
        <f t="shared" si="11"/>
        <v>1.083669563</v>
      </c>
      <c r="O950" s="134">
        <f t="shared" si="12"/>
        <v>1.018873078</v>
      </c>
      <c r="P950" s="134">
        <f t="shared" si="13"/>
        <v>1.14344926</v>
      </c>
      <c r="Q950" s="134">
        <f t="shared" si="14"/>
        <v>1.026404461</v>
      </c>
    </row>
    <row r="951" ht="15.0" customHeight="1">
      <c r="A951" s="13">
        <v>912.0</v>
      </c>
      <c r="B951" s="134">
        <f t="shared" ref="B951:D951" si="1833">RAND()</f>
        <v>0.05881716642</v>
      </c>
      <c r="C951" s="134">
        <f t="shared" si="1833"/>
        <v>0.6207068075</v>
      </c>
      <c r="D951" s="134">
        <f t="shared" si="1833"/>
        <v>0.6365847844</v>
      </c>
      <c r="F951" s="134">
        <f t="shared" ref="F951:H951" si="1834">RAND()</f>
        <v>0.9286004515</v>
      </c>
      <c r="G951" s="134">
        <f t="shared" si="1834"/>
        <v>0.7359641728</v>
      </c>
      <c r="H951" s="134">
        <f t="shared" si="1834"/>
        <v>0.7791686464</v>
      </c>
      <c r="J951" s="135">
        <f t="shared" si="8"/>
        <v>25604484.06</v>
      </c>
      <c r="K951" s="136">
        <f>IF(J951&gt;0,MIN(99,$B$12*Q951/(J951*12*(1-Inputs!$H$16))),99)</f>
        <v>25.81161052</v>
      </c>
      <c r="L951" s="134">
        <f t="shared" si="9"/>
        <v>0.8563445218</v>
      </c>
      <c r="M951" s="134">
        <f t="shared" si="10"/>
        <v>0.9350937246</v>
      </c>
      <c r="N951" s="134">
        <f t="shared" si="11"/>
        <v>1.019853615</v>
      </c>
      <c r="O951" s="134">
        <f t="shared" si="12"/>
        <v>1.078167529</v>
      </c>
      <c r="P951" s="134">
        <f t="shared" si="13"/>
        <v>1.374142159</v>
      </c>
      <c r="Q951" s="134">
        <f t="shared" si="14"/>
        <v>1.214785539</v>
      </c>
    </row>
    <row r="952" ht="15.0" customHeight="1">
      <c r="A952" s="13">
        <v>913.0</v>
      </c>
      <c r="B952" s="134">
        <f t="shared" ref="B952:D952" si="1835">RAND()</f>
        <v>0.497772038</v>
      </c>
      <c r="C952" s="134">
        <f t="shared" si="1835"/>
        <v>0.6557455439</v>
      </c>
      <c r="D952" s="134">
        <f t="shared" si="1835"/>
        <v>0.1920636945</v>
      </c>
      <c r="F952" s="134">
        <f t="shared" ref="F952:H952" si="1836">RAND()</f>
        <v>0.3998973073</v>
      </c>
      <c r="G952" s="134">
        <f t="shared" si="1836"/>
        <v>0.883695309</v>
      </c>
      <c r="H952" s="134">
        <f t="shared" si="1836"/>
        <v>0.709168128</v>
      </c>
      <c r="J952" s="135">
        <f t="shared" si="8"/>
        <v>142972872.9</v>
      </c>
      <c r="K952" s="136">
        <f>IF(J952&gt;0,MIN(99,$B$12*Q952/(J952*12*(1-Inputs!$H$16))),99)</f>
        <v>4.482731137</v>
      </c>
      <c r="L952" s="134">
        <f t="shared" si="9"/>
        <v>1.012214261</v>
      </c>
      <c r="M952" s="134">
        <f t="shared" si="10"/>
        <v>1.004769172</v>
      </c>
      <c r="N952" s="134">
        <f t="shared" si="11"/>
        <v>0.9810799559</v>
      </c>
      <c r="O952" s="134">
        <f t="shared" si="12"/>
        <v>1.014230675</v>
      </c>
      <c r="P952" s="134">
        <f t="shared" si="13"/>
        <v>1.538469865</v>
      </c>
      <c r="Q952" s="134">
        <f t="shared" si="14"/>
        <v>1.178052965</v>
      </c>
    </row>
    <row r="953" ht="15.0" customHeight="1">
      <c r="A953" s="13">
        <v>914.0</v>
      </c>
      <c r="B953" s="134">
        <f t="shared" ref="B953:D953" si="1837">RAND()</f>
        <v>0.7979339766</v>
      </c>
      <c r="C953" s="134">
        <f t="shared" si="1837"/>
        <v>0.4390995821</v>
      </c>
      <c r="D953" s="134">
        <f t="shared" si="1837"/>
        <v>0.3031824374</v>
      </c>
      <c r="F953" s="134">
        <f t="shared" ref="F953:H953" si="1838">RAND()</f>
        <v>0.2797242694</v>
      </c>
      <c r="G953" s="134">
        <f t="shared" si="1838"/>
        <v>0.4082057537</v>
      </c>
      <c r="H953" s="134">
        <f t="shared" si="1838"/>
        <v>0.5838237102</v>
      </c>
      <c r="J953" s="135">
        <f t="shared" si="8"/>
        <v>229155562.1</v>
      </c>
      <c r="K953" s="136">
        <f>IF(J953&gt;0,MIN(99,$B$12*Q953/(J953*12*(1-Inputs!$H$16))),99)</f>
        <v>2.663771549</v>
      </c>
      <c r="L953" s="134">
        <f t="shared" si="9"/>
        <v>1.108314433</v>
      </c>
      <c r="M953" s="134">
        <f t="shared" si="10"/>
        <v>1.047270917</v>
      </c>
      <c r="N953" s="134">
        <f t="shared" si="11"/>
        <v>0.9918866246</v>
      </c>
      <c r="O953" s="134">
        <f t="shared" si="12"/>
        <v>1.004903572</v>
      </c>
      <c r="P953" s="134">
        <f t="shared" si="13"/>
        <v>1.131241904</v>
      </c>
      <c r="Q953" s="134">
        <f t="shared" si="14"/>
        <v>1.122007759</v>
      </c>
    </row>
    <row r="954" ht="15.0" customHeight="1">
      <c r="A954" s="13">
        <v>915.0</v>
      </c>
      <c r="B954" s="134">
        <f t="shared" ref="B954:D954" si="1839">RAND()</f>
        <v>0.7825022604</v>
      </c>
      <c r="C954" s="134">
        <f t="shared" si="1839"/>
        <v>0.09974220398</v>
      </c>
      <c r="D954" s="134">
        <f t="shared" si="1839"/>
        <v>0.6943624571</v>
      </c>
      <c r="F954" s="134">
        <f t="shared" ref="F954:H954" si="1840">RAND()</f>
        <v>0.8273816765</v>
      </c>
      <c r="G954" s="134">
        <f t="shared" si="1840"/>
        <v>0.6908860261</v>
      </c>
      <c r="H954" s="134">
        <f t="shared" si="1840"/>
        <v>0.3041826115</v>
      </c>
      <c r="J954" s="135">
        <f t="shared" si="8"/>
        <v>199549738.5</v>
      </c>
      <c r="K954" s="136">
        <f>IF(J954&gt;0,MIN(99,$B$12*Q954/(J954*12*(1-Inputs!$H$16))),99)</f>
        <v>2.786037361</v>
      </c>
      <c r="L954" s="134">
        <f t="shared" si="9"/>
        <v>1.102066663</v>
      </c>
      <c r="M954" s="134">
        <f t="shared" si="10"/>
        <v>1.044507746</v>
      </c>
      <c r="N954" s="134">
        <f t="shared" si="11"/>
        <v>1.02570306</v>
      </c>
      <c r="O954" s="134">
        <f t="shared" si="12"/>
        <v>1.059486689</v>
      </c>
      <c r="P954" s="134">
        <f t="shared" si="13"/>
        <v>1.334074227</v>
      </c>
      <c r="Q954" s="134">
        <f t="shared" si="14"/>
        <v>1.02189572</v>
      </c>
    </row>
    <row r="955" ht="15.0" customHeight="1">
      <c r="A955" s="13">
        <v>916.0</v>
      </c>
      <c r="B955" s="134">
        <f t="shared" ref="B955:D955" si="1841">RAND()</f>
        <v>0.6156235104</v>
      </c>
      <c r="C955" s="134">
        <f t="shared" si="1841"/>
        <v>0.373303266</v>
      </c>
      <c r="D955" s="134">
        <f t="shared" si="1841"/>
        <v>0.08797943336</v>
      </c>
      <c r="F955" s="134">
        <f t="shared" ref="F955:H955" si="1842">RAND()</f>
        <v>0.5184615051</v>
      </c>
      <c r="G955" s="134">
        <f t="shared" si="1842"/>
        <v>0.812147587</v>
      </c>
      <c r="H955" s="134">
        <f t="shared" si="1842"/>
        <v>0.7539685425</v>
      </c>
      <c r="J955" s="135">
        <f t="shared" si="8"/>
        <v>171648327.8</v>
      </c>
      <c r="K955" s="136">
        <f>IF(J955&gt;0,MIN(99,$B$12*Q955/(J955*12*(1-Inputs!$H$16))),99)</f>
        <v>3.806483082</v>
      </c>
      <c r="L955" s="134">
        <f t="shared" si="9"/>
        <v>1.045104878</v>
      </c>
      <c r="M955" s="134">
        <f t="shared" si="10"/>
        <v>1.019315541</v>
      </c>
      <c r="N955" s="134">
        <f t="shared" si="11"/>
        <v>0.9674585432</v>
      </c>
      <c r="O955" s="134">
        <f t="shared" si="12"/>
        <v>1.024402645</v>
      </c>
      <c r="P955" s="134">
        <f t="shared" si="13"/>
        <v>1.450619527</v>
      </c>
      <c r="Q955" s="134">
        <f t="shared" si="14"/>
        <v>1.200969456</v>
      </c>
    </row>
    <row r="956" ht="15.0" customHeight="1">
      <c r="A956" s="13">
        <v>917.0</v>
      </c>
      <c r="B956" s="134">
        <f t="shared" ref="B956:D956" si="1843">RAND()</f>
        <v>0.5696575659</v>
      </c>
      <c r="C956" s="134">
        <f t="shared" si="1843"/>
        <v>0.8002716505</v>
      </c>
      <c r="D956" s="134">
        <f t="shared" si="1843"/>
        <v>0.4948350694</v>
      </c>
      <c r="F956" s="134">
        <f t="shared" ref="F956:H956" si="1844">RAND()</f>
        <v>0.7551886116</v>
      </c>
      <c r="G956" s="134">
        <f t="shared" si="1844"/>
        <v>0.1154423529</v>
      </c>
      <c r="H956" s="134">
        <f t="shared" si="1844"/>
        <v>0.9784887559</v>
      </c>
      <c r="J956" s="135">
        <f t="shared" si="8"/>
        <v>167139449.7</v>
      </c>
      <c r="K956" s="136">
        <f>IF(J956&gt;0,MIN(99,$B$12*Q956/(J956*12*(1-Inputs!$H$16))),99)</f>
        <v>4.511375914</v>
      </c>
      <c r="L956" s="134">
        <f t="shared" si="9"/>
        <v>1.031746871</v>
      </c>
      <c r="M956" s="134">
        <f t="shared" si="10"/>
        <v>1.013407762</v>
      </c>
      <c r="N956" s="134">
        <f t="shared" si="11"/>
        <v>1.007227882</v>
      </c>
      <c r="O956" s="134">
        <f t="shared" si="12"/>
        <v>1.049493964</v>
      </c>
      <c r="P956" s="134">
        <f t="shared" si="13"/>
        <v>0.9644257785</v>
      </c>
      <c r="Q956" s="134">
        <f t="shared" si="14"/>
        <v>1.385978412</v>
      </c>
    </row>
    <row r="957" ht="15.0" customHeight="1">
      <c r="A957" s="13">
        <v>918.0</v>
      </c>
      <c r="B957" s="134">
        <f t="shared" ref="B957:D957" si="1845">RAND()</f>
        <v>0.1109849534</v>
      </c>
      <c r="C957" s="134">
        <f t="shared" si="1845"/>
        <v>0.4882883836</v>
      </c>
      <c r="D957" s="134">
        <f t="shared" si="1845"/>
        <v>0.8546519062</v>
      </c>
      <c r="F957" s="134">
        <f t="shared" ref="F957:H957" si="1846">RAND()</f>
        <v>0.1894409303</v>
      </c>
      <c r="G957" s="134">
        <f t="shared" si="1846"/>
        <v>0.06358781627</v>
      </c>
      <c r="H957" s="134">
        <f t="shared" si="1846"/>
        <v>0.9465958745</v>
      </c>
      <c r="J957" s="135">
        <f t="shared" si="8"/>
        <v>70198981.39</v>
      </c>
      <c r="K957" s="136">
        <f>IF(J957&gt;0,MIN(99,$B$12*Q957/(J957*12*(1-Inputs!$H$16))),99)</f>
        <v>10.39480119</v>
      </c>
      <c r="L957" s="134">
        <f t="shared" si="9"/>
        <v>0.886739909</v>
      </c>
      <c r="M957" s="134">
        <f t="shared" si="10"/>
        <v>0.9486922806</v>
      </c>
      <c r="N957" s="134">
        <f t="shared" si="11"/>
        <v>1.045780571</v>
      </c>
      <c r="O957" s="134">
        <f t="shared" si="12"/>
        <v>0.9983426693</v>
      </c>
      <c r="P957" s="134">
        <f t="shared" si="13"/>
        <v>0.9258191698</v>
      </c>
      <c r="Q957" s="134">
        <f t="shared" si="14"/>
        <v>1.341267741</v>
      </c>
    </row>
    <row r="958" ht="15.0" customHeight="1">
      <c r="A958" s="13">
        <v>919.0</v>
      </c>
      <c r="B958" s="134">
        <f t="shared" ref="B958:D958" si="1847">RAND()</f>
        <v>0.2521800136</v>
      </c>
      <c r="C958" s="134">
        <f t="shared" si="1847"/>
        <v>0.4977418273</v>
      </c>
      <c r="D958" s="134">
        <f t="shared" si="1847"/>
        <v>0.7784047908</v>
      </c>
      <c r="F958" s="134">
        <f t="shared" ref="F958:H958" si="1848">RAND()</f>
        <v>0.09472440102</v>
      </c>
      <c r="G958" s="134">
        <f t="shared" si="1848"/>
        <v>0.3168883408</v>
      </c>
      <c r="H958" s="134">
        <f t="shared" si="1848"/>
        <v>0.3503098189</v>
      </c>
      <c r="J958" s="135">
        <f t="shared" si="8"/>
        <v>105079961.8</v>
      </c>
      <c r="K958" s="136">
        <f>IF(J958&gt;0,MIN(99,$B$12*Q958/(J958*12*(1-Inputs!$H$16))),99)</f>
        <v>5.367871199</v>
      </c>
      <c r="L958" s="134">
        <f t="shared" si="9"/>
        <v>0.94343471</v>
      </c>
      <c r="M958" s="134">
        <f t="shared" si="10"/>
        <v>0.9740569001</v>
      </c>
      <c r="N958" s="134">
        <f t="shared" si="11"/>
        <v>1.035309633</v>
      </c>
      <c r="O958" s="134">
        <f t="shared" si="12"/>
        <v>0.9900082295</v>
      </c>
      <c r="P958" s="134">
        <f t="shared" si="13"/>
        <v>1.07682649</v>
      </c>
      <c r="Q958" s="134">
        <f t="shared" si="14"/>
        <v>1.036789223</v>
      </c>
    </row>
    <row r="959" ht="15.0" customHeight="1">
      <c r="A959" s="13">
        <v>920.0</v>
      </c>
      <c r="B959" s="134">
        <f t="shared" ref="B959:D959" si="1849">RAND()</f>
        <v>0.5865009075</v>
      </c>
      <c r="C959" s="134">
        <f t="shared" si="1849"/>
        <v>0.8639624867</v>
      </c>
      <c r="D959" s="134">
        <f t="shared" si="1849"/>
        <v>0.9408544897</v>
      </c>
      <c r="F959" s="134">
        <f t="shared" ref="F959:H959" si="1850">RAND()</f>
        <v>0.1759320409</v>
      </c>
      <c r="G959" s="134">
        <f t="shared" si="1850"/>
        <v>0.5916705675</v>
      </c>
      <c r="H959" s="134">
        <f t="shared" si="1850"/>
        <v>0.1800032183</v>
      </c>
      <c r="J959" s="135">
        <f t="shared" si="8"/>
        <v>156161299.3</v>
      </c>
      <c r="K959" s="136">
        <f>IF(J959&gt;0,MIN(99,$B$12*Q959/(J959*12*(1-Inputs!$H$16))),99)</f>
        <v>3.423813813</v>
      </c>
      <c r="L959" s="134">
        <f t="shared" si="9"/>
        <v>1.036554775</v>
      </c>
      <c r="M959" s="134">
        <f t="shared" si="10"/>
        <v>1.01553413</v>
      </c>
      <c r="N959" s="134">
        <f t="shared" si="11"/>
        <v>1.061932361</v>
      </c>
      <c r="O959" s="134">
        <f t="shared" si="12"/>
        <v>0.9973092831</v>
      </c>
      <c r="P959" s="134">
        <f t="shared" si="13"/>
        <v>1.255122871</v>
      </c>
      <c r="Q959" s="134">
        <f t="shared" si="14"/>
        <v>0.9827703259</v>
      </c>
    </row>
    <row r="960" ht="15.0" customHeight="1">
      <c r="A960" s="13">
        <v>921.0</v>
      </c>
      <c r="B960" s="134">
        <f t="shared" ref="B960:D960" si="1851">RAND()</f>
        <v>0.3232426518</v>
      </c>
      <c r="C960" s="134">
        <f t="shared" si="1851"/>
        <v>0.2527866332</v>
      </c>
      <c r="D960" s="134">
        <f t="shared" si="1851"/>
        <v>0.8254127077</v>
      </c>
      <c r="F960" s="134">
        <f t="shared" ref="F960:H960" si="1852">RAND()</f>
        <v>0.1074727451</v>
      </c>
      <c r="G960" s="134">
        <f t="shared" si="1852"/>
        <v>0.8235748469</v>
      </c>
      <c r="H960" s="134">
        <f t="shared" si="1852"/>
        <v>0.1470087979</v>
      </c>
      <c r="J960" s="135">
        <f t="shared" si="8"/>
        <v>104083060</v>
      </c>
      <c r="K960" s="136">
        <f>IF(J960&gt;0,MIN(99,$B$12*Q960/(J960*12*(1-Inputs!$H$16))),99)</f>
        <v>5.074516461</v>
      </c>
      <c r="L960" s="134">
        <f t="shared" si="9"/>
        <v>0.9656955645</v>
      </c>
      <c r="M960" s="134">
        <f t="shared" si="10"/>
        <v>0.9840161572</v>
      </c>
      <c r="N960" s="134">
        <f t="shared" si="11"/>
        <v>1.041499347</v>
      </c>
      <c r="O960" s="134">
        <f t="shared" si="12"/>
        <v>0.9913195818</v>
      </c>
      <c r="P960" s="134">
        <f t="shared" si="13"/>
        <v>1.463351851</v>
      </c>
      <c r="Q960" s="134">
        <f t="shared" si="14"/>
        <v>0.9708300234</v>
      </c>
    </row>
    <row r="961" ht="15.0" customHeight="1">
      <c r="A961" s="13">
        <v>922.0</v>
      </c>
      <c r="B961" s="134">
        <f t="shared" ref="B961:D961" si="1853">RAND()</f>
        <v>0.152079411</v>
      </c>
      <c r="C961" s="134">
        <f t="shared" si="1853"/>
        <v>0.2913111601</v>
      </c>
      <c r="D961" s="134">
        <f t="shared" si="1853"/>
        <v>0.3989787887</v>
      </c>
      <c r="F961" s="134">
        <f t="shared" ref="F961:H961" si="1854">RAND()</f>
        <v>0.3608352434</v>
      </c>
      <c r="G961" s="134">
        <f t="shared" si="1854"/>
        <v>0.9094423202</v>
      </c>
      <c r="H961" s="134">
        <f t="shared" si="1854"/>
        <v>0.107596678</v>
      </c>
      <c r="J961" s="135">
        <f t="shared" si="8"/>
        <v>64728938.61</v>
      </c>
      <c r="K961" s="136">
        <f>IF(J961&gt;0,MIN(99,$B$12*Q961/(J961*12*(1-Inputs!$H$16))),99)</f>
        <v>8.023642897</v>
      </c>
      <c r="L961" s="134">
        <f t="shared" si="9"/>
        <v>0.9058011228</v>
      </c>
      <c r="M961" s="134">
        <f t="shared" si="10"/>
        <v>0.9572200544</v>
      </c>
      <c r="N961" s="134">
        <f t="shared" si="11"/>
        <v>0.9996791314</v>
      </c>
      <c r="O961" s="134">
        <f t="shared" si="12"/>
        <v>1.011104132</v>
      </c>
      <c r="P961" s="134">
        <f t="shared" si="13"/>
        <v>1.576608078</v>
      </c>
      <c r="Q961" s="134">
        <f t="shared" si="14"/>
        <v>0.9546376501</v>
      </c>
    </row>
    <row r="962" ht="15.0" customHeight="1">
      <c r="A962" s="13">
        <v>923.0</v>
      </c>
      <c r="B962" s="134">
        <f t="shared" ref="B962:D962" si="1855">RAND()</f>
        <v>0.6384192336</v>
      </c>
      <c r="C962" s="134">
        <f t="shared" si="1855"/>
        <v>0.5272997345</v>
      </c>
      <c r="D962" s="134">
        <f t="shared" si="1855"/>
        <v>0.3732200688</v>
      </c>
      <c r="F962" s="134">
        <f t="shared" ref="F962:H962" si="1856">RAND()</f>
        <v>0.5589185585</v>
      </c>
      <c r="G962" s="134">
        <f t="shared" si="1856"/>
        <v>0.5563517191</v>
      </c>
      <c r="H962" s="134">
        <f t="shared" si="1856"/>
        <v>0.2572348424</v>
      </c>
      <c r="J962" s="135">
        <f t="shared" si="8"/>
        <v>177682672.4</v>
      </c>
      <c r="K962" s="136">
        <f>IF(J962&gt;0,MIN(99,$B$12*Q962/(J962*12*(1-Inputs!$H$16))),99)</f>
        <v>3.084023657</v>
      </c>
      <c r="L962" s="134">
        <f t="shared" si="9"/>
        <v>1.052026111</v>
      </c>
      <c r="M962" s="134">
        <f t="shared" si="10"/>
        <v>1.022376561</v>
      </c>
      <c r="N962" s="134">
        <f t="shared" si="11"/>
        <v>0.9976854801</v>
      </c>
      <c r="O962" s="134">
        <f t="shared" si="12"/>
        <v>1.028156047</v>
      </c>
      <c r="P962" s="134">
        <f t="shared" si="13"/>
        <v>1.229388466</v>
      </c>
      <c r="Q962" s="134">
        <f t="shared" si="14"/>
        <v>1.007236046</v>
      </c>
    </row>
    <row r="963" ht="15.0" customHeight="1">
      <c r="A963" s="13">
        <v>924.0</v>
      </c>
      <c r="B963" s="134">
        <f t="shared" ref="B963:D963" si="1857">RAND()</f>
        <v>0.3819265134</v>
      </c>
      <c r="C963" s="134">
        <f t="shared" si="1857"/>
        <v>0.07727497039</v>
      </c>
      <c r="D963" s="134">
        <f t="shared" si="1857"/>
        <v>0.3908720054</v>
      </c>
      <c r="F963" s="134">
        <f t="shared" ref="F963:H963" si="1858">RAND()</f>
        <v>0.4332064048</v>
      </c>
      <c r="G963" s="134">
        <f t="shared" si="1858"/>
        <v>0.1748988148</v>
      </c>
      <c r="H963" s="134">
        <f t="shared" si="1858"/>
        <v>0.3375527949</v>
      </c>
      <c r="J963" s="135">
        <f t="shared" si="8"/>
        <v>137734036.6</v>
      </c>
      <c r="K963" s="136">
        <f>IF(J963&gt;0,MIN(99,$B$12*Q963/(J963*12*(1-Inputs!$H$16))),99)</f>
        <v>4.078779763</v>
      </c>
      <c r="L963" s="134">
        <f t="shared" si="9"/>
        <v>0.9822841836</v>
      </c>
      <c r="M963" s="134">
        <f t="shared" si="10"/>
        <v>0.9914377197</v>
      </c>
      <c r="N963" s="134">
        <f t="shared" si="11"/>
        <v>0.9990588185</v>
      </c>
      <c r="O963" s="134">
        <f t="shared" si="12"/>
        <v>1.016978119</v>
      </c>
      <c r="P963" s="134">
        <f t="shared" si="13"/>
        <v>0.9989951416</v>
      </c>
      <c r="Q963" s="134">
        <f t="shared" si="14"/>
        <v>1.032618765</v>
      </c>
    </row>
    <row r="964" ht="15.0" customHeight="1">
      <c r="A964" s="13">
        <v>925.0</v>
      </c>
      <c r="B964" s="134">
        <f t="shared" ref="B964:D964" si="1859">RAND()</f>
        <v>0.3151310915</v>
      </c>
      <c r="C964" s="134">
        <f t="shared" si="1859"/>
        <v>0.3904823709</v>
      </c>
      <c r="D964" s="134">
        <f t="shared" si="1859"/>
        <v>0.6252900878</v>
      </c>
      <c r="F964" s="134">
        <f t="shared" ref="F964:H964" si="1860">RAND()</f>
        <v>0.06542727252</v>
      </c>
      <c r="G964" s="134">
        <f t="shared" si="1860"/>
        <v>0.8519629479</v>
      </c>
      <c r="H964" s="134">
        <f t="shared" si="1860"/>
        <v>0.3391326816</v>
      </c>
      <c r="J964" s="135">
        <f t="shared" si="8"/>
        <v>106669815.4</v>
      </c>
      <c r="K964" s="136">
        <f>IF(J964&gt;0,MIN(99,$B$12*Q964/(J964*12*(1-Inputs!$H$16))),99)</f>
        <v>5.269218827</v>
      </c>
      <c r="L964" s="134">
        <f t="shared" si="9"/>
        <v>0.963287673</v>
      </c>
      <c r="M964" s="134">
        <f t="shared" si="10"/>
        <v>0.9829388935</v>
      </c>
      <c r="N964" s="134">
        <f t="shared" si="11"/>
        <v>1.018765935</v>
      </c>
      <c r="O964" s="134">
        <f t="shared" si="12"/>
        <v>0.9866093465</v>
      </c>
      <c r="P964" s="134">
        <f t="shared" si="13"/>
        <v>1.496894658</v>
      </c>
      <c r="Q964" s="134">
        <f t="shared" si="14"/>
        <v>1.033133061</v>
      </c>
    </row>
    <row r="965" ht="15.0" customHeight="1">
      <c r="A965" s="13">
        <v>926.0</v>
      </c>
      <c r="B965" s="134">
        <f t="shared" ref="B965:D965" si="1861">RAND()</f>
        <v>0.408750283</v>
      </c>
      <c r="C965" s="134">
        <f t="shared" si="1861"/>
        <v>0.1052684802</v>
      </c>
      <c r="D965" s="134">
        <f t="shared" si="1861"/>
        <v>0.2093037327</v>
      </c>
      <c r="F965" s="134">
        <f t="shared" ref="F965:H965" si="1862">RAND()</f>
        <v>0.01496232894</v>
      </c>
      <c r="G965" s="134">
        <f t="shared" si="1862"/>
        <v>0.107503358</v>
      </c>
      <c r="H965" s="134">
        <f t="shared" si="1862"/>
        <v>0.7546323658</v>
      </c>
      <c r="J965" s="135">
        <f t="shared" si="8"/>
        <v>154237931.5</v>
      </c>
      <c r="K965" s="136">
        <f>IF(J965&gt;0,MIN(99,$B$12*Q965/(J965*12*(1-Inputs!$H$16))),99)</f>
        <v>4.237410172</v>
      </c>
      <c r="L965" s="134">
        <f t="shared" si="9"/>
        <v>0.9894397511</v>
      </c>
      <c r="M965" s="134">
        <f t="shared" si="10"/>
        <v>0.9946390405</v>
      </c>
      <c r="N965" s="134">
        <f t="shared" si="11"/>
        <v>0.9829309134</v>
      </c>
      <c r="O965" s="134">
        <f t="shared" si="12"/>
        <v>0.9778831352</v>
      </c>
      <c r="P965" s="134">
        <f t="shared" si="13"/>
        <v>0.9591853323</v>
      </c>
      <c r="Q965" s="134">
        <f t="shared" si="14"/>
        <v>1.201324069</v>
      </c>
    </row>
    <row r="966" ht="15.0" customHeight="1">
      <c r="A966" s="13">
        <v>927.0</v>
      </c>
      <c r="B966" s="134">
        <f t="shared" ref="B966:D966" si="1863">RAND()</f>
        <v>0.9638484345</v>
      </c>
      <c r="C966" s="134">
        <f t="shared" si="1863"/>
        <v>0.8547611767</v>
      </c>
      <c r="D966" s="134">
        <f t="shared" si="1863"/>
        <v>0.3880238401</v>
      </c>
      <c r="F966" s="134">
        <f t="shared" ref="F966:H966" si="1864">RAND()</f>
        <v>0.5673111849</v>
      </c>
      <c r="G966" s="134">
        <f t="shared" si="1864"/>
        <v>0.6623927272</v>
      </c>
      <c r="H966" s="134">
        <f t="shared" si="1864"/>
        <v>0.006378591032</v>
      </c>
      <c r="J966" s="135">
        <f t="shared" si="8"/>
        <v>293478898.7</v>
      </c>
      <c r="K966" s="136">
        <f>IF(J966&gt;0,MIN(99,$B$12*Q966/(J966*12*(1-Inputs!$H$16))),99)</f>
        <v>1.635214196</v>
      </c>
      <c r="L966" s="134">
        <f t="shared" si="9"/>
        <v>1.204495814</v>
      </c>
      <c r="M966" s="134">
        <f t="shared" si="10"/>
        <v>1.089808578</v>
      </c>
      <c r="N966" s="134">
        <f t="shared" si="11"/>
        <v>0.9988393585</v>
      </c>
      <c r="O966" s="134">
        <f t="shared" si="12"/>
        <v>1.028955959</v>
      </c>
      <c r="P966" s="134">
        <f t="shared" si="13"/>
        <v>1.31024456</v>
      </c>
      <c r="Q966" s="134">
        <f t="shared" si="14"/>
        <v>0.8821044452</v>
      </c>
    </row>
    <row r="967" ht="15.0" customHeight="1">
      <c r="A967" s="13">
        <v>928.0</v>
      </c>
      <c r="B967" s="134">
        <f t="shared" ref="B967:D967" si="1865">RAND()</f>
        <v>0.7373529851</v>
      </c>
      <c r="C967" s="134">
        <f t="shared" si="1865"/>
        <v>0.5935088681</v>
      </c>
      <c r="D967" s="134">
        <f t="shared" si="1865"/>
        <v>0.3575605905</v>
      </c>
      <c r="F967" s="134">
        <f t="shared" ref="F967:H967" si="1866">RAND()</f>
        <v>0.6699605887</v>
      </c>
      <c r="G967" s="134">
        <f t="shared" si="1866"/>
        <v>0.4072853795</v>
      </c>
      <c r="H967" s="134">
        <f t="shared" si="1866"/>
        <v>0.3427705388</v>
      </c>
      <c r="J967" s="135">
        <f t="shared" si="8"/>
        <v>204468802.5</v>
      </c>
      <c r="K967" s="136">
        <f>IF(J967&gt;0,MIN(99,$B$12*Q967/(J967*12*(1-Inputs!$H$16))),99)</f>
        <v>2.752068442</v>
      </c>
      <c r="L967" s="134">
        <f t="shared" si="9"/>
        <v>1.084963255</v>
      </c>
      <c r="M967" s="134">
        <f t="shared" si="10"/>
        <v>1.036943507</v>
      </c>
      <c r="N967" s="134">
        <f t="shared" si="11"/>
        <v>0.9964397104</v>
      </c>
      <c r="O967" s="134">
        <f t="shared" si="12"/>
        <v>1.039451369</v>
      </c>
      <c r="P967" s="134">
        <f t="shared" si="13"/>
        <v>1.130673282</v>
      </c>
      <c r="Q967" s="134">
        <f t="shared" si="14"/>
        <v>1.034319625</v>
      </c>
    </row>
    <row r="968" ht="15.0" customHeight="1">
      <c r="A968" s="13">
        <v>929.0</v>
      </c>
      <c r="B968" s="134">
        <f t="shared" ref="B968:D968" si="1867">RAND()</f>
        <v>0.4330760809</v>
      </c>
      <c r="C968" s="134">
        <f t="shared" si="1867"/>
        <v>0.2180185115</v>
      </c>
      <c r="D968" s="134">
        <f t="shared" si="1867"/>
        <v>0.4618684863</v>
      </c>
      <c r="F968" s="134">
        <f t="shared" ref="F968:H968" si="1868">RAND()</f>
        <v>0.6728419451</v>
      </c>
      <c r="G968" s="134">
        <f t="shared" si="1868"/>
        <v>0.4738253291</v>
      </c>
      <c r="H968" s="134">
        <f t="shared" si="1868"/>
        <v>0.9277740664</v>
      </c>
      <c r="J968" s="135">
        <f t="shared" si="8"/>
        <v>135675005.9</v>
      </c>
      <c r="K968" s="136">
        <f>IF(J968&gt;0,MIN(99,$B$12*Q968/(J968*12*(1-Inputs!$H$16))),99)</f>
        <v>5.298362408</v>
      </c>
      <c r="L968" s="134">
        <f t="shared" si="9"/>
        <v>0.9957284737</v>
      </c>
      <c r="M968" s="134">
        <f t="shared" si="10"/>
        <v>0.9974525446</v>
      </c>
      <c r="N968" s="134">
        <f t="shared" si="11"/>
        <v>1.004557317</v>
      </c>
      <c r="O968" s="134">
        <f t="shared" si="12"/>
        <v>1.039768025</v>
      </c>
      <c r="P968" s="134">
        <f t="shared" si="13"/>
        <v>1.17298976</v>
      </c>
      <c r="Q968" s="134">
        <f t="shared" si="14"/>
        <v>1.321326032</v>
      </c>
    </row>
    <row r="969" ht="15.0" customHeight="1">
      <c r="A969" s="13">
        <v>930.0</v>
      </c>
      <c r="B969" s="134">
        <f t="shared" ref="B969:D969" si="1869">RAND()</f>
        <v>0.3874620736</v>
      </c>
      <c r="C969" s="134">
        <f t="shared" si="1869"/>
        <v>0.7696010795</v>
      </c>
      <c r="D969" s="134">
        <f t="shared" si="1869"/>
        <v>0.3589389805</v>
      </c>
      <c r="F969" s="134">
        <f t="shared" ref="F969:H969" si="1870">RAND()</f>
        <v>0.07777373536</v>
      </c>
      <c r="G969" s="134">
        <f t="shared" si="1870"/>
        <v>0.03911566812</v>
      </c>
      <c r="H969" s="134">
        <f t="shared" si="1870"/>
        <v>0.7335437115</v>
      </c>
      <c r="J969" s="135">
        <f t="shared" si="8"/>
        <v>147803448.8</v>
      </c>
      <c r="K969" s="136">
        <f>IF(J969&gt;0,MIN(99,$B$12*Q969/(J969*12*(1-Inputs!$H$16))),99)</f>
        <v>4.381242455</v>
      </c>
      <c r="L969" s="134">
        <f t="shared" si="9"/>
        <v>0.9837809457</v>
      </c>
      <c r="M969" s="134">
        <f t="shared" si="10"/>
        <v>0.9921073543</v>
      </c>
      <c r="N969" s="134">
        <f t="shared" si="11"/>
        <v>0.9965504476</v>
      </c>
      <c r="O969" s="134">
        <f t="shared" si="12"/>
        <v>0.9881191178</v>
      </c>
      <c r="P969" s="134">
        <f t="shared" si="13"/>
        <v>0.9018494497</v>
      </c>
      <c r="Q969" s="134">
        <f t="shared" si="14"/>
        <v>1.19028329</v>
      </c>
    </row>
    <row r="970" ht="15.0" customHeight="1">
      <c r="A970" s="13">
        <v>931.0</v>
      </c>
      <c r="B970" s="134">
        <f t="shared" ref="B970:D970" si="1871">RAND()</f>
        <v>0.8188219061</v>
      </c>
      <c r="C970" s="134">
        <f t="shared" si="1871"/>
        <v>0.07331013013</v>
      </c>
      <c r="D970" s="134">
        <f t="shared" si="1871"/>
        <v>0.05463889195</v>
      </c>
      <c r="F970" s="134">
        <f t="shared" ref="F970:H970" si="1872">RAND()</f>
        <v>0.7567042538</v>
      </c>
      <c r="G970" s="134">
        <f t="shared" si="1872"/>
        <v>0.765558691</v>
      </c>
      <c r="H970" s="134">
        <f t="shared" si="1872"/>
        <v>0.2313702902</v>
      </c>
      <c r="J970" s="135">
        <f t="shared" si="8"/>
        <v>225623386.6</v>
      </c>
      <c r="K970" s="136">
        <f>IF(J970&gt;0,MIN(99,$B$12*Q970/(J970*12*(1-Inputs!$H$16))),99)</f>
        <v>2.4097246</v>
      </c>
      <c r="L970" s="134">
        <f t="shared" si="9"/>
        <v>1.117164681</v>
      </c>
      <c r="M970" s="134">
        <f t="shared" si="10"/>
        <v>1.051185072</v>
      </c>
      <c r="N970" s="134">
        <f t="shared" si="11"/>
        <v>0.9614128853</v>
      </c>
      <c r="O970" s="134">
        <f t="shared" si="12"/>
        <v>1.04968724</v>
      </c>
      <c r="P970" s="134">
        <f t="shared" si="13"/>
        <v>1.402339529</v>
      </c>
      <c r="Q970" s="134">
        <f t="shared" si="14"/>
        <v>0.9993554982</v>
      </c>
    </row>
    <row r="971" ht="15.0" customHeight="1">
      <c r="A971" s="13">
        <v>932.0</v>
      </c>
      <c r="B971" s="134">
        <f t="shared" ref="B971:D971" si="1873">RAND()</f>
        <v>0.4768436641</v>
      </c>
      <c r="C971" s="134">
        <f t="shared" si="1873"/>
        <v>0.9927881554</v>
      </c>
      <c r="D971" s="134">
        <f t="shared" si="1873"/>
        <v>0.3582602719</v>
      </c>
      <c r="F971" s="134">
        <f t="shared" ref="F971:H971" si="1874">RAND()</f>
        <v>0.3878498505</v>
      </c>
      <c r="G971" s="134">
        <f t="shared" si="1874"/>
        <v>0.08676962563</v>
      </c>
      <c r="H971" s="134">
        <f t="shared" si="1874"/>
        <v>0.9218943587</v>
      </c>
      <c r="J971" s="135">
        <f t="shared" si="8"/>
        <v>158338013.7</v>
      </c>
      <c r="K971" s="136">
        <f>IF(J971&gt;0,MIN(99,$B$12*Q971/(J971*12*(1-Inputs!$H$16))),99)</f>
        <v>4.520489387</v>
      </c>
      <c r="L971" s="134">
        <f t="shared" si="9"/>
        <v>1.006794862</v>
      </c>
      <c r="M971" s="134">
        <f t="shared" si="10"/>
        <v>1.002372361</v>
      </c>
      <c r="N971" s="134">
        <f t="shared" si="11"/>
        <v>0.9964959481</v>
      </c>
      <c r="O971" s="134">
        <f t="shared" si="12"/>
        <v>1.013255816</v>
      </c>
      <c r="P971" s="134">
        <f t="shared" si="13"/>
        <v>0.9445053441</v>
      </c>
      <c r="Q971" s="134">
        <f t="shared" si="14"/>
        <v>1.315646237</v>
      </c>
    </row>
    <row r="972" ht="15.0" customHeight="1">
      <c r="A972" s="13">
        <v>933.0</v>
      </c>
      <c r="B972" s="134">
        <f t="shared" ref="B972:D972" si="1875">RAND()</f>
        <v>0.1712570829</v>
      </c>
      <c r="C972" s="134">
        <f t="shared" si="1875"/>
        <v>0.6898516788</v>
      </c>
      <c r="D972" s="134">
        <f t="shared" si="1875"/>
        <v>0.2788201361</v>
      </c>
      <c r="F972" s="134">
        <f t="shared" ref="F972:H972" si="1876">RAND()</f>
        <v>0.1320596615</v>
      </c>
      <c r="G972" s="134">
        <f t="shared" si="1876"/>
        <v>0.297354276</v>
      </c>
      <c r="H972" s="134">
        <f t="shared" si="1876"/>
        <v>0.995334138</v>
      </c>
      <c r="J972" s="135">
        <f t="shared" si="8"/>
        <v>94190055.14</v>
      </c>
      <c r="K972" s="136">
        <f>IF(J972&gt;0,MIN(99,$B$12*Q972/(J972*12*(1-Inputs!$H$16))),99)</f>
        <v>8.245090811</v>
      </c>
      <c r="L972" s="134">
        <f t="shared" si="9"/>
        <v>0.9138035368</v>
      </c>
      <c r="M972" s="134">
        <f t="shared" si="10"/>
        <v>0.9608002448</v>
      </c>
      <c r="N972" s="134">
        <f t="shared" si="11"/>
        <v>0.9897145231</v>
      </c>
      <c r="O972" s="134">
        <f t="shared" si="12"/>
        <v>0.9936451717</v>
      </c>
      <c r="P972" s="134">
        <f t="shared" si="13"/>
        <v>1.065668443</v>
      </c>
      <c r="Q972" s="134">
        <f t="shared" si="14"/>
        <v>1.427476527</v>
      </c>
    </row>
    <row r="973" ht="15.0" customHeight="1">
      <c r="A973" s="13">
        <v>934.0</v>
      </c>
      <c r="B973" s="134">
        <f t="shared" ref="B973:D973" si="1877">RAND()</f>
        <v>0.9141269729</v>
      </c>
      <c r="C973" s="134">
        <f t="shared" si="1877"/>
        <v>0.4012078827</v>
      </c>
      <c r="D973" s="134">
        <f t="shared" si="1877"/>
        <v>0.6266399596</v>
      </c>
      <c r="F973" s="134">
        <f t="shared" ref="F973:H973" si="1878">RAND()</f>
        <v>0.8376570462</v>
      </c>
      <c r="G973" s="134">
        <f t="shared" si="1878"/>
        <v>0.4837185769</v>
      </c>
      <c r="H973" s="134">
        <f t="shared" si="1878"/>
        <v>0.2428738884</v>
      </c>
      <c r="J973" s="135">
        <f t="shared" si="8"/>
        <v>256943801.2</v>
      </c>
      <c r="K973" s="136">
        <f>IF(J973&gt;0,MIN(99,$B$12*Q973/(J973*12*(1-Inputs!$H$16))),99)</f>
        <v>2.123377185</v>
      </c>
      <c r="L973" s="134">
        <f t="shared" si="9"/>
        <v>1.166337489</v>
      </c>
      <c r="M973" s="134">
        <f t="shared" si="10"/>
        <v>1.072932485</v>
      </c>
      <c r="N973" s="134">
        <f t="shared" si="11"/>
        <v>1.018895057</v>
      </c>
      <c r="O973" s="134">
        <f t="shared" si="12"/>
        <v>1.061068625</v>
      </c>
      <c r="P973" s="134">
        <f t="shared" si="13"/>
        <v>1.179505193</v>
      </c>
      <c r="Q973" s="134">
        <f t="shared" si="14"/>
        <v>1.002844906</v>
      </c>
    </row>
    <row r="974" ht="15.0" customHeight="1">
      <c r="A974" s="13">
        <v>935.0</v>
      </c>
      <c r="B974" s="134">
        <f t="shared" ref="B974:D974" si="1879">RAND()</f>
        <v>0.4244815453</v>
      </c>
      <c r="C974" s="134">
        <f t="shared" si="1879"/>
        <v>0.3798866713</v>
      </c>
      <c r="D974" s="134">
        <f t="shared" si="1879"/>
        <v>0.6637024528</v>
      </c>
      <c r="F974" s="134">
        <f t="shared" ref="F974:H974" si="1880">RAND()</f>
        <v>0.5833488393</v>
      </c>
      <c r="G974" s="134">
        <f t="shared" si="1880"/>
        <v>0.7211685278</v>
      </c>
      <c r="H974" s="134">
        <f t="shared" si="1880"/>
        <v>0.1953572142</v>
      </c>
      <c r="J974" s="135">
        <f t="shared" si="8"/>
        <v>124729550.6</v>
      </c>
      <c r="K974" s="136">
        <f>IF(J974&gt;0,MIN(99,$B$12*Q974/(J974*12*(1-Inputs!$H$16))),99)</f>
        <v>4.309209274</v>
      </c>
      <c r="L974" s="134">
        <f t="shared" si="9"/>
        <v>0.993527284</v>
      </c>
      <c r="M974" s="134">
        <f t="shared" si="10"/>
        <v>0.996467757</v>
      </c>
      <c r="N974" s="134">
        <f t="shared" si="11"/>
        <v>1.022536196</v>
      </c>
      <c r="O974" s="134">
        <f t="shared" si="12"/>
        <v>1.030506408</v>
      </c>
      <c r="P974" s="134">
        <f t="shared" si="13"/>
        <v>1.360638366</v>
      </c>
      <c r="Q974" s="134">
        <f t="shared" si="14"/>
        <v>0.9879510442</v>
      </c>
    </row>
    <row r="975" ht="15.0" customHeight="1">
      <c r="A975" s="13">
        <v>936.0</v>
      </c>
      <c r="B975" s="134">
        <f t="shared" ref="B975:D975" si="1881">RAND()</f>
        <v>0.2607555863</v>
      </c>
      <c r="C975" s="134">
        <f t="shared" si="1881"/>
        <v>0.52731533</v>
      </c>
      <c r="D975" s="134">
        <f t="shared" si="1881"/>
        <v>0.1880144599</v>
      </c>
      <c r="F975" s="134">
        <f t="shared" ref="F975:H975" si="1882">RAND()</f>
        <v>0.3327624817</v>
      </c>
      <c r="G975" s="134">
        <f t="shared" si="1882"/>
        <v>0.8146478901</v>
      </c>
      <c r="H975" s="134">
        <f t="shared" si="1882"/>
        <v>0.6285515333</v>
      </c>
      <c r="J975" s="135">
        <f t="shared" si="8"/>
        <v>100745895.6</v>
      </c>
      <c r="K975" s="136">
        <f>IF(J975&gt;0,MIN(99,$B$12*Q975/(J975*12*(1-Inputs!$H$16))),99)</f>
        <v>6.160943804</v>
      </c>
      <c r="L975" s="134">
        <f t="shared" si="9"/>
        <v>0.9462746434</v>
      </c>
      <c r="M975" s="134">
        <f t="shared" si="10"/>
        <v>0.9753274544</v>
      </c>
      <c r="N975" s="134">
        <f t="shared" si="11"/>
        <v>0.9806333014</v>
      </c>
      <c r="O975" s="134">
        <f t="shared" si="12"/>
        <v>1.008915818</v>
      </c>
      <c r="P975" s="134">
        <f t="shared" si="13"/>
        <v>1.453371537</v>
      </c>
      <c r="Q975" s="134">
        <f t="shared" si="14"/>
        <v>1.140888206</v>
      </c>
    </row>
    <row r="976" ht="15.0" customHeight="1">
      <c r="A976" s="13">
        <v>937.0</v>
      </c>
      <c r="B976" s="134">
        <f t="shared" ref="B976:D976" si="1883">RAND()</f>
        <v>0.3931829094</v>
      </c>
      <c r="C976" s="134">
        <f t="shared" si="1883"/>
        <v>0.3710820408</v>
      </c>
      <c r="D976" s="134">
        <f t="shared" si="1883"/>
        <v>0.49601589</v>
      </c>
      <c r="F976" s="134">
        <f t="shared" ref="F976:H976" si="1884">RAND()</f>
        <v>0.7981854775</v>
      </c>
      <c r="G976" s="134">
        <f t="shared" si="1884"/>
        <v>0.02346890021</v>
      </c>
      <c r="H976" s="134">
        <f t="shared" si="1884"/>
        <v>0.6383241415</v>
      </c>
      <c r="J976" s="135">
        <f t="shared" si="8"/>
        <v>136140819.3</v>
      </c>
      <c r="K976" s="136">
        <f>IF(J976&gt;0,MIN(99,$B$12*Q976/(J976*12*(1-Inputs!$H$16))),99)</f>
        <v>4.576255082</v>
      </c>
      <c r="L976" s="134">
        <f t="shared" si="9"/>
        <v>0.9853166121</v>
      </c>
      <c r="M976" s="134">
        <f t="shared" si="10"/>
        <v>0.9927943943</v>
      </c>
      <c r="N976" s="134">
        <f t="shared" si="11"/>
        <v>1.007325131</v>
      </c>
      <c r="O976" s="134">
        <f t="shared" si="12"/>
        <v>1.055232585</v>
      </c>
      <c r="P976" s="134">
        <f t="shared" si="13"/>
        <v>0.8822022775</v>
      </c>
      <c r="Q976" s="134">
        <f t="shared" si="14"/>
        <v>1.145162361</v>
      </c>
    </row>
    <row r="977" ht="15.0" customHeight="1">
      <c r="A977" s="13">
        <v>938.0</v>
      </c>
      <c r="B977" s="134">
        <f t="shared" ref="B977:D977" si="1885">RAND()</f>
        <v>0.9581128017</v>
      </c>
      <c r="C977" s="134">
        <f t="shared" si="1885"/>
        <v>0.2378727243</v>
      </c>
      <c r="D977" s="134">
        <f t="shared" si="1885"/>
        <v>0.4914087581</v>
      </c>
      <c r="F977" s="134">
        <f t="shared" ref="F977:H977" si="1886">RAND()</f>
        <v>0.2001363583</v>
      </c>
      <c r="G977" s="134">
        <f t="shared" si="1886"/>
        <v>0.718526851</v>
      </c>
      <c r="H977" s="134">
        <f t="shared" si="1886"/>
        <v>0.3401750395</v>
      </c>
      <c r="J977" s="135">
        <f t="shared" si="8"/>
        <v>290112495.9</v>
      </c>
      <c r="K977" s="136">
        <f>IF(J977&gt;0,MIN(99,$B$12*Q977/(J977*12*(1-Inputs!$H$16))),99)</f>
        <v>1.938046076</v>
      </c>
      <c r="L977" s="134">
        <f t="shared" si="9"/>
        <v>1.199108698</v>
      </c>
      <c r="M977" s="134">
        <f t="shared" si="10"/>
        <v>1.087426044</v>
      </c>
      <c r="N977" s="134">
        <f t="shared" si="11"/>
        <v>1.006946343</v>
      </c>
      <c r="O977" s="134">
        <f t="shared" si="12"/>
        <v>0.9991349504</v>
      </c>
      <c r="P977" s="134">
        <f t="shared" si="13"/>
        <v>1.35826537</v>
      </c>
      <c r="Q977" s="134">
        <f t="shared" si="14"/>
        <v>1.033472714</v>
      </c>
    </row>
    <row r="978" ht="15.0" customHeight="1">
      <c r="A978" s="13">
        <v>939.0</v>
      </c>
      <c r="B978" s="134">
        <f t="shared" ref="B978:D978" si="1887">RAND()</f>
        <v>0.8016244137</v>
      </c>
      <c r="C978" s="134">
        <f t="shared" si="1887"/>
        <v>0.4949335859</v>
      </c>
      <c r="D978" s="134">
        <f t="shared" si="1887"/>
        <v>0.90338306</v>
      </c>
      <c r="F978" s="134">
        <f t="shared" ref="F978:H978" si="1888">RAND()</f>
        <v>0.2877854858</v>
      </c>
      <c r="G978" s="134">
        <f t="shared" si="1888"/>
        <v>0.9464921101</v>
      </c>
      <c r="H978" s="134">
        <f t="shared" si="1888"/>
        <v>0.2858014948</v>
      </c>
      <c r="J978" s="135">
        <f t="shared" si="8"/>
        <v>196074230.1</v>
      </c>
      <c r="K978" s="136">
        <f>IF(J978&gt;0,MIN(99,$B$12*Q978/(J978*12*(1-Inputs!$H$16))),99)</f>
        <v>2.819337007</v>
      </c>
      <c r="L978" s="134">
        <f t="shared" si="9"/>
        <v>1.10984358</v>
      </c>
      <c r="M978" s="134">
        <f t="shared" si="10"/>
        <v>1.047947205</v>
      </c>
      <c r="N978" s="134">
        <f t="shared" si="11"/>
        <v>1.05401902</v>
      </c>
      <c r="O978" s="134">
        <f t="shared" si="12"/>
        <v>1.005503632</v>
      </c>
      <c r="P978" s="134">
        <f t="shared" si="13"/>
        <v>1.642801815</v>
      </c>
      <c r="Q978" s="134">
        <f t="shared" si="14"/>
        <v>1.016098924</v>
      </c>
    </row>
    <row r="979" ht="15.0" customHeight="1">
      <c r="A979" s="13">
        <v>940.0</v>
      </c>
      <c r="B979" s="134">
        <f t="shared" ref="B979:D979" si="1889">RAND()</f>
        <v>0.3048057901</v>
      </c>
      <c r="C979" s="134">
        <f t="shared" si="1889"/>
        <v>0.9337392885</v>
      </c>
      <c r="D979" s="134">
        <f t="shared" si="1889"/>
        <v>0.2872759146</v>
      </c>
      <c r="F979" s="134">
        <f t="shared" ref="F979:H979" si="1890">RAND()</f>
        <v>0.4814623862</v>
      </c>
      <c r="G979" s="134">
        <f t="shared" si="1890"/>
        <v>0.7663134292</v>
      </c>
      <c r="H979" s="134">
        <f t="shared" si="1890"/>
        <v>0.1653200059</v>
      </c>
      <c r="J979" s="135">
        <f t="shared" si="8"/>
        <v>108165645.6</v>
      </c>
      <c r="K979" s="136">
        <f>IF(J979&gt;0,MIN(99,$B$12*Q979/(J979*12*(1-Inputs!$H$16))),99)</f>
        <v>4.917060253</v>
      </c>
      <c r="L979" s="134">
        <f t="shared" si="9"/>
        <v>0.9601773512</v>
      </c>
      <c r="M979" s="134">
        <f t="shared" si="10"/>
        <v>0.9815473703</v>
      </c>
      <c r="N979" s="134">
        <f t="shared" si="11"/>
        <v>0.9904787982</v>
      </c>
      <c r="O979" s="134">
        <f t="shared" si="12"/>
        <v>1.021105887</v>
      </c>
      <c r="P979" s="134">
        <f t="shared" si="13"/>
        <v>1.403081254</v>
      </c>
      <c r="Q979" s="134">
        <f t="shared" si="14"/>
        <v>0.9776048741</v>
      </c>
    </row>
    <row r="980" ht="15.0" customHeight="1">
      <c r="A980" s="13">
        <v>941.0</v>
      </c>
      <c r="B980" s="134">
        <f t="shared" ref="B980:D980" si="1891">RAND()</f>
        <v>0.8305422711</v>
      </c>
      <c r="C980" s="134">
        <f t="shared" si="1891"/>
        <v>0.5855292231</v>
      </c>
      <c r="D980" s="134">
        <f t="shared" si="1891"/>
        <v>0.1331202901</v>
      </c>
      <c r="F980" s="134">
        <f t="shared" ref="F980:H980" si="1892">RAND()</f>
        <v>0.7685573463</v>
      </c>
      <c r="G980" s="134">
        <f t="shared" si="1892"/>
        <v>0.6555803189</v>
      </c>
      <c r="H980" s="134">
        <f t="shared" si="1892"/>
        <v>0.1159065314</v>
      </c>
      <c r="J980" s="135">
        <f t="shared" si="8"/>
        <v>230086867.1</v>
      </c>
      <c r="K980" s="136">
        <f>IF(J980&gt;0,MIN(99,$B$12*Q980/(J980*12*(1-Inputs!$H$16))),99)</f>
        <v>2.265834129</v>
      </c>
      <c r="L980" s="134">
        <f t="shared" si="9"/>
        <v>1.122355191</v>
      </c>
      <c r="M980" s="134">
        <f t="shared" si="10"/>
        <v>1.053480653</v>
      </c>
      <c r="N980" s="134">
        <f t="shared" si="11"/>
        <v>0.9740215647</v>
      </c>
      <c r="O980" s="134">
        <f t="shared" si="12"/>
        <v>1.051220007</v>
      </c>
      <c r="P980" s="134">
        <f t="shared" si="13"/>
        <v>1.304697873</v>
      </c>
      <c r="Q980" s="134">
        <f t="shared" si="14"/>
        <v>0.9582711778</v>
      </c>
    </row>
    <row r="981" ht="15.0" customHeight="1">
      <c r="A981" s="13">
        <v>942.0</v>
      </c>
      <c r="B981" s="134">
        <f t="shared" ref="B981:D981" si="1893">RAND()</f>
        <v>0.7566289774</v>
      </c>
      <c r="C981" s="134">
        <f t="shared" si="1893"/>
        <v>0.9479014205</v>
      </c>
      <c r="D981" s="134">
        <f t="shared" si="1893"/>
        <v>0.2007466681</v>
      </c>
      <c r="F981" s="134">
        <f t="shared" ref="F981:H981" si="1894">RAND()</f>
        <v>0.3146672453</v>
      </c>
      <c r="G981" s="134">
        <f t="shared" si="1894"/>
        <v>0.2303571319</v>
      </c>
      <c r="H981" s="134">
        <f t="shared" si="1894"/>
        <v>0.4919180117</v>
      </c>
      <c r="J981" s="135">
        <f t="shared" si="8"/>
        <v>222444611.8</v>
      </c>
      <c r="K981" s="136">
        <f>IF(J981&gt;0,MIN(99,$B$12*Q981/(J981*12*(1-Inputs!$H$16))),99)</f>
        <v>2.656472751</v>
      </c>
      <c r="L981" s="134">
        <f t="shared" si="9"/>
        <v>1.092069643</v>
      </c>
      <c r="M981" s="134">
        <f t="shared" si="10"/>
        <v>1.040086414</v>
      </c>
      <c r="N981" s="134">
        <f t="shared" si="11"/>
        <v>0.9820221331</v>
      </c>
      <c r="O981" s="134">
        <f t="shared" si="12"/>
        <v>1.007529599</v>
      </c>
      <c r="P981" s="134">
        <f t="shared" si="13"/>
        <v>1.028531969</v>
      </c>
      <c r="Q981" s="134">
        <f t="shared" si="14"/>
        <v>1.086164832</v>
      </c>
    </row>
    <row r="982" ht="15.0" customHeight="1">
      <c r="A982" s="13">
        <v>943.0</v>
      </c>
      <c r="B982" s="134">
        <f t="shared" ref="B982:D982" si="1895">RAND()</f>
        <v>0.4465289104</v>
      </c>
      <c r="C982" s="134">
        <f t="shared" si="1895"/>
        <v>0.03276666227</v>
      </c>
      <c r="D982" s="134">
        <f t="shared" si="1895"/>
        <v>0.9400415509</v>
      </c>
      <c r="F982" s="134">
        <f t="shared" ref="F982:H982" si="1896">RAND()</f>
        <v>0.4906057639</v>
      </c>
      <c r="G982" s="134">
        <f t="shared" si="1896"/>
        <v>0.6254845531</v>
      </c>
      <c r="H982" s="134">
        <f t="shared" si="1896"/>
        <v>0.711121478</v>
      </c>
      <c r="J982" s="135">
        <f t="shared" si="8"/>
        <v>124703585.7</v>
      </c>
      <c r="K982" s="136">
        <f>IF(J982&gt;0,MIN(99,$B$12*Q982/(J982*12*(1-Inputs!$H$16))),99)</f>
        <v>5.143650142</v>
      </c>
      <c r="L982" s="134">
        <f t="shared" si="9"/>
        <v>0.9991305477</v>
      </c>
      <c r="M982" s="134">
        <f t="shared" si="10"/>
        <v>0.9989745944</v>
      </c>
      <c r="N982" s="134">
        <f t="shared" si="11"/>
        <v>1.061737477</v>
      </c>
      <c r="O982" s="134">
        <f t="shared" si="12"/>
        <v>1.021909351</v>
      </c>
      <c r="P982" s="134">
        <f t="shared" si="13"/>
        <v>1.280826131</v>
      </c>
      <c r="Q982" s="134">
        <f t="shared" si="14"/>
        <v>1.179013679</v>
      </c>
    </row>
    <row r="983" ht="15.0" customHeight="1">
      <c r="A983" s="13">
        <v>944.0</v>
      </c>
      <c r="B983" s="134">
        <f t="shared" ref="B983:D983" si="1897">RAND()</f>
        <v>0.144769727</v>
      </c>
      <c r="C983" s="134">
        <f t="shared" si="1897"/>
        <v>0.1571835268</v>
      </c>
      <c r="D983" s="134">
        <f t="shared" si="1897"/>
        <v>0.3912068201</v>
      </c>
      <c r="F983" s="134">
        <f t="shared" ref="F983:H983" si="1898">RAND()</f>
        <v>0.4336658938</v>
      </c>
      <c r="G983" s="134">
        <f t="shared" si="1898"/>
        <v>0.9951778033</v>
      </c>
      <c r="H983" s="134">
        <f t="shared" si="1898"/>
        <v>0.6201238927</v>
      </c>
      <c r="J983" s="135">
        <f t="shared" si="8"/>
        <v>53450278.37</v>
      </c>
      <c r="K983" s="136">
        <f>IF(J983&gt;0,MIN(99,$B$12*Q983/(J983*12*(1-Inputs!$H$16))),99)</f>
        <v>11.57541139</v>
      </c>
      <c r="L983" s="134">
        <f t="shared" si="9"/>
        <v>0.9026189417</v>
      </c>
      <c r="M983" s="134">
        <f t="shared" si="10"/>
        <v>0.9557963822</v>
      </c>
      <c r="N983" s="134">
        <f t="shared" si="11"/>
        <v>0.9990845644</v>
      </c>
      <c r="O983" s="134">
        <f t="shared" si="12"/>
        <v>1.017016576</v>
      </c>
      <c r="P983" s="134">
        <f t="shared" si="13"/>
        <v>1.79673242</v>
      </c>
      <c r="Q983" s="134">
        <f t="shared" si="14"/>
        <v>1.137247229</v>
      </c>
    </row>
    <row r="984" ht="15.0" customHeight="1">
      <c r="A984" s="13">
        <v>945.0</v>
      </c>
      <c r="B984" s="134">
        <f t="shared" ref="B984:D984" si="1899">RAND()</f>
        <v>0.1923001001</v>
      </c>
      <c r="C984" s="134">
        <f t="shared" si="1899"/>
        <v>0.138226054</v>
      </c>
      <c r="D984" s="134">
        <f t="shared" si="1899"/>
        <v>0.3819332733</v>
      </c>
      <c r="F984" s="134">
        <f t="shared" ref="F984:H984" si="1900">RAND()</f>
        <v>0.9554482725</v>
      </c>
      <c r="G984" s="134">
        <f t="shared" si="1900"/>
        <v>0.6372295511</v>
      </c>
      <c r="H984" s="134">
        <f t="shared" si="1900"/>
        <v>0.03110624544</v>
      </c>
      <c r="J984" s="135">
        <f t="shared" si="8"/>
        <v>74237956.19</v>
      </c>
      <c r="K984" s="136">
        <f>IF(J984&gt;0,MIN(99,$B$12*Q984/(J984*12*(1-Inputs!$H$16))),99)</f>
        <v>6.671071824</v>
      </c>
      <c r="L984" s="134">
        <f t="shared" si="9"/>
        <v>0.9220841979</v>
      </c>
      <c r="M984" s="134">
        <f t="shared" si="10"/>
        <v>0.9645049199</v>
      </c>
      <c r="N984" s="134">
        <f t="shared" si="11"/>
        <v>0.9983673423</v>
      </c>
      <c r="O984" s="134">
        <f t="shared" si="12"/>
        <v>1.085240142</v>
      </c>
      <c r="P984" s="134">
        <f t="shared" si="13"/>
        <v>1.290023786</v>
      </c>
      <c r="Q984" s="134">
        <f t="shared" si="14"/>
        <v>0.9103116583</v>
      </c>
    </row>
    <row r="985" ht="15.0" customHeight="1">
      <c r="A985" s="13">
        <v>946.0</v>
      </c>
      <c r="B985" s="134">
        <f t="shared" ref="B985:D985" si="1901">RAND()</f>
        <v>0.2439152518</v>
      </c>
      <c r="C985" s="134">
        <f t="shared" si="1901"/>
        <v>0.7639099489</v>
      </c>
      <c r="D985" s="134">
        <f t="shared" si="1901"/>
        <v>0.7488122535</v>
      </c>
      <c r="F985" s="134">
        <f t="shared" ref="F985:H985" si="1902">RAND()</f>
        <v>0.01349769069</v>
      </c>
      <c r="G985" s="134">
        <f t="shared" si="1902"/>
        <v>0.2080873061</v>
      </c>
      <c r="H985" s="134">
        <f t="shared" si="1902"/>
        <v>0.1890079962</v>
      </c>
      <c r="J985" s="135">
        <f t="shared" si="8"/>
        <v>108299853.7</v>
      </c>
      <c r="K985" s="136">
        <f>IF(J985&gt;0,MIN(99,$B$12*Q985/(J985*12*(1-Inputs!$H$16))),99)</f>
        <v>4.952307245</v>
      </c>
      <c r="L985" s="134">
        <f t="shared" si="9"/>
        <v>0.94065164</v>
      </c>
      <c r="M985" s="134">
        <f t="shared" si="10"/>
        <v>0.9728117857</v>
      </c>
      <c r="N985" s="134">
        <f t="shared" si="11"/>
        <v>1.031747229</v>
      </c>
      <c r="O985" s="134">
        <f t="shared" si="12"/>
        <v>0.9774816277</v>
      </c>
      <c r="P985" s="134">
        <f t="shared" si="13"/>
        <v>1.016548639</v>
      </c>
      <c r="Q985" s="134">
        <f t="shared" si="14"/>
        <v>0.9858343168</v>
      </c>
    </row>
    <row r="986" ht="15.0" customHeight="1">
      <c r="A986" s="13">
        <v>947.0</v>
      </c>
      <c r="B986" s="134">
        <f t="shared" ref="B986:D986" si="1903">RAND()</f>
        <v>0.3064952658</v>
      </c>
      <c r="C986" s="134">
        <f t="shared" si="1903"/>
        <v>0.2344640319</v>
      </c>
      <c r="D986" s="134">
        <f t="shared" si="1903"/>
        <v>0.3968729051</v>
      </c>
      <c r="F986" s="134">
        <f t="shared" ref="F986:H986" si="1904">RAND()</f>
        <v>0.9443120567</v>
      </c>
      <c r="G986" s="134">
        <f t="shared" si="1904"/>
        <v>0.3003924054</v>
      </c>
      <c r="H986" s="134">
        <f t="shared" si="1904"/>
        <v>0.03763543408</v>
      </c>
      <c r="J986" s="135">
        <f t="shared" si="8"/>
        <v>109151046.7</v>
      </c>
      <c r="K986" s="136">
        <f>IF(J986&gt;0,MIN(99,$B$12*Q986/(J986*12*(1-Inputs!$H$16))),99)</f>
        <v>4.562943564</v>
      </c>
      <c r="L986" s="134">
        <f t="shared" si="9"/>
        <v>0.9606898419</v>
      </c>
      <c r="M986" s="134">
        <f t="shared" si="10"/>
        <v>0.9817766529</v>
      </c>
      <c r="N986" s="134">
        <f t="shared" si="11"/>
        <v>0.9995186045</v>
      </c>
      <c r="O986" s="134">
        <f t="shared" si="12"/>
        <v>1.082101594</v>
      </c>
      <c r="P986" s="134">
        <f t="shared" si="13"/>
        <v>1.067393573</v>
      </c>
      <c r="Q986" s="134">
        <f t="shared" si="14"/>
        <v>0.9154644487</v>
      </c>
    </row>
    <row r="987" ht="15.0" customHeight="1">
      <c r="A987" s="13">
        <v>948.0</v>
      </c>
      <c r="B987" s="134">
        <f t="shared" ref="B987:D987" si="1905">RAND()</f>
        <v>0.1392255184</v>
      </c>
      <c r="C987" s="134">
        <f t="shared" si="1905"/>
        <v>0.1891133407</v>
      </c>
      <c r="D987" s="134">
        <f t="shared" si="1905"/>
        <v>0.297517809</v>
      </c>
      <c r="F987" s="134">
        <f t="shared" ref="F987:H987" si="1906">RAND()</f>
        <v>0.8062637044</v>
      </c>
      <c r="G987" s="134">
        <f t="shared" si="1906"/>
        <v>0.7512491076</v>
      </c>
      <c r="H987" s="134">
        <f t="shared" si="1906"/>
        <v>0.1087042129</v>
      </c>
      <c r="J987" s="135">
        <f t="shared" si="8"/>
        <v>62173359.17</v>
      </c>
      <c r="K987" s="136">
        <f>IF(J987&gt;0,MIN(99,$B$12*Q987/(J987*12*(1-Inputs!$H$16))),99)</f>
        <v>8.357754289</v>
      </c>
      <c r="L987" s="134">
        <f t="shared" si="9"/>
        <v>0.9001513916</v>
      </c>
      <c r="M987" s="134">
        <f t="shared" si="10"/>
        <v>0.9546924279</v>
      </c>
      <c r="N987" s="134">
        <f t="shared" si="11"/>
        <v>0.9913896016</v>
      </c>
      <c r="O987" s="134">
        <f t="shared" si="12"/>
        <v>1.056376979</v>
      </c>
      <c r="P987" s="134">
        <f t="shared" si="13"/>
        <v>1.388496122</v>
      </c>
      <c r="Q987" s="134">
        <f t="shared" si="14"/>
        <v>0.9551298387</v>
      </c>
    </row>
    <row r="988" ht="15.0" customHeight="1">
      <c r="A988" s="13">
        <v>949.0</v>
      </c>
      <c r="B988" s="134">
        <f t="shared" ref="B988:D988" si="1907">RAND()</f>
        <v>0.1655642706</v>
      </c>
      <c r="C988" s="134">
        <f t="shared" si="1907"/>
        <v>0.4192459918</v>
      </c>
      <c r="D988" s="134">
        <f t="shared" si="1907"/>
        <v>0.08478446368</v>
      </c>
      <c r="F988" s="134">
        <f t="shared" ref="F988:H988" si="1908">RAND()</f>
        <v>0.8746966114</v>
      </c>
      <c r="G988" s="134">
        <f t="shared" si="1908"/>
        <v>0.05068525597</v>
      </c>
      <c r="H988" s="134">
        <f t="shared" si="1908"/>
        <v>0.7031698182</v>
      </c>
      <c r="J988" s="135">
        <f t="shared" si="8"/>
        <v>90562142.31</v>
      </c>
      <c r="K988" s="136">
        <f>IF(J988&gt;0,MIN(99,$B$12*Q988/(J988*12*(1-Inputs!$H$16))),99)</f>
        <v>7.059404868</v>
      </c>
      <c r="L988" s="134">
        <f t="shared" si="9"/>
        <v>0.9114770326</v>
      </c>
      <c r="M988" s="134">
        <f t="shared" si="10"/>
        <v>0.9597593929</v>
      </c>
      <c r="N988" s="134">
        <f t="shared" si="11"/>
        <v>0.9669358006</v>
      </c>
      <c r="O988" s="134">
        <f t="shared" si="12"/>
        <v>1.067234293</v>
      </c>
      <c r="P988" s="134">
        <f t="shared" si="13"/>
        <v>0.9139058502</v>
      </c>
      <c r="Q988" s="134">
        <f t="shared" si="14"/>
        <v>1.175122817</v>
      </c>
    </row>
    <row r="989" ht="15.0" customHeight="1">
      <c r="A989" s="13">
        <v>950.0</v>
      </c>
      <c r="B989" s="134">
        <f t="shared" ref="B989:D989" si="1909">RAND()</f>
        <v>0.04844741743</v>
      </c>
      <c r="C989" s="134">
        <f t="shared" si="1909"/>
        <v>0.8699933199</v>
      </c>
      <c r="D989" s="134">
        <f t="shared" si="1909"/>
        <v>0.4847301646</v>
      </c>
      <c r="F989" s="134">
        <f t="shared" ref="F989:H989" si="1910">RAND()</f>
        <v>0.1988559905</v>
      </c>
      <c r="G989" s="134">
        <f t="shared" si="1910"/>
        <v>0.4930252861</v>
      </c>
      <c r="H989" s="134">
        <f t="shared" si="1910"/>
        <v>0.9711987339</v>
      </c>
      <c r="J989" s="135">
        <f t="shared" si="8"/>
        <v>43699303.81</v>
      </c>
      <c r="K989" s="136">
        <f>IF(J989&gt;0,MIN(99,$B$12*Q989/(J989*12*(1-Inputs!$H$16))),99)</f>
        <v>17.1030203</v>
      </c>
      <c r="L989" s="134">
        <f t="shared" si="9"/>
        <v>0.8488263805</v>
      </c>
      <c r="M989" s="134">
        <f t="shared" si="10"/>
        <v>0.9317301924</v>
      </c>
      <c r="N989" s="134">
        <f t="shared" si="11"/>
        <v>1.006400276</v>
      </c>
      <c r="O989" s="134">
        <f t="shared" si="12"/>
        <v>0.9990412395</v>
      </c>
      <c r="P989" s="134">
        <f t="shared" si="13"/>
        <v>1.185691576</v>
      </c>
      <c r="Q989" s="134">
        <f t="shared" si="14"/>
        <v>1.373775638</v>
      </c>
    </row>
    <row r="990" ht="15.0" customHeight="1">
      <c r="A990" s="13">
        <v>951.0</v>
      </c>
      <c r="B990" s="134">
        <f t="shared" ref="B990:D990" si="1911">RAND()</f>
        <v>0.5207068013</v>
      </c>
      <c r="C990" s="134">
        <f t="shared" si="1911"/>
        <v>0.9605221942</v>
      </c>
      <c r="D990" s="134">
        <f t="shared" si="1911"/>
        <v>0.6844166275</v>
      </c>
      <c r="F990" s="134">
        <f t="shared" ref="F990:H990" si="1912">RAND()</f>
        <v>0.5768045517</v>
      </c>
      <c r="G990" s="134">
        <f t="shared" si="1912"/>
        <v>0.7924017918</v>
      </c>
      <c r="H990" s="134">
        <f t="shared" si="1912"/>
        <v>0.4406174827</v>
      </c>
      <c r="J990" s="135">
        <f t="shared" si="8"/>
        <v>139311171.5</v>
      </c>
      <c r="K990" s="136">
        <f>IF(J990&gt;0,MIN(99,$B$12*Q990/(J990*12*(1-Inputs!$H$16))),99)</f>
        <v>4.169080118</v>
      </c>
      <c r="L990" s="134">
        <f t="shared" si="9"/>
        <v>1.018284564</v>
      </c>
      <c r="M990" s="134">
        <f t="shared" si="10"/>
        <v>1.007453855</v>
      </c>
      <c r="N990" s="134">
        <f t="shared" si="11"/>
        <v>1.024659036</v>
      </c>
      <c r="O990" s="134">
        <f t="shared" si="12"/>
        <v>1.029870193</v>
      </c>
      <c r="P990" s="134">
        <f t="shared" si="13"/>
        <v>1.429499604</v>
      </c>
      <c r="Q990" s="134">
        <f t="shared" si="14"/>
        <v>1.067565835</v>
      </c>
    </row>
    <row r="991" ht="15.0" customHeight="1">
      <c r="A991" s="13">
        <v>952.0</v>
      </c>
      <c r="B991" s="134">
        <f t="shared" ref="B991:D991" si="1913">RAND()</f>
        <v>0.5521713258</v>
      </c>
      <c r="C991" s="134">
        <f t="shared" si="1913"/>
        <v>0.1831354433</v>
      </c>
      <c r="D991" s="134">
        <f t="shared" si="1913"/>
        <v>0.3642044206</v>
      </c>
      <c r="F991" s="134">
        <f t="shared" ref="F991:H991" si="1914">RAND()</f>
        <v>0.813311751</v>
      </c>
      <c r="G991" s="134">
        <f t="shared" si="1914"/>
        <v>0.6952571496</v>
      </c>
      <c r="H991" s="134">
        <f t="shared" si="1914"/>
        <v>0.5263208987</v>
      </c>
      <c r="J991" s="135">
        <f t="shared" si="8"/>
        <v>150438904.8</v>
      </c>
      <c r="K991" s="136">
        <f>IF(J991&gt;0,MIN(99,$B$12*Q991/(J991*12*(1-Inputs!$H$16))),99)</f>
        <v>3.97498751</v>
      </c>
      <c r="L991" s="134">
        <f t="shared" si="9"/>
        <v>1.026853989</v>
      </c>
      <c r="M991" s="134">
        <f t="shared" si="10"/>
        <v>1.011243812</v>
      </c>
      <c r="N991" s="134">
        <f t="shared" si="11"/>
        <v>0.9969715177</v>
      </c>
      <c r="O991" s="134">
        <f t="shared" si="12"/>
        <v>1.05739508</v>
      </c>
      <c r="P991" s="134">
        <f t="shared" si="13"/>
        <v>1.337825604</v>
      </c>
      <c r="Q991" s="134">
        <f t="shared" si="14"/>
        <v>1.099168851</v>
      </c>
    </row>
    <row r="992" ht="15.0" customHeight="1">
      <c r="A992" s="13">
        <v>953.0</v>
      </c>
      <c r="B992" s="134">
        <f t="shared" ref="B992:D992" si="1915">RAND()</f>
        <v>0.7782238031</v>
      </c>
      <c r="C992" s="134">
        <f t="shared" si="1915"/>
        <v>0.1967555022</v>
      </c>
      <c r="D992" s="134">
        <f t="shared" si="1915"/>
        <v>0.3897625117</v>
      </c>
      <c r="F992" s="134">
        <f t="shared" ref="F992:H992" si="1916">RAND()</f>
        <v>0.5089374587</v>
      </c>
      <c r="G992" s="134">
        <f t="shared" si="1916"/>
        <v>0.4480648691</v>
      </c>
      <c r="H992" s="134">
        <f t="shared" si="1916"/>
        <v>0.6405266026</v>
      </c>
      <c r="J992" s="135">
        <f t="shared" si="8"/>
        <v>217305450.3</v>
      </c>
      <c r="K992" s="136">
        <f>IF(J992&gt;0,MIN(99,$B$12*Q992/(J992*12*(1-Inputs!$H$16))),99)</f>
        <v>2.869433306</v>
      </c>
      <c r="L992" s="134">
        <f t="shared" si="9"/>
        <v>1.100374037</v>
      </c>
      <c r="M992" s="134">
        <f t="shared" si="10"/>
        <v>1.043759157</v>
      </c>
      <c r="N992" s="134">
        <f t="shared" si="11"/>
        <v>0.9989734239</v>
      </c>
      <c r="O992" s="134">
        <f t="shared" si="12"/>
        <v>1.023542251</v>
      </c>
      <c r="P992" s="134">
        <f t="shared" si="13"/>
        <v>1.156306479</v>
      </c>
      <c r="Q992" s="134">
        <f t="shared" si="14"/>
        <v>1.146133576</v>
      </c>
    </row>
    <row r="993" ht="15.0" customHeight="1">
      <c r="A993" s="13">
        <v>954.0</v>
      </c>
      <c r="B993" s="134">
        <f t="shared" ref="B993:D993" si="1917">RAND()</f>
        <v>0.6114133031</v>
      </c>
      <c r="C993" s="134">
        <f t="shared" si="1917"/>
        <v>0.5740441119</v>
      </c>
      <c r="D993" s="134">
        <f t="shared" si="1917"/>
        <v>0.9863351935</v>
      </c>
      <c r="F993" s="134">
        <f t="shared" ref="F993:H993" si="1918">RAND()</f>
        <v>0.04226590775</v>
      </c>
      <c r="G993" s="134">
        <f t="shared" si="1918"/>
        <v>0.204503267</v>
      </c>
      <c r="H993" s="134">
        <f t="shared" si="1918"/>
        <v>0.5562361602</v>
      </c>
      <c r="J993" s="135">
        <f t="shared" si="8"/>
        <v>169501401</v>
      </c>
      <c r="K993" s="136">
        <f>IF(J993&gt;0,MIN(99,$B$12*Q993/(J993*12*(1-Inputs!$H$16))),99)</f>
        <v>3.565495564</v>
      </c>
      <c r="L993" s="134">
        <f t="shared" si="9"/>
        <v>1.043849247</v>
      </c>
      <c r="M993" s="134">
        <f t="shared" si="10"/>
        <v>1.01876022</v>
      </c>
      <c r="N993" s="134">
        <f t="shared" si="11"/>
        <v>1.07670996</v>
      </c>
      <c r="O993" s="134">
        <f t="shared" si="12"/>
        <v>0.983327164</v>
      </c>
      <c r="P993" s="134">
        <f t="shared" si="13"/>
        <v>1.014635895</v>
      </c>
      <c r="Q993" s="134">
        <f t="shared" si="14"/>
        <v>1.110865998</v>
      </c>
    </row>
    <row r="994" ht="15.0" customHeight="1">
      <c r="A994" s="13">
        <v>955.0</v>
      </c>
      <c r="B994" s="134">
        <f t="shared" ref="B994:D994" si="1919">RAND()</f>
        <v>0.3461200774</v>
      </c>
      <c r="C994" s="134">
        <f t="shared" si="1919"/>
        <v>0.1071275631</v>
      </c>
      <c r="D994" s="134">
        <f t="shared" si="1919"/>
        <v>0.7159253101</v>
      </c>
      <c r="F994" s="134">
        <f t="shared" ref="F994:H994" si="1920">RAND()</f>
        <v>0.8536251549</v>
      </c>
      <c r="G994" s="134">
        <f t="shared" si="1920"/>
        <v>0.5975982966</v>
      </c>
      <c r="H994" s="134">
        <f t="shared" si="1920"/>
        <v>0.05987722911</v>
      </c>
      <c r="J994" s="135">
        <f t="shared" si="8"/>
        <v>107079425.9</v>
      </c>
      <c r="K994" s="136">
        <f>IF(J994&gt;0,MIN(99,$B$12*Q994/(J994*12*(1-Inputs!$H$16))),99)</f>
        <v>4.726512743</v>
      </c>
      <c r="L994" s="134">
        <f t="shared" si="9"/>
        <v>0.9723284285</v>
      </c>
      <c r="M994" s="134">
        <f t="shared" si="10"/>
        <v>0.9869836263</v>
      </c>
      <c r="N994" s="134">
        <f t="shared" si="11"/>
        <v>1.028026533</v>
      </c>
      <c r="O994" s="134">
        <f t="shared" si="12"/>
        <v>1.063629898</v>
      </c>
      <c r="P994" s="134">
        <f t="shared" si="13"/>
        <v>1.259549582</v>
      </c>
      <c r="Q994" s="134">
        <f t="shared" si="14"/>
        <v>0.9302835646</v>
      </c>
    </row>
    <row r="995" ht="15.0" customHeight="1">
      <c r="A995" s="13">
        <v>956.0</v>
      </c>
      <c r="B995" s="134">
        <f t="shared" ref="B995:D995" si="1921">RAND()</f>
        <v>0.7380071287</v>
      </c>
      <c r="C995" s="134">
        <f t="shared" si="1921"/>
        <v>0.5059864651</v>
      </c>
      <c r="D995" s="134">
        <f t="shared" si="1921"/>
        <v>0.6542037036</v>
      </c>
      <c r="F995" s="134">
        <f t="shared" ref="F995:H995" si="1922">RAND()</f>
        <v>0.3335794619</v>
      </c>
      <c r="G995" s="134">
        <f t="shared" si="1922"/>
        <v>0.8198794626</v>
      </c>
      <c r="H995" s="134">
        <f t="shared" si="1922"/>
        <v>0.8550050993</v>
      </c>
      <c r="J995" s="135">
        <f t="shared" si="8"/>
        <v>191452950.1</v>
      </c>
      <c r="K995" s="136">
        <f>IF(J995&gt;0,MIN(99,$B$12*Q995/(J995*12*(1-Inputs!$H$16))),99)</f>
        <v>3.586139351</v>
      </c>
      <c r="L995" s="134">
        <f t="shared" si="9"/>
        <v>1.085200053</v>
      </c>
      <c r="M995" s="134">
        <f t="shared" si="10"/>
        <v>1.037048235</v>
      </c>
      <c r="N995" s="134">
        <f t="shared" si="11"/>
        <v>1.021584641</v>
      </c>
      <c r="O995" s="134">
        <f t="shared" si="12"/>
        <v>1.008978845</v>
      </c>
      <c r="P995" s="134">
        <f t="shared" si="13"/>
        <v>1.459190482</v>
      </c>
      <c r="Q995" s="134">
        <f t="shared" si="14"/>
        <v>1.261995207</v>
      </c>
    </row>
    <row r="996" ht="15.0" customHeight="1">
      <c r="A996" s="13">
        <v>957.0</v>
      </c>
      <c r="B996" s="134">
        <f t="shared" ref="B996:D996" si="1923">RAND()</f>
        <v>0.5630865908</v>
      </c>
      <c r="C996" s="134">
        <f t="shared" si="1923"/>
        <v>0.6894102039</v>
      </c>
      <c r="D996" s="134">
        <f t="shared" si="1923"/>
        <v>0.4482885499</v>
      </c>
      <c r="F996" s="134">
        <f t="shared" ref="F996:H996" si="1924">RAND()</f>
        <v>0.5113350294</v>
      </c>
      <c r="G996" s="134">
        <f t="shared" si="1924"/>
        <v>0.1062697979</v>
      </c>
      <c r="H996" s="134">
        <f t="shared" si="1924"/>
        <v>0.5560329672</v>
      </c>
      <c r="J996" s="135">
        <f t="shared" si="8"/>
        <v>171153328.1</v>
      </c>
      <c r="K996" s="136">
        <f>IF(J996&gt;0,MIN(99,$B$12*Q996/(J996*12*(1-Inputs!$H$16))),99)</f>
        <v>3.530825629</v>
      </c>
      <c r="L996" s="134">
        <f t="shared" si="9"/>
        <v>1.029896769</v>
      </c>
      <c r="M996" s="134">
        <f t="shared" si="10"/>
        <v>1.012589527</v>
      </c>
      <c r="N996" s="134">
        <f t="shared" si="11"/>
        <v>1.003481092</v>
      </c>
      <c r="O996" s="134">
        <f t="shared" si="12"/>
        <v>1.023758054</v>
      </c>
      <c r="P996" s="134">
        <f t="shared" si="13"/>
        <v>0.9583539152</v>
      </c>
      <c r="Q996" s="134">
        <f t="shared" si="14"/>
        <v>1.11078524</v>
      </c>
    </row>
    <row r="997" ht="15.0" customHeight="1">
      <c r="A997" s="13">
        <v>958.0</v>
      </c>
      <c r="B997" s="134">
        <f t="shared" ref="B997:D997" si="1925">RAND()</f>
        <v>0.3010011226</v>
      </c>
      <c r="C997" s="134">
        <f t="shared" si="1925"/>
        <v>0.9307783894</v>
      </c>
      <c r="D997" s="134">
        <f t="shared" si="1925"/>
        <v>0.7809249746</v>
      </c>
      <c r="F997" s="134">
        <f t="shared" ref="F997:H997" si="1926">RAND()</f>
        <v>0.6185780407</v>
      </c>
      <c r="G997" s="134">
        <f t="shared" si="1926"/>
        <v>0.8293018673</v>
      </c>
      <c r="H997" s="134">
        <f t="shared" si="1926"/>
        <v>0.1533522025</v>
      </c>
      <c r="J997" s="135">
        <f t="shared" si="8"/>
        <v>93368445.82</v>
      </c>
      <c r="K997" s="136">
        <f>IF(J997&gt;0,MIN(99,$B$12*Q997/(J997*12*(1-Inputs!$H$16))),99)</f>
        <v>5.670788872</v>
      </c>
      <c r="L997" s="134">
        <f t="shared" si="9"/>
        <v>0.9590180053</v>
      </c>
      <c r="M997" s="134">
        <f t="shared" si="10"/>
        <v>0.981028692</v>
      </c>
      <c r="N997" s="134">
        <f t="shared" si="11"/>
        <v>1.035623724</v>
      </c>
      <c r="O997" s="134">
        <f t="shared" si="12"/>
        <v>1.034020597</v>
      </c>
      <c r="P997" s="134">
        <f t="shared" si="13"/>
        <v>1.469888121</v>
      </c>
      <c r="Q997" s="134">
        <f t="shared" si="14"/>
        <v>0.9732223848</v>
      </c>
    </row>
    <row r="998" ht="15.0" customHeight="1">
      <c r="A998" s="13">
        <v>959.0</v>
      </c>
      <c r="B998" s="134">
        <f t="shared" ref="B998:D998" si="1927">RAND()</f>
        <v>0.9234440602</v>
      </c>
      <c r="C998" s="134">
        <f t="shared" si="1927"/>
        <v>0.1577438323</v>
      </c>
      <c r="D998" s="134">
        <f t="shared" si="1927"/>
        <v>0.900932337</v>
      </c>
      <c r="F998" s="134">
        <f t="shared" ref="F998:H998" si="1928">RAND()</f>
        <v>0.6589400862</v>
      </c>
      <c r="G998" s="134">
        <f t="shared" si="1928"/>
        <v>0.3898617769</v>
      </c>
      <c r="H998" s="134">
        <f t="shared" si="1928"/>
        <v>0.6481261019</v>
      </c>
      <c r="J998" s="135">
        <f t="shared" si="8"/>
        <v>259112087.9</v>
      </c>
      <c r="K998" s="136">
        <f>IF(J998&gt;0,MIN(99,$B$12*Q998/(J998*12*(1-Inputs!$H$16))),99)</f>
        <v>2.413546962</v>
      </c>
      <c r="L998" s="134">
        <f t="shared" si="9"/>
        <v>1.172401551</v>
      </c>
      <c r="M998" s="134">
        <f t="shared" si="10"/>
        <v>1.075614408</v>
      </c>
      <c r="N998" s="134">
        <f t="shared" si="11"/>
        <v>1.053560663</v>
      </c>
      <c r="O998" s="134">
        <f t="shared" si="12"/>
        <v>1.038252807</v>
      </c>
      <c r="P998" s="134">
        <f t="shared" si="13"/>
        <v>1.119990818</v>
      </c>
      <c r="Q998" s="134">
        <f t="shared" si="14"/>
        <v>1.149507763</v>
      </c>
    </row>
    <row r="999" ht="15.0" customHeight="1">
      <c r="A999" s="13">
        <v>960.0</v>
      </c>
      <c r="B999" s="134">
        <f t="shared" ref="B999:D999" si="1929">RAND()</f>
        <v>0.1632867239</v>
      </c>
      <c r="C999" s="134">
        <f t="shared" si="1929"/>
        <v>0.4053822131</v>
      </c>
      <c r="D999" s="134">
        <f t="shared" si="1929"/>
        <v>0.4809080862</v>
      </c>
      <c r="F999" s="134">
        <f t="shared" ref="F999:H999" si="1930">RAND()</f>
        <v>0.4168578989</v>
      </c>
      <c r="G999" s="134">
        <f t="shared" si="1930"/>
        <v>0.3515363329</v>
      </c>
      <c r="H999" s="134">
        <f t="shared" si="1930"/>
        <v>0.7470959193</v>
      </c>
      <c r="J999" s="135">
        <f t="shared" si="8"/>
        <v>83958708.15</v>
      </c>
      <c r="K999" s="136">
        <f>IF(J999&gt;0,MIN(99,$B$12*Q999/(J999*12*(1-Inputs!$H$16))),99)</f>
        <v>7.758506633</v>
      </c>
      <c r="L999" s="134">
        <f t="shared" si="9"/>
        <v>0.9105350746</v>
      </c>
      <c r="M999" s="134">
        <f t="shared" si="10"/>
        <v>0.9593379714</v>
      </c>
      <c r="N999" s="134">
        <f t="shared" si="11"/>
        <v>1.00608936</v>
      </c>
      <c r="O999" s="134">
        <f t="shared" si="12"/>
        <v>1.015619837</v>
      </c>
      <c r="P999" s="134">
        <f t="shared" si="13"/>
        <v>1.097017606</v>
      </c>
      <c r="Q999" s="134">
        <f t="shared" si="14"/>
        <v>1.197325866</v>
      </c>
    </row>
    <row r="1000" ht="15.0" customHeight="1">
      <c r="A1000" s="13">
        <v>961.0</v>
      </c>
      <c r="B1000" s="134">
        <f t="shared" ref="B1000:D1000" si="1931">RAND()</f>
        <v>0.7142206274</v>
      </c>
      <c r="C1000" s="134">
        <f t="shared" si="1931"/>
        <v>0.5716894092</v>
      </c>
      <c r="D1000" s="134">
        <f t="shared" si="1931"/>
        <v>0.3965193916</v>
      </c>
      <c r="F1000" s="134">
        <f t="shared" ref="F1000:H1000" si="1932">RAND()</f>
        <v>0.7041918985</v>
      </c>
      <c r="G1000" s="134">
        <f t="shared" si="1932"/>
        <v>0.4980010321</v>
      </c>
      <c r="H1000" s="134">
        <f t="shared" si="1932"/>
        <v>0.6796571486</v>
      </c>
      <c r="J1000" s="135">
        <f t="shared" si="8"/>
        <v>194722881</v>
      </c>
      <c r="K1000" s="136">
        <f>IF(J1000&gt;0,MIN(99,$B$12*Q1000/(J1000*12*(1-Inputs!$H$16))),99)</f>
        <v>3.25188421</v>
      </c>
      <c r="L1000" s="134">
        <f t="shared" si="9"/>
        <v>1.076771183</v>
      </c>
      <c r="M1000" s="134">
        <f t="shared" si="10"/>
        <v>1.033320441</v>
      </c>
      <c r="N1000" s="134">
        <f t="shared" si="11"/>
        <v>0.9994916152</v>
      </c>
      <c r="O1000" s="134">
        <f t="shared" si="12"/>
        <v>1.043307836</v>
      </c>
      <c r="P1000" s="134">
        <f t="shared" si="13"/>
        <v>1.189022371</v>
      </c>
      <c r="Q1000" s="134">
        <f t="shared" si="14"/>
        <v>1.163913059</v>
      </c>
    </row>
    <row r="1001" ht="15.0" customHeight="1">
      <c r="A1001" s="13">
        <v>962.0</v>
      </c>
      <c r="B1001" s="134">
        <f t="shared" ref="B1001:D1001" si="1933">RAND()</f>
        <v>0.7495815376</v>
      </c>
      <c r="C1001" s="134">
        <f t="shared" si="1933"/>
        <v>0.646065901</v>
      </c>
      <c r="D1001" s="134">
        <f t="shared" si="1933"/>
        <v>0.4721340198</v>
      </c>
      <c r="F1001" s="134">
        <f t="shared" ref="F1001:H1001" si="1934">RAND()</f>
        <v>0.387345421</v>
      </c>
      <c r="G1001" s="134">
        <f t="shared" si="1934"/>
        <v>0.166048149</v>
      </c>
      <c r="H1001" s="134">
        <f t="shared" si="1934"/>
        <v>0.4557680285</v>
      </c>
      <c r="J1001" s="135">
        <f t="shared" si="8"/>
        <v>215303611.4</v>
      </c>
      <c r="K1001" s="136">
        <f>IF(J1001&gt;0,MIN(99,$B$12*Q1001/(J1001*12*(1-Inputs!$H$16))),99)</f>
        <v>2.711230081</v>
      </c>
      <c r="L1001" s="134">
        <f t="shared" si="9"/>
        <v>1.089439933</v>
      </c>
      <c r="M1001" s="134">
        <f t="shared" si="10"/>
        <v>1.038923385</v>
      </c>
      <c r="N1001" s="134">
        <f t="shared" si="11"/>
        <v>1.005379915</v>
      </c>
      <c r="O1001" s="134">
        <f t="shared" si="12"/>
        <v>1.013215208</v>
      </c>
      <c r="P1001" s="134">
        <f t="shared" si="13"/>
        <v>0.9942712215</v>
      </c>
      <c r="Q1001" s="134">
        <f t="shared" si="14"/>
        <v>1.072966519</v>
      </c>
    </row>
    <row r="1002" ht="15.0" customHeight="1">
      <c r="A1002" s="13">
        <v>963.0</v>
      </c>
      <c r="B1002" s="134">
        <f t="shared" ref="B1002:D1002" si="1935">RAND()</f>
        <v>0.05486929942</v>
      </c>
      <c r="C1002" s="134">
        <f t="shared" si="1935"/>
        <v>0.4108171222</v>
      </c>
      <c r="D1002" s="134">
        <f t="shared" si="1935"/>
        <v>0.4519614512</v>
      </c>
      <c r="F1002" s="134">
        <f t="shared" ref="F1002:H1002" si="1936">RAND()</f>
        <v>0.3493445977</v>
      </c>
      <c r="G1002" s="134">
        <f t="shared" si="1936"/>
        <v>0.02891940016</v>
      </c>
      <c r="H1002" s="134">
        <f t="shared" si="1936"/>
        <v>0.7794946043</v>
      </c>
      <c r="J1002" s="135">
        <f t="shared" si="8"/>
        <v>56468742.98</v>
      </c>
      <c r="K1002" s="136">
        <f>IF(J1002&gt;0,MIN(99,$B$12*Q1002/(J1002*12*(1-Inputs!$H$16))),99)</f>
        <v>11.70546563</v>
      </c>
      <c r="L1002" s="134">
        <f t="shared" si="9"/>
        <v>0.8535671444</v>
      </c>
      <c r="M1002" s="134">
        <f t="shared" si="10"/>
        <v>0.9338511571</v>
      </c>
      <c r="N1002" s="134">
        <f t="shared" si="11"/>
        <v>1.003770855</v>
      </c>
      <c r="O1002" s="134">
        <f t="shared" si="12"/>
        <v>1.010202722</v>
      </c>
      <c r="P1002" s="134">
        <f t="shared" si="13"/>
        <v>0.8896331984</v>
      </c>
      <c r="Q1002" s="134">
        <f t="shared" si="14"/>
        <v>1.214969276</v>
      </c>
    </row>
    <row r="1003" ht="15.0" customHeight="1">
      <c r="A1003" s="13">
        <v>964.0</v>
      </c>
      <c r="B1003" s="134">
        <f t="shared" ref="B1003:D1003" si="1937">RAND()</f>
        <v>0.7428091288</v>
      </c>
      <c r="C1003" s="134">
        <f t="shared" si="1937"/>
        <v>0.5320622696</v>
      </c>
      <c r="D1003" s="134">
        <f t="shared" si="1937"/>
        <v>0.4766366236</v>
      </c>
      <c r="F1003" s="134">
        <f t="shared" ref="F1003:H1003" si="1938">RAND()</f>
        <v>0.3608941748</v>
      </c>
      <c r="G1003" s="134">
        <f t="shared" si="1938"/>
        <v>0.8993866418</v>
      </c>
      <c r="H1003" s="134">
        <f t="shared" si="1938"/>
        <v>0.911458962</v>
      </c>
      <c r="J1003" s="135">
        <f t="shared" si="8"/>
        <v>192268069</v>
      </c>
      <c r="K1003" s="136">
        <f>IF(J1003&gt;0,MIN(99,$B$12*Q1003/(J1003*12*(1-Inputs!$H$16))),99)</f>
        <v>3.695646792</v>
      </c>
      <c r="L1003" s="134">
        <f t="shared" si="9"/>
        <v>1.086947495</v>
      </c>
      <c r="M1003" s="134">
        <f t="shared" si="10"/>
        <v>1.037821067</v>
      </c>
      <c r="N1003" s="134">
        <f t="shared" si="11"/>
        <v>1.005743239</v>
      </c>
      <c r="O1003" s="134">
        <f t="shared" si="12"/>
        <v>1.011108775</v>
      </c>
      <c r="P1003" s="134">
        <f t="shared" si="13"/>
        <v>1.56113848</v>
      </c>
      <c r="Q1003" s="134">
        <f t="shared" si="14"/>
        <v>1.306068945</v>
      </c>
    </row>
    <row r="1004" ht="15.0" customHeight="1">
      <c r="A1004" s="13">
        <v>965.0</v>
      </c>
      <c r="B1004" s="134">
        <f t="shared" ref="B1004:D1004" si="1939">RAND()</f>
        <v>0.9584300612</v>
      </c>
      <c r="C1004" s="134">
        <f t="shared" si="1939"/>
        <v>0.410490943</v>
      </c>
      <c r="D1004" s="134">
        <f t="shared" si="1939"/>
        <v>0.01929241502</v>
      </c>
      <c r="F1004" s="134">
        <f t="shared" ref="F1004:H1004" si="1940">RAND()</f>
        <v>0.296538266</v>
      </c>
      <c r="G1004" s="134">
        <f t="shared" si="1940"/>
        <v>0.5533489603</v>
      </c>
      <c r="H1004" s="134">
        <f t="shared" si="1940"/>
        <v>0.2184886852</v>
      </c>
      <c r="J1004" s="135">
        <f t="shared" si="8"/>
        <v>308232039.8</v>
      </c>
      <c r="K1004" s="136">
        <f>IF(J1004&gt;0,MIN(99,$B$12*Q1004/(J1004*12*(1-Inputs!$H$16))),99)</f>
        <v>1.756892127</v>
      </c>
      <c r="L1004" s="134">
        <f t="shared" si="9"/>
        <v>1.19939665</v>
      </c>
      <c r="M1004" s="134">
        <f t="shared" si="10"/>
        <v>1.087553396</v>
      </c>
      <c r="N1004" s="134">
        <f t="shared" si="11"/>
        <v>0.9522908274</v>
      </c>
      <c r="O1004" s="134">
        <f t="shared" si="12"/>
        <v>1.006159028</v>
      </c>
      <c r="P1004" s="134">
        <f t="shared" si="13"/>
        <v>1.227248626</v>
      </c>
      <c r="Q1004" s="134">
        <f t="shared" si="14"/>
        <v>0.9953856105</v>
      </c>
    </row>
    <row r="1005" ht="15.0" customHeight="1">
      <c r="A1005" s="13">
        <v>966.0</v>
      </c>
      <c r="B1005" s="134">
        <f t="shared" ref="B1005:D1005" si="1941">RAND()</f>
        <v>0.02465382268</v>
      </c>
      <c r="C1005" s="134">
        <f t="shared" si="1941"/>
        <v>0.2894508251</v>
      </c>
      <c r="D1005" s="134">
        <f t="shared" si="1941"/>
        <v>0.8408305505</v>
      </c>
      <c r="F1005" s="134">
        <f t="shared" ref="F1005:H1005" si="1942">RAND()</f>
        <v>0.7554610649</v>
      </c>
      <c r="G1005" s="134">
        <f t="shared" si="1942"/>
        <v>0.1495200625</v>
      </c>
      <c r="H1005" s="134">
        <f t="shared" si="1942"/>
        <v>0.2531550304</v>
      </c>
      <c r="J1005" s="135">
        <f t="shared" si="8"/>
        <v>23122566.02</v>
      </c>
      <c r="K1005" s="136">
        <f>IF(J1005&gt;0,MIN(99,$B$12*Q1005/(J1005*12*(1-Inputs!$H$16))),99)</f>
        <v>23.66936925</v>
      </c>
      <c r="L1005" s="134">
        <f t="shared" si="9"/>
        <v>0.8276645521</v>
      </c>
      <c r="M1005" s="134">
        <f t="shared" si="10"/>
        <v>0.9222626272</v>
      </c>
      <c r="N1005" s="134">
        <f t="shared" si="11"/>
        <v>1.043707877</v>
      </c>
      <c r="O1005" s="134">
        <f t="shared" si="12"/>
        <v>1.049528663</v>
      </c>
      <c r="P1005" s="134">
        <f t="shared" si="13"/>
        <v>0.9850993395</v>
      </c>
      <c r="Q1005" s="134">
        <f t="shared" si="14"/>
        <v>1.00598428</v>
      </c>
    </row>
    <row r="1006" ht="15.0" customHeight="1">
      <c r="A1006" s="13">
        <v>967.0</v>
      </c>
      <c r="B1006" s="134">
        <f t="shared" ref="B1006:D1006" si="1943">RAND()</f>
        <v>0.963060587</v>
      </c>
      <c r="C1006" s="134">
        <f t="shared" si="1943"/>
        <v>0.5347528895</v>
      </c>
      <c r="D1006" s="134">
        <f t="shared" si="1943"/>
        <v>0.4621723269</v>
      </c>
      <c r="F1006" s="134">
        <f t="shared" ref="F1006:H1006" si="1944">RAND()</f>
        <v>0.3699244716</v>
      </c>
      <c r="G1006" s="134">
        <f t="shared" si="1944"/>
        <v>0.5196326658</v>
      </c>
      <c r="H1006" s="134">
        <f t="shared" si="1944"/>
        <v>0.2459168474</v>
      </c>
      <c r="J1006" s="135">
        <f t="shared" si="8"/>
        <v>298245346.3</v>
      </c>
      <c r="K1006" s="136">
        <f>IF(J1006&gt;0,MIN(99,$B$12*Q1006/(J1006*12*(1-Inputs!$H$16))),99)</f>
        <v>1.831019015</v>
      </c>
      <c r="L1006" s="134">
        <f t="shared" si="9"/>
        <v>1.203731709</v>
      </c>
      <c r="M1006" s="134">
        <f t="shared" si="10"/>
        <v>1.089470641</v>
      </c>
      <c r="N1006" s="134">
        <f t="shared" si="11"/>
        <v>1.004581551</v>
      </c>
      <c r="O1006" s="134">
        <f t="shared" si="12"/>
        <v>1.011822911</v>
      </c>
      <c r="P1006" s="134">
        <f t="shared" si="13"/>
        <v>1.203698357</v>
      </c>
      <c r="Q1006" s="134">
        <f t="shared" si="14"/>
        <v>1.003771849</v>
      </c>
    </row>
    <row r="1007" ht="15.0" customHeight="1">
      <c r="A1007" s="13">
        <v>968.0</v>
      </c>
      <c r="B1007" s="134">
        <f t="shared" ref="B1007:D1007" si="1945">RAND()</f>
        <v>0.2420335501</v>
      </c>
      <c r="C1007" s="134">
        <f t="shared" si="1945"/>
        <v>0.6402795879</v>
      </c>
      <c r="D1007" s="134">
        <f t="shared" si="1945"/>
        <v>0.2055792931</v>
      </c>
      <c r="F1007" s="134">
        <f t="shared" ref="F1007:H1007" si="1946">RAND()</f>
        <v>0.2027324859</v>
      </c>
      <c r="G1007" s="134">
        <f t="shared" si="1946"/>
        <v>0.6425708894</v>
      </c>
      <c r="H1007" s="134">
        <f t="shared" si="1946"/>
        <v>0.1656985948</v>
      </c>
      <c r="J1007" s="135">
        <f t="shared" si="8"/>
        <v>103688446</v>
      </c>
      <c r="K1007" s="136">
        <f>IF(J1007&gt;0,MIN(99,$B$12*Q1007/(J1007*12*(1-Inputs!$H$16))),99)</f>
        <v>5.1300893</v>
      </c>
      <c r="L1007" s="134">
        <f t="shared" si="9"/>
        <v>0.9400114371</v>
      </c>
      <c r="M1007" s="134">
        <f t="shared" si="10"/>
        <v>0.9725253661</v>
      </c>
      <c r="N1007" s="134">
        <f t="shared" si="11"/>
        <v>0.9825376971</v>
      </c>
      <c r="O1007" s="134">
        <f t="shared" si="12"/>
        <v>0.9993240468</v>
      </c>
      <c r="P1007" s="134">
        <f t="shared" si="13"/>
        <v>1.294255877</v>
      </c>
      <c r="Q1007" s="134">
        <f t="shared" si="14"/>
        <v>0.9777408756</v>
      </c>
    </row>
    <row r="1008" ht="15.0" customHeight="1">
      <c r="A1008" s="13">
        <v>969.0</v>
      </c>
      <c r="B1008" s="134">
        <f t="shared" ref="B1008:D1008" si="1947">RAND()</f>
        <v>0.1782732142</v>
      </c>
      <c r="C1008" s="134">
        <f t="shared" si="1947"/>
        <v>0.6572841145</v>
      </c>
      <c r="D1008" s="134">
        <f t="shared" si="1947"/>
        <v>0.4338012793</v>
      </c>
      <c r="F1008" s="134">
        <f t="shared" ref="F1008:H1008" si="1948">RAND()</f>
        <v>0.4957802081</v>
      </c>
      <c r="G1008" s="134">
        <f t="shared" si="1948"/>
        <v>0.8499273008</v>
      </c>
      <c r="H1008" s="134">
        <f t="shared" si="1948"/>
        <v>0.6899327857</v>
      </c>
      <c r="J1008" s="135">
        <f t="shared" si="8"/>
        <v>72584268.7</v>
      </c>
      <c r="K1008" s="136">
        <f>IF(J1008&gt;0,MIN(99,$B$12*Q1008/(J1008*12*(1-Inputs!$H$16))),99)</f>
        <v>8.760203576</v>
      </c>
      <c r="L1008" s="134">
        <f t="shared" si="9"/>
        <v>0.9166182777</v>
      </c>
      <c r="M1008" s="134">
        <f t="shared" si="10"/>
        <v>0.9620595284</v>
      </c>
      <c r="N1008" s="134">
        <f t="shared" si="11"/>
        <v>1.002347463</v>
      </c>
      <c r="O1008" s="134">
        <f t="shared" si="12"/>
        <v>1.022367247</v>
      </c>
      <c r="P1008" s="134">
        <f t="shared" si="13"/>
        <v>1.49438771</v>
      </c>
      <c r="Q1008" s="134">
        <f t="shared" si="14"/>
        <v>1.168759585</v>
      </c>
    </row>
    <row r="1009" ht="15.0" customHeight="1">
      <c r="A1009" s="13">
        <v>970.0</v>
      </c>
      <c r="B1009" s="134">
        <f t="shared" ref="B1009:D1009" si="1949">RAND()</f>
        <v>0.6594655152</v>
      </c>
      <c r="C1009" s="134">
        <f t="shared" si="1949"/>
        <v>0.06928777479</v>
      </c>
      <c r="D1009" s="134">
        <f t="shared" si="1949"/>
        <v>0.5279769905</v>
      </c>
      <c r="F1009" s="134">
        <f t="shared" ref="F1009:H1009" si="1950">RAND()</f>
        <v>0.8075129994</v>
      </c>
      <c r="G1009" s="134">
        <f t="shared" si="1950"/>
        <v>0.2448298462</v>
      </c>
      <c r="H1009" s="134">
        <f t="shared" si="1950"/>
        <v>0.08254154544</v>
      </c>
      <c r="J1009" s="135">
        <f t="shared" si="8"/>
        <v>182306683.2</v>
      </c>
      <c r="K1009" s="136">
        <f>IF(J1009&gt;0,MIN(99,$B$12*Q1009/(J1009*12*(1-Inputs!$H$16))),99)</f>
        <v>2.813318813</v>
      </c>
      <c r="L1009" s="134">
        <f t="shared" si="9"/>
        <v>1.058612635</v>
      </c>
      <c r="M1009" s="134">
        <f t="shared" si="10"/>
        <v>1.02528955</v>
      </c>
      <c r="N1009" s="134">
        <f t="shared" si="11"/>
        <v>1.010002032</v>
      </c>
      <c r="O1009" s="134">
        <f t="shared" si="12"/>
        <v>1.056556074</v>
      </c>
      <c r="P1009" s="134">
        <f t="shared" si="13"/>
        <v>1.036412853</v>
      </c>
      <c r="Q1009" s="134">
        <f t="shared" si="14"/>
        <v>0.9427358474</v>
      </c>
    </row>
    <row r="1010" ht="15.0" customHeight="1">
      <c r="A1010" s="13">
        <v>971.0</v>
      </c>
      <c r="B1010" s="134">
        <f t="shared" ref="B1010:D1010" si="1951">RAND()</f>
        <v>0.080026864</v>
      </c>
      <c r="C1010" s="134">
        <f t="shared" si="1951"/>
        <v>0.4929191152</v>
      </c>
      <c r="D1010" s="134">
        <f t="shared" si="1951"/>
        <v>0.9158379142</v>
      </c>
      <c r="F1010" s="134">
        <f t="shared" ref="F1010:H1010" si="1952">RAND()</f>
        <v>0.8386106386</v>
      </c>
      <c r="G1010" s="134">
        <f t="shared" si="1952"/>
        <v>0.697695129</v>
      </c>
      <c r="H1010" s="134">
        <f t="shared" si="1952"/>
        <v>0.9106998842</v>
      </c>
      <c r="J1010" s="135">
        <f t="shared" si="8"/>
        <v>31400862.11</v>
      </c>
      <c r="K1010" s="136">
        <f>IF(J1010&gt;0,MIN(99,$B$12*Q1010/(J1010*12*(1-Inputs!$H$16))),99)</f>
        <v>22.61683647</v>
      </c>
      <c r="L1010" s="134">
        <f t="shared" si="9"/>
        <v>0.8698842569</v>
      </c>
      <c r="M1010" s="134">
        <f t="shared" si="10"/>
        <v>0.9411512506</v>
      </c>
      <c r="N1010" s="134">
        <f t="shared" si="11"/>
        <v>1.056443963</v>
      </c>
      <c r="O1010" s="134">
        <f t="shared" si="12"/>
        <v>1.061217942</v>
      </c>
      <c r="P1010" s="134">
        <f t="shared" si="13"/>
        <v>1.339929614</v>
      </c>
      <c r="Q1010" s="134">
        <f t="shared" si="14"/>
        <v>1.305394898</v>
      </c>
    </row>
    <row r="1011" ht="15.0" customHeight="1">
      <c r="A1011" s="13">
        <v>972.0</v>
      </c>
      <c r="B1011" s="134">
        <f t="shared" ref="B1011:D1011" si="1953">RAND()</f>
        <v>0.303465176</v>
      </c>
      <c r="C1011" s="134">
        <f t="shared" si="1953"/>
        <v>0.4091482067</v>
      </c>
      <c r="D1011" s="134">
        <f t="shared" si="1953"/>
        <v>0.7733926875</v>
      </c>
      <c r="F1011" s="134">
        <f t="shared" ref="F1011:H1011" si="1954">RAND()</f>
        <v>0.7114066804</v>
      </c>
      <c r="G1011" s="134">
        <f t="shared" si="1954"/>
        <v>0.402411554</v>
      </c>
      <c r="H1011" s="134">
        <f t="shared" si="1954"/>
        <v>0.8858397652</v>
      </c>
      <c r="J1011" s="135">
        <f t="shared" si="8"/>
        <v>105310039.2</v>
      </c>
      <c r="K1011" s="136">
        <f>IF(J1011&gt;0,MIN(99,$B$12*Q1011/(J1011*12*(1-Inputs!$H$16))),99)</f>
        <v>6.636962472</v>
      </c>
      <c r="L1011" s="134">
        <f t="shared" si="9"/>
        <v>0.9597696736</v>
      </c>
      <c r="M1011" s="134">
        <f t="shared" si="10"/>
        <v>0.98136498</v>
      </c>
      <c r="N1011" s="134">
        <f t="shared" si="11"/>
        <v>1.034690237</v>
      </c>
      <c r="O1011" s="134">
        <f t="shared" si="12"/>
        <v>1.044148677</v>
      </c>
      <c r="P1011" s="134">
        <f t="shared" si="13"/>
        <v>1.127669486</v>
      </c>
      <c r="Q1011" s="134">
        <f t="shared" si="14"/>
        <v>1.284717433</v>
      </c>
    </row>
    <row r="1012" ht="15.0" customHeight="1">
      <c r="A1012" s="13">
        <v>973.0</v>
      </c>
      <c r="B1012" s="134">
        <f t="shared" ref="B1012:D1012" si="1955">RAND()</f>
        <v>0.9177567688</v>
      </c>
      <c r="C1012" s="134">
        <f t="shared" si="1955"/>
        <v>0.7273455333</v>
      </c>
      <c r="D1012" s="134">
        <f t="shared" si="1955"/>
        <v>0.8499171485</v>
      </c>
      <c r="F1012" s="134">
        <f t="shared" ref="F1012:H1012" si="1956">RAND()</f>
        <v>0.220713169</v>
      </c>
      <c r="G1012" s="134">
        <f t="shared" si="1956"/>
        <v>0.2142473175</v>
      </c>
      <c r="H1012" s="134">
        <f t="shared" si="1956"/>
        <v>0.5111773122</v>
      </c>
      <c r="J1012" s="135">
        <f t="shared" si="8"/>
        <v>268342950.7</v>
      </c>
      <c r="K1012" s="136">
        <f>IF(J1012&gt;0,MIN(99,$B$12*Q1012/(J1012*12*(1-Inputs!$H$16))),99)</f>
        <v>2.216745305</v>
      </c>
      <c r="L1012" s="134">
        <f t="shared" si="9"/>
        <v>1.168658831</v>
      </c>
      <c r="M1012" s="134">
        <f t="shared" si="10"/>
        <v>1.073959133</v>
      </c>
      <c r="N1012" s="134">
        <f t="shared" si="11"/>
        <v>1.045059858</v>
      </c>
      <c r="O1012" s="134">
        <f t="shared" si="12"/>
        <v>1.00060946</v>
      </c>
      <c r="P1012" s="134">
        <f t="shared" si="13"/>
        <v>1.019846279</v>
      </c>
      <c r="Q1012" s="134">
        <f t="shared" si="14"/>
        <v>1.093388419</v>
      </c>
    </row>
    <row r="1013" ht="15.0" customHeight="1">
      <c r="A1013" s="13">
        <v>974.0</v>
      </c>
      <c r="B1013" s="134">
        <f t="shared" ref="B1013:D1013" si="1957">RAND()</f>
        <v>0.01550405989</v>
      </c>
      <c r="C1013" s="134">
        <f t="shared" si="1957"/>
        <v>0.6837072167</v>
      </c>
      <c r="D1013" s="134">
        <f t="shared" si="1957"/>
        <v>0.9786835303</v>
      </c>
      <c r="F1013" s="134">
        <f t="shared" ref="F1013:H1013" si="1958">RAND()</f>
        <v>0.1741031657</v>
      </c>
      <c r="G1013" s="134">
        <f t="shared" si="1958"/>
        <v>0.797746581</v>
      </c>
      <c r="H1013" s="134">
        <f t="shared" si="1958"/>
        <v>0.8449415061</v>
      </c>
      <c r="J1013" s="135">
        <f t="shared" si="8"/>
        <v>3110076.132</v>
      </c>
      <c r="K1013" s="136">
        <f>IF(J1013&gt;0,MIN(99,$B$12*Q1013/(J1013*12*(1-Inputs!$H$16))),99)</f>
        <v>99</v>
      </c>
      <c r="L1013" s="134">
        <f t="shared" si="9"/>
        <v>0.8167637012</v>
      </c>
      <c r="M1013" s="134">
        <f t="shared" si="10"/>
        <v>0.9173857085</v>
      </c>
      <c r="N1013" s="134">
        <f t="shared" si="11"/>
        <v>1.073304607</v>
      </c>
      <c r="O1013" s="134">
        <f t="shared" si="12"/>
        <v>0.9971663718</v>
      </c>
      <c r="P1013" s="134">
        <f t="shared" si="13"/>
        <v>1.435113377</v>
      </c>
      <c r="Q1013" s="134">
        <f t="shared" si="14"/>
        <v>1.255114488</v>
      </c>
    </row>
    <row r="1014" ht="15.0" customHeight="1">
      <c r="A1014" s="13">
        <v>975.0</v>
      </c>
      <c r="B1014" s="134">
        <f t="shared" ref="B1014:D1014" si="1959">RAND()</f>
        <v>0.2748352232</v>
      </c>
      <c r="C1014" s="134">
        <f t="shared" si="1959"/>
        <v>0.5542829675</v>
      </c>
      <c r="D1014" s="134">
        <f t="shared" si="1959"/>
        <v>0.7789008702</v>
      </c>
      <c r="F1014" s="134">
        <f t="shared" ref="F1014:H1014" si="1960">RAND()</f>
        <v>0.8027150164</v>
      </c>
      <c r="G1014" s="134">
        <f t="shared" si="1960"/>
        <v>0.02726974704</v>
      </c>
      <c r="H1014" s="134">
        <f t="shared" si="1960"/>
        <v>0.2114469127</v>
      </c>
      <c r="J1014" s="135">
        <f t="shared" si="8"/>
        <v>106220461.7</v>
      </c>
      <c r="K1014" s="136">
        <f>IF(J1014&gt;0,MIN(99,$B$12*Q1014/(J1014*12*(1-Inputs!$H$16))),99)</f>
        <v>5.086805508</v>
      </c>
      <c r="L1014" s="134">
        <f t="shared" si="9"/>
        <v>0.9508378873</v>
      </c>
      <c r="M1014" s="134">
        <f t="shared" si="10"/>
        <v>0.9773689987</v>
      </c>
      <c r="N1014" s="134">
        <f t="shared" si="11"/>
        <v>1.035371318</v>
      </c>
      <c r="O1014" s="134">
        <f t="shared" si="12"/>
        <v>1.055871376</v>
      </c>
      <c r="P1014" s="134">
        <f t="shared" si="13"/>
        <v>0.8874642628</v>
      </c>
      <c r="Q1014" s="134">
        <f t="shared" si="14"/>
        <v>0.9931658978</v>
      </c>
    </row>
    <row r="1015" ht="15.0" customHeight="1">
      <c r="A1015" s="13">
        <v>976.0</v>
      </c>
      <c r="B1015" s="134">
        <f t="shared" ref="B1015:D1015" si="1961">RAND()</f>
        <v>0.9915736694</v>
      </c>
      <c r="C1015" s="134">
        <f t="shared" si="1961"/>
        <v>0.4766766073</v>
      </c>
      <c r="D1015" s="134">
        <f t="shared" si="1961"/>
        <v>0.8475406178</v>
      </c>
      <c r="F1015" s="134">
        <f t="shared" ref="F1015:H1015" si="1962">RAND()</f>
        <v>0.7433427897</v>
      </c>
      <c r="G1015" s="134">
        <f t="shared" si="1962"/>
        <v>0.0331949818</v>
      </c>
      <c r="H1015" s="134">
        <f t="shared" si="1962"/>
        <v>0.9843691733</v>
      </c>
      <c r="J1015" s="135">
        <f t="shared" si="8"/>
        <v>324211564.9</v>
      </c>
      <c r="K1015" s="136">
        <f>IF(J1015&gt;0,MIN(99,$B$12*Q1015/(J1015*12*(1-Inputs!$H$16))),99)</f>
        <v>2.344965053</v>
      </c>
      <c r="L1015" s="134">
        <f t="shared" si="9"/>
        <v>1.240961486</v>
      </c>
      <c r="M1015" s="134">
        <f t="shared" si="10"/>
        <v>1.105936069</v>
      </c>
      <c r="N1015" s="134">
        <f t="shared" si="11"/>
        <v>1.044702394</v>
      </c>
      <c r="O1015" s="134">
        <f t="shared" si="12"/>
        <v>1.048003534</v>
      </c>
      <c r="P1015" s="134">
        <f t="shared" si="13"/>
        <v>0.8949824155</v>
      </c>
      <c r="Q1015" s="134">
        <f t="shared" si="14"/>
        <v>1.397440606</v>
      </c>
    </row>
    <row r="1016" ht="15.0" customHeight="1">
      <c r="A1016" s="13">
        <v>977.0</v>
      </c>
      <c r="B1016" s="134">
        <f t="shared" ref="B1016:D1016" si="1963">RAND()</f>
        <v>0.7778166809</v>
      </c>
      <c r="C1016" s="134">
        <f t="shared" si="1963"/>
        <v>0.8860789461</v>
      </c>
      <c r="D1016" s="134">
        <f t="shared" si="1963"/>
        <v>0.9650479324</v>
      </c>
      <c r="F1016" s="134">
        <f t="shared" ref="F1016:H1016" si="1964">RAND()</f>
        <v>0.4366830081</v>
      </c>
      <c r="G1016" s="134">
        <f t="shared" si="1964"/>
        <v>0.3430061783</v>
      </c>
      <c r="H1016" s="134">
        <f t="shared" si="1964"/>
        <v>0.6664955943</v>
      </c>
      <c r="J1016" s="135">
        <f t="shared" si="8"/>
        <v>204194954.9</v>
      </c>
      <c r="K1016" s="136">
        <f>IF(J1016&gt;0,MIN(99,$B$12*Q1016/(J1016*12*(1-Inputs!$H$16))),99)</f>
        <v>3.084797354</v>
      </c>
      <c r="L1016" s="134">
        <f t="shared" si="9"/>
        <v>1.100213827</v>
      </c>
      <c r="M1016" s="134">
        <f t="shared" si="10"/>
        <v>1.043688302</v>
      </c>
      <c r="N1016" s="134">
        <f t="shared" si="11"/>
        <v>1.068513004</v>
      </c>
      <c r="O1016" s="134">
        <f t="shared" si="12"/>
        <v>1.017269481</v>
      </c>
      <c r="P1016" s="134">
        <f t="shared" si="13"/>
        <v>1.091997577</v>
      </c>
      <c r="Q1016" s="134">
        <f t="shared" si="14"/>
        <v>1.157817551</v>
      </c>
    </row>
    <row r="1017" ht="15.0" customHeight="1">
      <c r="A1017" s="13">
        <v>978.0</v>
      </c>
      <c r="B1017" s="134">
        <f t="shared" ref="B1017:D1017" si="1965">RAND()</f>
        <v>0.9265979085</v>
      </c>
      <c r="C1017" s="134">
        <f t="shared" si="1965"/>
        <v>0.05066382202</v>
      </c>
      <c r="D1017" s="134">
        <f t="shared" si="1965"/>
        <v>0.4292239149</v>
      </c>
      <c r="F1017" s="134">
        <f t="shared" ref="F1017:H1017" si="1966">RAND()</f>
        <v>0.9234134475</v>
      </c>
      <c r="G1017" s="134">
        <f t="shared" si="1966"/>
        <v>0.4549587368</v>
      </c>
      <c r="H1017" s="134">
        <f t="shared" si="1966"/>
        <v>0.8550208079</v>
      </c>
      <c r="J1017" s="135">
        <f t="shared" si="8"/>
        <v>265845310.4</v>
      </c>
      <c r="K1017" s="136">
        <f>IF(J1017&gt;0,MIN(99,$B$12*Q1017/(J1017*12*(1-Inputs!$H$16))),99)</f>
        <v>2.582640635</v>
      </c>
      <c r="L1017" s="134">
        <f t="shared" si="9"/>
        <v>1.174537133</v>
      </c>
      <c r="M1017" s="134">
        <f t="shared" si="10"/>
        <v>1.076558901</v>
      </c>
      <c r="N1017" s="134">
        <f t="shared" si="11"/>
        <v>1.001992307</v>
      </c>
      <c r="O1017" s="134">
        <f t="shared" si="12"/>
        <v>1.076966065</v>
      </c>
      <c r="P1017" s="134">
        <f t="shared" si="13"/>
        <v>1.160732309</v>
      </c>
      <c r="Q1017" s="134">
        <f t="shared" si="14"/>
        <v>1.262006131</v>
      </c>
    </row>
    <row r="1018" ht="15.0" customHeight="1">
      <c r="A1018" s="13">
        <v>979.0</v>
      </c>
      <c r="B1018" s="134">
        <f t="shared" ref="B1018:D1018" si="1967">RAND()</f>
        <v>0.5707360958</v>
      </c>
      <c r="C1018" s="134">
        <f t="shared" si="1967"/>
        <v>0.05938891332</v>
      </c>
      <c r="D1018" s="134">
        <f t="shared" si="1967"/>
        <v>0.5834578424</v>
      </c>
      <c r="F1018" s="134">
        <f t="shared" ref="F1018:H1018" si="1968">RAND()</f>
        <v>0.450636865</v>
      </c>
      <c r="G1018" s="134">
        <f t="shared" si="1968"/>
        <v>0.7876956282</v>
      </c>
      <c r="H1018" s="134">
        <f t="shared" si="1968"/>
        <v>0.7086053921</v>
      </c>
      <c r="J1018" s="135">
        <f t="shared" si="8"/>
        <v>153461161.5</v>
      </c>
      <c r="K1018" s="136">
        <f>IF(J1018&gt;0,MIN(99,$B$12*Q1018/(J1018*12*(1-Inputs!$H$16))),99)</f>
        <v>4.175380237</v>
      </c>
      <c r="L1018" s="134">
        <f t="shared" si="9"/>
        <v>1.032051884</v>
      </c>
      <c r="M1018" s="134">
        <f t="shared" si="10"/>
        <v>1.013542659</v>
      </c>
      <c r="N1018" s="134">
        <f t="shared" si="11"/>
        <v>1.01487383</v>
      </c>
      <c r="O1018" s="134">
        <f t="shared" si="12"/>
        <v>1.018448051</v>
      </c>
      <c r="P1018" s="134">
        <f t="shared" si="13"/>
        <v>1.424616141</v>
      </c>
      <c r="Q1018" s="134">
        <f t="shared" si="14"/>
        <v>1.177776795</v>
      </c>
    </row>
    <row r="1019" ht="15.0" customHeight="1">
      <c r="A1019" s="13">
        <v>980.0</v>
      </c>
      <c r="B1019" s="134">
        <f t="shared" ref="B1019:D1019" si="1969">RAND()</f>
        <v>0.6189703766</v>
      </c>
      <c r="C1019" s="134">
        <f t="shared" si="1969"/>
        <v>0.4589780263</v>
      </c>
      <c r="D1019" s="134">
        <f t="shared" si="1969"/>
        <v>0.9956362439</v>
      </c>
      <c r="F1019" s="134">
        <f t="shared" ref="F1019:H1019" si="1970">RAND()</f>
        <v>0.1274941927</v>
      </c>
      <c r="G1019" s="134">
        <f t="shared" si="1970"/>
        <v>0.6833231724</v>
      </c>
      <c r="H1019" s="134">
        <f t="shared" si="1970"/>
        <v>0.4781898292</v>
      </c>
      <c r="J1019" s="135">
        <f t="shared" si="8"/>
        <v>156307674</v>
      </c>
      <c r="K1019" s="136">
        <f>IF(J1019&gt;0,MIN(99,$B$12*Q1019/(J1019*12*(1-Inputs!$H$16))),99)</f>
        <v>3.76284828</v>
      </c>
      <c r="L1019" s="134">
        <f t="shared" si="9"/>
        <v>1.046107944</v>
      </c>
      <c r="M1019" s="134">
        <f t="shared" si="10"/>
        <v>1.019759163</v>
      </c>
      <c r="N1019" s="134">
        <f t="shared" si="11"/>
        <v>1.082658095</v>
      </c>
      <c r="O1019" s="134">
        <f t="shared" si="12"/>
        <v>0.9932308617</v>
      </c>
      <c r="P1019" s="134">
        <f t="shared" si="13"/>
        <v>1.32764576</v>
      </c>
      <c r="Q1019" s="134">
        <f t="shared" si="14"/>
        <v>1.081099059</v>
      </c>
    </row>
    <row r="1020" ht="15.0" customHeight="1">
      <c r="A1020" s="13">
        <v>981.0</v>
      </c>
      <c r="B1020" s="134">
        <f t="shared" ref="B1020:D1020" si="1971">RAND()</f>
        <v>0.3659229257</v>
      </c>
      <c r="C1020" s="134">
        <f t="shared" si="1971"/>
        <v>0.6321471216</v>
      </c>
      <c r="D1020" s="134">
        <f t="shared" si="1971"/>
        <v>0.8336534282</v>
      </c>
      <c r="F1020" s="134">
        <f t="shared" ref="F1020:H1020" si="1972">RAND()</f>
        <v>0.2284034506</v>
      </c>
      <c r="G1020" s="134">
        <f t="shared" si="1972"/>
        <v>0.9601881213</v>
      </c>
      <c r="H1020" s="134">
        <f t="shared" si="1972"/>
        <v>0.4936756064</v>
      </c>
      <c r="J1020" s="135">
        <f t="shared" si="8"/>
        <v>102658802.4</v>
      </c>
      <c r="K1020" s="136">
        <f>IF(J1020&gt;0,MIN(99,$B$12*Q1020/(J1020*12*(1-Inputs!$H$16))),99)</f>
        <v>5.759599327</v>
      </c>
      <c r="L1020" s="134">
        <f t="shared" si="9"/>
        <v>0.9778948721</v>
      </c>
      <c r="M1020" s="134">
        <f t="shared" si="10"/>
        <v>0.9894739909</v>
      </c>
      <c r="N1020" s="134">
        <f t="shared" si="11"/>
        <v>1.042667072</v>
      </c>
      <c r="O1020" s="134">
        <f t="shared" si="12"/>
        <v>1.001159623</v>
      </c>
      <c r="P1020" s="134">
        <f t="shared" si="13"/>
        <v>1.67303017</v>
      </c>
      <c r="Q1020" s="134">
        <f t="shared" si="14"/>
        <v>1.086818312</v>
      </c>
    </row>
    <row r="1021" ht="15.0" customHeight="1">
      <c r="A1021" s="13">
        <v>982.0</v>
      </c>
      <c r="B1021" s="134">
        <f t="shared" ref="B1021:D1021" si="1973">RAND()</f>
        <v>0.08315401379</v>
      </c>
      <c r="C1021" s="134">
        <f t="shared" si="1973"/>
        <v>0.04160950463</v>
      </c>
      <c r="D1021" s="134">
        <f t="shared" si="1973"/>
        <v>0.8525712256</v>
      </c>
      <c r="F1021" s="134">
        <f t="shared" ref="F1021:H1021" si="1974">RAND()</f>
        <v>0.3075933181</v>
      </c>
      <c r="G1021" s="134">
        <f t="shared" si="1974"/>
        <v>0.526865109</v>
      </c>
      <c r="H1021" s="134">
        <f t="shared" si="1974"/>
        <v>0.3624063263</v>
      </c>
      <c r="J1021" s="135">
        <f t="shared" si="8"/>
        <v>48618965.72</v>
      </c>
      <c r="K1021" s="136">
        <f>IF(J1021&gt;0,MIN(99,$B$12*Q1021/(J1021*12*(1-Inputs!$H$16))),99)</f>
        <v>11.64623277</v>
      </c>
      <c r="L1021" s="134">
        <f t="shared" si="9"/>
        <v>0.8717203523</v>
      </c>
      <c r="M1021" s="134">
        <f t="shared" si="10"/>
        <v>0.9419726991</v>
      </c>
      <c r="N1021" s="134">
        <f t="shared" si="11"/>
        <v>1.045462431</v>
      </c>
      <c r="O1021" s="134">
        <f t="shared" si="12"/>
        <v>1.00699267</v>
      </c>
      <c r="P1021" s="134">
        <f t="shared" si="13"/>
        <v>1.208678658</v>
      </c>
      <c r="Q1021" s="134">
        <f t="shared" si="14"/>
        <v>1.040781738</v>
      </c>
    </row>
    <row r="1022" ht="15.0" customHeight="1">
      <c r="A1022" s="13">
        <v>983.0</v>
      </c>
      <c r="B1022" s="134">
        <f t="shared" ref="B1022:D1022" si="1975">RAND()</f>
        <v>0.3251189325</v>
      </c>
      <c r="C1022" s="134">
        <f t="shared" si="1975"/>
        <v>0.8467381622</v>
      </c>
      <c r="D1022" s="134">
        <f t="shared" si="1975"/>
        <v>0.4678723092</v>
      </c>
      <c r="F1022" s="134">
        <f t="shared" ref="F1022:H1022" si="1976">RAND()</f>
        <v>0.4220810592</v>
      </c>
      <c r="G1022" s="134">
        <f t="shared" si="1976"/>
        <v>0.09924612448</v>
      </c>
      <c r="H1022" s="134">
        <f t="shared" si="1976"/>
        <v>0.5612620006</v>
      </c>
      <c r="J1022" s="135">
        <f t="shared" si="8"/>
        <v>127172822.6</v>
      </c>
      <c r="K1022" s="136">
        <f>IF(J1022&gt;0,MIN(99,$B$12*Q1022/(J1022*12*(1-Inputs!$H$16))),99)</f>
        <v>4.760816203</v>
      </c>
      <c r="L1022" s="134">
        <f t="shared" si="9"/>
        <v>0.9662482154</v>
      </c>
      <c r="M1022" s="134">
        <f t="shared" si="10"/>
        <v>0.984263407</v>
      </c>
      <c r="N1022" s="134">
        <f t="shared" si="11"/>
        <v>1.005037453</v>
      </c>
      <c r="O1022" s="134">
        <f t="shared" si="12"/>
        <v>1.016051698</v>
      </c>
      <c r="P1022" s="134">
        <f t="shared" si="13"/>
        <v>0.9535251239</v>
      </c>
      <c r="Q1022" s="134">
        <f t="shared" si="14"/>
        <v>1.112869416</v>
      </c>
    </row>
    <row r="1023" ht="15.0" customHeight="1">
      <c r="A1023" s="13">
        <v>984.0</v>
      </c>
      <c r="B1023" s="134">
        <f t="shared" ref="B1023:D1023" si="1977">RAND()</f>
        <v>0.0159839283</v>
      </c>
      <c r="C1023" s="134">
        <f t="shared" si="1977"/>
        <v>0.9390634382</v>
      </c>
      <c r="D1023" s="134">
        <f t="shared" si="1977"/>
        <v>0.2734571655</v>
      </c>
      <c r="F1023" s="134">
        <f t="shared" ref="F1023:H1023" si="1978">RAND()</f>
        <v>0.08414624137</v>
      </c>
      <c r="G1023" s="134">
        <f t="shared" si="1978"/>
        <v>0.1280379388</v>
      </c>
      <c r="H1023" s="134">
        <f t="shared" si="1978"/>
        <v>0.1699571007</v>
      </c>
      <c r="J1023" s="135">
        <f t="shared" si="8"/>
        <v>37146356.47</v>
      </c>
      <c r="K1023" s="136">
        <f>IF(J1023&gt;0,MIN(99,$B$12*Q1023/(J1023*12*(1-Inputs!$H$16))),99)</f>
        <v>14.34212009</v>
      </c>
      <c r="L1023" s="134">
        <f t="shared" si="9"/>
        <v>0.8174050933</v>
      </c>
      <c r="M1023" s="134">
        <f t="shared" si="10"/>
        <v>0.9176726602</v>
      </c>
      <c r="N1023" s="134">
        <f t="shared" si="11"/>
        <v>0.9892237724</v>
      </c>
      <c r="O1023" s="134">
        <f t="shared" si="12"/>
        <v>0.9888514045</v>
      </c>
      <c r="P1023" s="134">
        <f t="shared" si="13"/>
        <v>0.9723830709</v>
      </c>
      <c r="Q1023" s="134">
        <f t="shared" si="14"/>
        <v>0.9792600964</v>
      </c>
    </row>
    <row r="1024" ht="15.0" customHeight="1">
      <c r="A1024" s="13">
        <v>985.0</v>
      </c>
      <c r="B1024" s="134">
        <f t="shared" ref="B1024:D1024" si="1979">RAND()</f>
        <v>0.9026218855</v>
      </c>
      <c r="C1024" s="134">
        <f t="shared" si="1979"/>
        <v>0.01811975385</v>
      </c>
      <c r="D1024" s="134">
        <f t="shared" si="1979"/>
        <v>0.1150116477</v>
      </c>
      <c r="F1024" s="134">
        <f t="shared" ref="F1024:H1024" si="1980">RAND()</f>
        <v>0.1019160663</v>
      </c>
      <c r="G1024" s="134">
        <f t="shared" si="1980"/>
        <v>0.7143556313</v>
      </c>
      <c r="H1024" s="134">
        <f t="shared" si="1980"/>
        <v>0.631842417</v>
      </c>
      <c r="J1024" s="135">
        <f t="shared" si="8"/>
        <v>268257124</v>
      </c>
      <c r="K1024" s="136">
        <f>IF(J1024&gt;0,MIN(99,$B$12*Q1024/(J1024*12*(1-Inputs!$H$16))),99)</f>
        <v>2.316692946</v>
      </c>
      <c r="L1024" s="134">
        <f t="shared" si="9"/>
        <v>1.159287033</v>
      </c>
      <c r="M1024" s="134">
        <f t="shared" si="10"/>
        <v>1.069814315</v>
      </c>
      <c r="N1024" s="134">
        <f t="shared" si="11"/>
        <v>0.9715477718</v>
      </c>
      <c r="O1024" s="134">
        <f t="shared" si="12"/>
        <v>0.9907581283</v>
      </c>
      <c r="P1024" s="134">
        <f t="shared" si="13"/>
        <v>1.354540957</v>
      </c>
      <c r="Q1024" s="134">
        <f t="shared" si="14"/>
        <v>1.142321161</v>
      </c>
    </row>
    <row r="1025" ht="15.0" customHeight="1">
      <c r="A1025" s="13">
        <v>986.0</v>
      </c>
      <c r="B1025" s="134">
        <f t="shared" ref="B1025:D1025" si="1981">RAND()</f>
        <v>0.1550967425</v>
      </c>
      <c r="C1025" s="134">
        <f t="shared" si="1981"/>
        <v>0.6958728094</v>
      </c>
      <c r="D1025" s="134">
        <f t="shared" si="1981"/>
        <v>0.9430502706</v>
      </c>
      <c r="F1025" s="134">
        <f t="shared" ref="F1025:H1025" si="1982">RAND()</f>
        <v>0.1730811302</v>
      </c>
      <c r="G1025" s="134">
        <f t="shared" si="1982"/>
        <v>0.9555228979</v>
      </c>
      <c r="H1025" s="134">
        <f t="shared" si="1982"/>
        <v>0.1857810624</v>
      </c>
      <c r="J1025" s="135">
        <f t="shared" si="8"/>
        <v>52429496.13</v>
      </c>
      <c r="K1025" s="136">
        <f>IF(J1025&gt;0,MIN(99,$B$12*Q1025/(J1025*12*(1-Inputs!$H$16))),99)</f>
        <v>10.21832157</v>
      </c>
      <c r="L1025" s="134">
        <f t="shared" si="9"/>
        <v>0.9070923296</v>
      </c>
      <c r="M1025" s="134">
        <f t="shared" si="10"/>
        <v>0.9577977258</v>
      </c>
      <c r="N1025" s="134">
        <f t="shared" si="11"/>
        <v>1.062465549</v>
      </c>
      <c r="O1025" s="134">
        <f t="shared" si="12"/>
        <v>0.9970861812</v>
      </c>
      <c r="P1025" s="134">
        <f t="shared" si="13"/>
        <v>1.66222126</v>
      </c>
      <c r="Q1025" s="134">
        <f t="shared" si="14"/>
        <v>0.9847448788</v>
      </c>
    </row>
    <row r="1026" ht="15.0" customHeight="1">
      <c r="A1026" s="13">
        <v>987.0</v>
      </c>
      <c r="B1026" s="134">
        <f t="shared" ref="B1026:D1026" si="1983">RAND()</f>
        <v>0.04981933516</v>
      </c>
      <c r="C1026" s="134">
        <f t="shared" si="1983"/>
        <v>0.7612309434</v>
      </c>
      <c r="D1026" s="134">
        <f t="shared" si="1983"/>
        <v>0.4633177776</v>
      </c>
      <c r="F1026" s="134">
        <f t="shared" ref="F1026:H1026" si="1984">RAND()</f>
        <v>0.5017303757</v>
      </c>
      <c r="G1026" s="134">
        <f t="shared" si="1984"/>
        <v>0.6920213556</v>
      </c>
      <c r="H1026" s="134">
        <f t="shared" si="1984"/>
        <v>0.5784086981</v>
      </c>
      <c r="J1026" s="135">
        <f t="shared" si="8"/>
        <v>35040113.41</v>
      </c>
      <c r="K1026" s="136">
        <f>IF(J1026&gt;0,MIN(99,$B$12*Q1026/(J1026*12*(1-Inputs!$H$16))),99)</f>
        <v>17.3861532</v>
      </c>
      <c r="L1026" s="134">
        <f t="shared" si="9"/>
        <v>0.8498643788</v>
      </c>
      <c r="M1026" s="134">
        <f t="shared" si="10"/>
        <v>0.9321945812</v>
      </c>
      <c r="N1026" s="134">
        <f t="shared" si="11"/>
        <v>1.004672973</v>
      </c>
      <c r="O1026" s="134">
        <f t="shared" si="12"/>
        <v>1.022896702</v>
      </c>
      <c r="P1026" s="134">
        <f t="shared" si="13"/>
        <v>1.335046024</v>
      </c>
      <c r="Q1026" s="134">
        <f t="shared" si="14"/>
        <v>1.119792325</v>
      </c>
    </row>
    <row r="1027" ht="15.0" customHeight="1">
      <c r="A1027" s="13">
        <v>988.0</v>
      </c>
      <c r="B1027" s="134">
        <f t="shared" ref="B1027:D1027" si="1985">RAND()</f>
        <v>0.3364383572</v>
      </c>
      <c r="C1027" s="134">
        <f t="shared" si="1985"/>
        <v>0.15278663</v>
      </c>
      <c r="D1027" s="134">
        <f t="shared" si="1985"/>
        <v>0.5499686989</v>
      </c>
      <c r="F1027" s="134">
        <f t="shared" ref="F1027:H1027" si="1986">RAND()</f>
        <v>0.549491327</v>
      </c>
      <c r="G1027" s="134">
        <f t="shared" si="1986"/>
        <v>0.5555838209</v>
      </c>
      <c r="H1027" s="134">
        <f t="shared" si="1986"/>
        <v>0.9594279677</v>
      </c>
      <c r="J1027" s="135">
        <f t="shared" si="8"/>
        <v>115757073.1</v>
      </c>
      <c r="K1027" s="136">
        <f>IF(J1027&gt;0,MIN(99,$B$12*Q1027/(J1027*12*(1-Inputs!$H$16))),99)</f>
        <v>6.377600229</v>
      </c>
      <c r="L1027" s="134">
        <f t="shared" si="9"/>
        <v>0.9695490046</v>
      </c>
      <c r="M1027" s="134">
        <f t="shared" si="10"/>
        <v>0.9857401432</v>
      </c>
      <c r="N1027" s="134">
        <f t="shared" si="11"/>
        <v>1.01189695</v>
      </c>
      <c r="O1027" s="134">
        <f t="shared" si="12"/>
        <v>1.027266548</v>
      </c>
      <c r="P1027" s="134">
        <f t="shared" si="13"/>
        <v>1.228840555</v>
      </c>
      <c r="Q1027" s="134">
        <f t="shared" si="14"/>
        <v>1.356979576</v>
      </c>
    </row>
    <row r="1028" ht="15.0" customHeight="1">
      <c r="A1028" s="13">
        <v>989.0</v>
      </c>
      <c r="B1028" s="134">
        <f t="shared" ref="B1028:D1028" si="1987">RAND()</f>
        <v>0.8075566819</v>
      </c>
      <c r="C1028" s="134">
        <f t="shared" si="1987"/>
        <v>0.8815685755</v>
      </c>
      <c r="D1028" s="134">
        <f t="shared" si="1987"/>
        <v>0.4475576807</v>
      </c>
      <c r="F1028" s="134">
        <f t="shared" ref="F1028:H1028" si="1988">RAND()</f>
        <v>0.1644042138</v>
      </c>
      <c r="G1028" s="134">
        <f t="shared" si="1988"/>
        <v>0.4902325872</v>
      </c>
      <c r="H1028" s="134">
        <f t="shared" si="1988"/>
        <v>0.9551669919</v>
      </c>
      <c r="J1028" s="135">
        <f t="shared" si="8"/>
        <v>228934693.2</v>
      </c>
      <c r="K1028" s="136">
        <f>IF(J1028&gt;0,MIN(99,$B$12*Q1028/(J1028*12*(1-Inputs!$H$16))),99)</f>
        <v>3.211749958</v>
      </c>
      <c r="L1028" s="134">
        <f t="shared" si="9"/>
        <v>1.11233176</v>
      </c>
      <c r="M1028" s="134">
        <f t="shared" si="10"/>
        <v>1.04904764</v>
      </c>
      <c r="N1028" s="134">
        <f t="shared" si="11"/>
        <v>1.003423548</v>
      </c>
      <c r="O1028" s="134">
        <f t="shared" si="12"/>
        <v>0.9963956063</v>
      </c>
      <c r="P1028" s="134">
        <f t="shared" si="13"/>
        <v>1.183829285</v>
      </c>
      <c r="Q1028" s="134">
        <f t="shared" si="14"/>
        <v>1.351517955</v>
      </c>
    </row>
    <row r="1029" ht="15.0" customHeight="1">
      <c r="A1029" s="13">
        <v>990.0</v>
      </c>
      <c r="B1029" s="134">
        <f t="shared" ref="B1029:D1029" si="1989">RAND()</f>
        <v>0.2233637494</v>
      </c>
      <c r="C1029" s="134">
        <f t="shared" si="1989"/>
        <v>0.7766147728</v>
      </c>
      <c r="D1029" s="134">
        <f t="shared" si="1989"/>
        <v>0.4169931259</v>
      </c>
      <c r="F1029" s="134">
        <f t="shared" ref="F1029:H1029" si="1990">RAND()</f>
        <v>0.8527606786</v>
      </c>
      <c r="G1029" s="134">
        <f t="shared" si="1990"/>
        <v>0.371669865</v>
      </c>
      <c r="H1029" s="134">
        <f t="shared" si="1990"/>
        <v>0.7346986192</v>
      </c>
      <c r="J1029" s="135">
        <f t="shared" si="8"/>
        <v>91844417.72</v>
      </c>
      <c r="K1029" s="136">
        <f>IF(J1029&gt;0,MIN(99,$B$12*Q1029/(J1029*12*(1-Inputs!$H$16))),99)</f>
        <v>7.054162006</v>
      </c>
      <c r="L1029" s="134">
        <f t="shared" si="9"/>
        <v>0.9335194682</v>
      </c>
      <c r="M1029" s="134">
        <f t="shared" si="10"/>
        <v>0.9696209319</v>
      </c>
      <c r="N1029" s="134">
        <f t="shared" si="11"/>
        <v>1.001050249</v>
      </c>
      <c r="O1029" s="134">
        <f t="shared" si="12"/>
        <v>1.063487763</v>
      </c>
      <c r="P1029" s="134">
        <f t="shared" si="13"/>
        <v>1.108998837</v>
      </c>
      <c r="Q1029" s="134">
        <f t="shared" si="14"/>
        <v>1.190876365</v>
      </c>
    </row>
    <row r="1030" ht="15.0" customHeight="1">
      <c r="A1030" s="13">
        <v>991.0</v>
      </c>
      <c r="B1030" s="134">
        <f t="shared" ref="B1030:D1030" si="1991">RAND()</f>
        <v>0.5346496135</v>
      </c>
      <c r="C1030" s="134">
        <f t="shared" si="1991"/>
        <v>0.4641842118</v>
      </c>
      <c r="D1030" s="134">
        <f t="shared" si="1991"/>
        <v>0.9279047587</v>
      </c>
      <c r="F1030" s="134">
        <f t="shared" ref="F1030:H1030" si="1992">RAND()</f>
        <v>0.4041665523</v>
      </c>
      <c r="G1030" s="134">
        <f t="shared" si="1992"/>
        <v>0.05741015333</v>
      </c>
      <c r="H1030" s="134">
        <f t="shared" si="1992"/>
        <v>0.5417550347</v>
      </c>
      <c r="J1030" s="135">
        <f t="shared" si="8"/>
        <v>156242605.9</v>
      </c>
      <c r="K1030" s="136">
        <f>IF(J1030&gt;0,MIN(99,$B$12*Q1030/(J1030*12*(1-Inputs!$H$16))),99)</f>
        <v>3.848182519</v>
      </c>
      <c r="L1030" s="134">
        <f t="shared" si="9"/>
        <v>1.022046095</v>
      </c>
      <c r="M1030" s="134">
        <f t="shared" si="10"/>
        <v>1.009117448</v>
      </c>
      <c r="N1030" s="134">
        <f t="shared" si="11"/>
        <v>1.05897138</v>
      </c>
      <c r="O1030" s="134">
        <f t="shared" si="12"/>
        <v>1.01457848</v>
      </c>
      <c r="P1030" s="134">
        <f t="shared" si="13"/>
        <v>0.9202829892</v>
      </c>
      <c r="Q1030" s="134">
        <f t="shared" si="14"/>
        <v>1.10515608</v>
      </c>
    </row>
    <row r="1031" ht="15.0" customHeight="1">
      <c r="A1031" s="13">
        <v>992.0</v>
      </c>
      <c r="B1031" s="134">
        <f t="shared" ref="B1031:D1031" si="1993">RAND()</f>
        <v>0.9543514717</v>
      </c>
      <c r="C1031" s="134">
        <f t="shared" si="1993"/>
        <v>0.3739249997</v>
      </c>
      <c r="D1031" s="134">
        <f t="shared" si="1993"/>
        <v>0.1436043895</v>
      </c>
      <c r="F1031" s="134">
        <f t="shared" ref="F1031:H1031" si="1994">RAND()</f>
        <v>0.6774890003</v>
      </c>
      <c r="G1031" s="134">
        <f t="shared" si="1994"/>
        <v>0.9005902112</v>
      </c>
      <c r="H1031" s="134">
        <f t="shared" si="1994"/>
        <v>0.8258702861</v>
      </c>
      <c r="J1031" s="135">
        <f t="shared" si="8"/>
        <v>280903872.4</v>
      </c>
      <c r="K1031" s="136">
        <f>IF(J1031&gt;0,MIN(99,$B$12*Q1031/(J1031*12*(1-Inputs!$H$16))),99)</f>
        <v>2.406726804</v>
      </c>
      <c r="L1031" s="134">
        <f t="shared" si="9"/>
        <v>1.195774545</v>
      </c>
      <c r="M1031" s="134">
        <f t="shared" si="10"/>
        <v>1.085951466</v>
      </c>
      <c r="N1031" s="134">
        <f t="shared" si="11"/>
        <v>0.9753771105</v>
      </c>
      <c r="O1031" s="134">
        <f t="shared" si="12"/>
        <v>1.040281681</v>
      </c>
      <c r="P1031" s="134">
        <f t="shared" si="13"/>
        <v>1.562947991</v>
      </c>
      <c r="Q1031" s="134">
        <f t="shared" si="14"/>
        <v>1.242661955</v>
      </c>
    </row>
    <row r="1032" ht="15.0" customHeight="1">
      <c r="A1032" s="13">
        <v>993.0</v>
      </c>
      <c r="B1032" s="134">
        <f t="shared" ref="B1032:D1032" si="1995">RAND()</f>
        <v>0.5884820438</v>
      </c>
      <c r="C1032" s="134">
        <f t="shared" si="1995"/>
        <v>0.2730170791</v>
      </c>
      <c r="D1032" s="134">
        <f t="shared" si="1995"/>
        <v>0.3240933176</v>
      </c>
      <c r="F1032" s="134">
        <f t="shared" ref="F1032:H1032" si="1996">RAND()</f>
        <v>0.7690503843</v>
      </c>
      <c r="G1032" s="134">
        <f t="shared" si="1996"/>
        <v>0.05965941614</v>
      </c>
      <c r="H1032" s="134">
        <f t="shared" si="1996"/>
        <v>0.8804317978</v>
      </c>
      <c r="J1032" s="135">
        <f t="shared" si="8"/>
        <v>175365290.2</v>
      </c>
      <c r="K1032" s="136">
        <f>IF(J1032&gt;0,MIN(99,$B$12*Q1032/(J1032*12*(1-Inputs!$H$16))),99)</f>
        <v>3.972620274</v>
      </c>
      <c r="L1032" s="134">
        <f t="shared" si="9"/>
        <v>1.037126675</v>
      </c>
      <c r="M1032" s="134">
        <f t="shared" si="10"/>
        <v>1.015787061</v>
      </c>
      <c r="N1032" s="134">
        <f t="shared" si="11"/>
        <v>0.9936823192</v>
      </c>
      <c r="O1032" s="134">
        <f t="shared" si="12"/>
        <v>1.051284604</v>
      </c>
      <c r="P1032" s="134">
        <f t="shared" si="13"/>
        <v>0.9223316576</v>
      </c>
      <c r="Q1032" s="134">
        <f t="shared" si="14"/>
        <v>1.28052828</v>
      </c>
    </row>
    <row r="1033" ht="15.0" customHeight="1">
      <c r="A1033" s="13">
        <v>994.0</v>
      </c>
      <c r="B1033" s="134">
        <f t="shared" ref="B1033:D1033" si="1997">RAND()</f>
        <v>0.6923519623</v>
      </c>
      <c r="C1033" s="134">
        <f t="shared" si="1997"/>
        <v>0.9442709127</v>
      </c>
      <c r="D1033" s="134">
        <f t="shared" si="1997"/>
        <v>0.1338223327</v>
      </c>
      <c r="F1033" s="134">
        <f t="shared" ref="F1033:H1033" si="1998">RAND()</f>
        <v>0.3978938573</v>
      </c>
      <c r="G1033" s="134">
        <f t="shared" si="1998"/>
        <v>0.5772767494</v>
      </c>
      <c r="H1033" s="134">
        <f t="shared" si="1998"/>
        <v>0.3590885029</v>
      </c>
      <c r="J1033" s="135">
        <f t="shared" si="8"/>
        <v>197758737.5</v>
      </c>
      <c r="K1033" s="136">
        <f>IF(J1033&gt;0,MIN(99,$B$12*Q1033/(J1033*12*(1-Inputs!$H$16))),99)</f>
        <v>2.860202302</v>
      </c>
      <c r="L1033" s="134">
        <f t="shared" si="9"/>
        <v>1.06932646</v>
      </c>
      <c r="M1033" s="134">
        <f t="shared" si="10"/>
        <v>1.0300279</v>
      </c>
      <c r="N1033" s="134">
        <f t="shared" si="11"/>
        <v>0.9741139672</v>
      </c>
      <c r="O1033" s="134">
        <f t="shared" si="12"/>
        <v>1.014067886</v>
      </c>
      <c r="P1033" s="134">
        <f t="shared" si="13"/>
        <v>1.244505759</v>
      </c>
      <c r="Q1033" s="134">
        <f t="shared" si="14"/>
        <v>1.039682931</v>
      </c>
    </row>
    <row r="1034" ht="15.0" customHeight="1">
      <c r="A1034" s="13">
        <v>995.0</v>
      </c>
      <c r="B1034" s="134">
        <f t="shared" ref="B1034:D1034" si="1999">RAND()</f>
        <v>0.7036270654</v>
      </c>
      <c r="C1034" s="134">
        <f t="shared" si="1999"/>
        <v>0.8435398642</v>
      </c>
      <c r="D1034" s="134">
        <f t="shared" si="1999"/>
        <v>0.4211471428</v>
      </c>
      <c r="F1034" s="134">
        <f t="shared" ref="F1034:H1034" si="2000">RAND()</f>
        <v>0.06193547313</v>
      </c>
      <c r="G1034" s="134">
        <f t="shared" si="2000"/>
        <v>0.6381575167</v>
      </c>
      <c r="H1034" s="134">
        <f t="shared" si="2000"/>
        <v>0.8252638418</v>
      </c>
      <c r="J1034" s="135">
        <f t="shared" si="8"/>
        <v>197248543.7</v>
      </c>
      <c r="K1034" s="136">
        <f>IF(J1034&gt;0,MIN(99,$B$12*Q1034/(J1034*12*(1-Inputs!$H$16))),99)</f>
        <v>3.426386276</v>
      </c>
      <c r="L1034" s="134">
        <f t="shared" si="9"/>
        <v>1.073130541</v>
      </c>
      <c r="M1034" s="134">
        <f t="shared" si="10"/>
        <v>1.031710312</v>
      </c>
      <c r="N1034" s="134">
        <f t="shared" si="11"/>
        <v>1.001369088</v>
      </c>
      <c r="O1034" s="134">
        <f t="shared" si="12"/>
        <v>0.9861569639</v>
      </c>
      <c r="P1034" s="134">
        <f t="shared" si="13"/>
        <v>1.290756792</v>
      </c>
      <c r="Q1034" s="134">
        <f t="shared" si="14"/>
        <v>1.242277469</v>
      </c>
    </row>
    <row r="1035" ht="15.0" customHeight="1">
      <c r="A1035" s="13">
        <v>996.0</v>
      </c>
      <c r="B1035" s="134">
        <f t="shared" ref="B1035:D1035" si="2001">RAND()</f>
        <v>0.9994360264</v>
      </c>
      <c r="C1035" s="134">
        <f t="shared" si="2001"/>
        <v>0.8060438599</v>
      </c>
      <c r="D1035" s="134">
        <f t="shared" si="2001"/>
        <v>0.9622173334</v>
      </c>
      <c r="F1035" s="134">
        <f t="shared" ref="F1035:H1035" si="2002">RAND()</f>
        <v>0.2211903376</v>
      </c>
      <c r="G1035" s="134">
        <f t="shared" si="2002"/>
        <v>0.06161733163</v>
      </c>
      <c r="H1035" s="134">
        <f t="shared" si="2002"/>
        <v>0.5782413537</v>
      </c>
      <c r="J1035" s="135">
        <f t="shared" si="8"/>
        <v>346044203.3</v>
      </c>
      <c r="K1035" s="136">
        <f>IF(J1035&gt;0,MIN(99,$B$12*Q1035/(J1035*12*(1-Inputs!$H$16))),99)</f>
        <v>1.760398382</v>
      </c>
      <c r="L1035" s="134">
        <f t="shared" si="9"/>
        <v>1.266193958</v>
      </c>
      <c r="M1035" s="134">
        <f t="shared" si="10"/>
        <v>1.117095509</v>
      </c>
      <c r="N1035" s="134">
        <f t="shared" si="11"/>
        <v>1.067644507</v>
      </c>
      <c r="O1035" s="134">
        <f t="shared" si="12"/>
        <v>1.000643517</v>
      </c>
      <c r="P1035" s="134">
        <f t="shared" si="13"/>
        <v>0.9240837328</v>
      </c>
      <c r="Q1035" s="134">
        <f t="shared" si="14"/>
        <v>1.119724087</v>
      </c>
    </row>
    <row r="1036" ht="15.0" customHeight="1">
      <c r="A1036" s="13">
        <v>997.0</v>
      </c>
      <c r="B1036" s="134">
        <f t="shared" ref="B1036:D1036" si="2003">RAND()</f>
        <v>0.1390175327</v>
      </c>
      <c r="C1036" s="134">
        <f t="shared" si="2003"/>
        <v>0.4618788429</v>
      </c>
      <c r="D1036" s="134">
        <f t="shared" si="2003"/>
        <v>0.2493920042</v>
      </c>
      <c r="F1036" s="134">
        <f t="shared" ref="F1036:H1036" si="2004">RAND()</f>
        <v>0.9318516247</v>
      </c>
      <c r="G1036" s="134">
        <f t="shared" si="2004"/>
        <v>0.02922551713</v>
      </c>
      <c r="H1036" s="134">
        <f t="shared" si="2004"/>
        <v>0.7811492926</v>
      </c>
      <c r="J1036" s="135">
        <f t="shared" si="8"/>
        <v>78032668.32</v>
      </c>
      <c r="K1036" s="136">
        <f>IF(J1036&gt;0,MIN(99,$B$12*Q1036/(J1036*12*(1-Inputs!$H$16))),99)</f>
        <v>8.477238114</v>
      </c>
      <c r="L1036" s="134">
        <f t="shared" si="9"/>
        <v>0.9000578763</v>
      </c>
      <c r="M1036" s="134">
        <f t="shared" si="10"/>
        <v>0.9546505902</v>
      </c>
      <c r="N1036" s="134">
        <f t="shared" si="11"/>
        <v>0.9869599376</v>
      </c>
      <c r="O1036" s="134">
        <f t="shared" si="12"/>
        <v>1.078942964</v>
      </c>
      <c r="P1036" s="134">
        <f t="shared" si="13"/>
        <v>0.8900288077</v>
      </c>
      <c r="Q1036" s="134">
        <f t="shared" si="14"/>
        <v>1.215904095</v>
      </c>
    </row>
    <row r="1037" ht="15.0" customHeight="1">
      <c r="A1037" s="13">
        <v>998.0</v>
      </c>
      <c r="B1037" s="134">
        <f t="shared" ref="B1037:D1037" si="2005">RAND()</f>
        <v>0.4894968051</v>
      </c>
      <c r="C1037" s="134">
        <f t="shared" si="2005"/>
        <v>0.2696775903</v>
      </c>
      <c r="D1037" s="134">
        <f t="shared" si="2005"/>
        <v>0.8007762221</v>
      </c>
      <c r="F1037" s="134">
        <f t="shared" ref="F1037:H1037" si="2006">RAND()</f>
        <v>0.07905916951</v>
      </c>
      <c r="G1037" s="134">
        <f t="shared" si="2006"/>
        <v>0.6738757543</v>
      </c>
      <c r="H1037" s="134">
        <f t="shared" si="2006"/>
        <v>0.6627138055</v>
      </c>
      <c r="J1037" s="135">
        <f t="shared" si="8"/>
        <v>141610256.9</v>
      </c>
      <c r="K1037" s="136">
        <f>IF(J1037&gt;0,MIN(99,$B$12*Q1037/(J1037*12*(1-Inputs!$H$16))),99)</f>
        <v>4.441481569</v>
      </c>
      <c r="L1037" s="134">
        <f t="shared" si="9"/>
        <v>1.01005814</v>
      </c>
      <c r="M1037" s="134">
        <f t="shared" si="10"/>
        <v>1.003815595</v>
      </c>
      <c r="N1037" s="134">
        <f t="shared" si="11"/>
        <v>1.038163795</v>
      </c>
      <c r="O1037" s="134">
        <f t="shared" si="12"/>
        <v>0.9882691802</v>
      </c>
      <c r="P1037" s="134">
        <f t="shared" si="13"/>
        <v>1.319722299</v>
      </c>
      <c r="Q1037" s="134">
        <f t="shared" si="14"/>
        <v>1.156088433</v>
      </c>
    </row>
    <row r="1038" ht="15.0" customHeight="1">
      <c r="A1038" s="13">
        <v>999.0</v>
      </c>
      <c r="B1038" s="134">
        <f t="shared" ref="B1038:D1038" si="2007">RAND()</f>
        <v>0.6812249266</v>
      </c>
      <c r="C1038" s="134">
        <f t="shared" si="2007"/>
        <v>0.6832287821</v>
      </c>
      <c r="D1038" s="134">
        <f t="shared" si="2007"/>
        <v>0.984374085</v>
      </c>
      <c r="F1038" s="134">
        <f t="shared" ref="F1038:H1038" si="2008">RAND()</f>
        <v>0.8140039908</v>
      </c>
      <c r="G1038" s="134">
        <f t="shared" si="2008"/>
        <v>0.0109258611</v>
      </c>
      <c r="H1038" s="134">
        <f t="shared" si="2008"/>
        <v>0.9469389479</v>
      </c>
      <c r="J1038" s="135">
        <f t="shared" si="8"/>
        <v>178921135.1</v>
      </c>
      <c r="K1038" s="136">
        <f>IF(J1038&gt;0,MIN(99,$B$12*Q1038/(J1038*12*(1-Inputs!$H$16))),99)</f>
        <v>4.079555288</v>
      </c>
      <c r="L1038" s="134">
        <f t="shared" si="9"/>
        <v>1.065640088</v>
      </c>
      <c r="M1038" s="134">
        <f t="shared" si="10"/>
        <v>1.028397547</v>
      </c>
      <c r="N1038" s="134">
        <f t="shared" si="11"/>
        <v>1.075761412</v>
      </c>
      <c r="O1038" s="134">
        <f t="shared" si="12"/>
        <v>1.057496104</v>
      </c>
      <c r="P1038" s="134">
        <f t="shared" si="13"/>
        <v>0.8607536792</v>
      </c>
      <c r="Q1038" s="134">
        <f t="shared" si="14"/>
        <v>1.341661475</v>
      </c>
    </row>
    <row r="1039" ht="15.0" customHeight="1">
      <c r="A1039" s="13">
        <v>1000.0</v>
      </c>
      <c r="B1039" s="134">
        <f t="shared" ref="B1039:D1039" si="2009">RAND()</f>
        <v>0.6036993673</v>
      </c>
      <c r="C1039" s="134">
        <f t="shared" si="2009"/>
        <v>0.1257061274</v>
      </c>
      <c r="D1039" s="134">
        <f t="shared" si="2009"/>
        <v>0.4885294311</v>
      </c>
      <c r="F1039" s="134">
        <f t="shared" ref="F1039:H1039" si="2010">RAND()</f>
        <v>0.4576193494</v>
      </c>
      <c r="G1039" s="134">
        <f t="shared" si="2010"/>
        <v>0.1142248093</v>
      </c>
      <c r="H1039" s="134">
        <f t="shared" si="2010"/>
        <v>0.05676107998</v>
      </c>
      <c r="J1039" s="135">
        <f t="shared" si="8"/>
        <v>179519519.1</v>
      </c>
      <c r="K1039" s="136">
        <f>IF(J1039&gt;0,MIN(99,$B$12*Q1039/(J1039*12*(1-Inputs!$H$16))),99)</f>
        <v>2.813544847</v>
      </c>
      <c r="L1039" s="134">
        <f t="shared" si="9"/>
        <v>1.041566204</v>
      </c>
      <c r="M1039" s="134">
        <f t="shared" si="10"/>
        <v>1.01775051</v>
      </c>
      <c r="N1039" s="134">
        <f t="shared" si="11"/>
        <v>1.006710481</v>
      </c>
      <c r="O1039" s="134">
        <f t="shared" si="12"/>
        <v>1.019043425</v>
      </c>
      <c r="P1039" s="134">
        <f t="shared" si="13"/>
        <v>0.9636340614</v>
      </c>
      <c r="Q1039" s="134">
        <f t="shared" si="14"/>
        <v>0.9283975793</v>
      </c>
    </row>
  </sheetData>
  <mergeCells count="25">
    <mergeCell ref="AB4:AE4"/>
    <mergeCell ref="AF4:AN4"/>
    <mergeCell ref="AF5:AN5"/>
    <mergeCell ref="AO5:AQ5"/>
    <mergeCell ref="AF6:AN6"/>
    <mergeCell ref="AO6:AQ6"/>
    <mergeCell ref="V3:Y3"/>
    <mergeCell ref="Z3:AA3"/>
    <mergeCell ref="AB3:AE3"/>
    <mergeCell ref="AF3:AN3"/>
    <mergeCell ref="AO3:AQ3"/>
    <mergeCell ref="Z4:AA4"/>
    <mergeCell ref="AO4:AQ4"/>
    <mergeCell ref="V7:Y7"/>
    <mergeCell ref="Z7:AA7"/>
    <mergeCell ref="AB7:AE7"/>
    <mergeCell ref="AF7:AN7"/>
    <mergeCell ref="AO7:AQ7"/>
    <mergeCell ref="V4:Y4"/>
    <mergeCell ref="V5:Y5"/>
    <mergeCell ref="Z5:AA5"/>
    <mergeCell ref="AB5:AE5"/>
    <mergeCell ref="V6:Y6"/>
    <mergeCell ref="Z6:AA6"/>
    <mergeCell ref="AB6:AE6"/>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13.0"/>
    <col customWidth="1" min="3" max="5" width="60.0"/>
    <col customWidth="1" min="6" max="6" width="34.0"/>
    <col customWidth="1" min="7" max="7" width="30.0"/>
    <col customWidth="1" min="8" max="26" width="8.71"/>
  </cols>
  <sheetData>
    <row r="1" ht="17.25" customHeight="1">
      <c r="A1" s="88" t="s">
        <v>1445</v>
      </c>
    </row>
    <row r="2" ht="15.0" customHeight="1">
      <c r="A2" s="2" t="s">
        <v>1446</v>
      </c>
    </row>
    <row r="4" ht="15.0" customHeight="1">
      <c r="A4" s="12" t="s">
        <v>1447</v>
      </c>
      <c r="B4" s="12" t="s">
        <v>1448</v>
      </c>
      <c r="C4" s="12" t="s">
        <v>45</v>
      </c>
      <c r="D4" s="12" t="s">
        <v>1449</v>
      </c>
      <c r="E4" s="12" t="s">
        <v>1450</v>
      </c>
      <c r="F4" s="12" t="s">
        <v>1451</v>
      </c>
      <c r="G4" s="15" t="s">
        <v>1452</v>
      </c>
    </row>
    <row r="5" ht="23.25" customHeight="1">
      <c r="A5" s="13" t="s">
        <v>1453</v>
      </c>
      <c r="B5" s="13" t="s">
        <v>1454</v>
      </c>
      <c r="C5" s="9" t="s">
        <v>1455</v>
      </c>
      <c r="D5" s="137" t="s">
        <v>1456</v>
      </c>
      <c r="E5" s="9" t="s">
        <v>1458</v>
      </c>
      <c r="F5" s="9" t="s">
        <v>1459</v>
      </c>
      <c r="G5" s="138" t="s">
        <v>1460</v>
      </c>
    </row>
    <row r="6" ht="23.25" customHeight="1">
      <c r="A6" s="13" t="s">
        <v>1461</v>
      </c>
      <c r="B6" s="13" t="s">
        <v>1454</v>
      </c>
      <c r="C6" s="9" t="s">
        <v>1462</v>
      </c>
      <c r="D6" s="137" t="s">
        <v>1463</v>
      </c>
      <c r="E6" s="9" t="s">
        <v>1464</v>
      </c>
      <c r="F6" s="9" t="s">
        <v>1465</v>
      </c>
      <c r="G6" s="138" t="s">
        <v>1460</v>
      </c>
    </row>
    <row r="7" ht="23.25" customHeight="1">
      <c r="A7" s="13" t="s">
        <v>1225</v>
      </c>
      <c r="B7" s="13" t="s">
        <v>1454</v>
      </c>
      <c r="C7" s="9" t="s">
        <v>1466</v>
      </c>
      <c r="D7" s="137" t="s">
        <v>1467</v>
      </c>
      <c r="E7" s="9" t="s">
        <v>1469</v>
      </c>
      <c r="F7" s="9" t="s">
        <v>1470</v>
      </c>
      <c r="G7" s="138" t="s">
        <v>1471</v>
      </c>
    </row>
    <row r="8" ht="15.0" customHeight="1">
      <c r="A8" s="13" t="s">
        <v>973</v>
      </c>
      <c r="B8" s="13" t="s">
        <v>1472</v>
      </c>
      <c r="C8" s="9" t="s">
        <v>1473</v>
      </c>
      <c r="D8" s="137" t="s">
        <v>1474</v>
      </c>
      <c r="E8" s="9" t="s">
        <v>1475</v>
      </c>
      <c r="F8" s="9" t="s">
        <v>1476</v>
      </c>
      <c r="G8" s="138" t="s">
        <v>1477</v>
      </c>
    </row>
    <row r="9" ht="23.25" customHeight="1">
      <c r="A9" s="13" t="s">
        <v>982</v>
      </c>
      <c r="B9" s="13" t="s">
        <v>1472</v>
      </c>
      <c r="C9" s="9" t="s">
        <v>1478</v>
      </c>
      <c r="D9" s="137" t="s">
        <v>1479</v>
      </c>
      <c r="E9" s="9" t="s">
        <v>1480</v>
      </c>
      <c r="F9" s="9" t="s">
        <v>1481</v>
      </c>
      <c r="G9" s="138" t="s">
        <v>1482</v>
      </c>
    </row>
    <row r="10" ht="15.0" customHeight="1">
      <c r="A10" s="13" t="s">
        <v>1483</v>
      </c>
      <c r="B10" s="13" t="s">
        <v>1472</v>
      </c>
      <c r="C10" s="9" t="s">
        <v>1484</v>
      </c>
      <c r="D10" s="137" t="s">
        <v>1485</v>
      </c>
      <c r="E10" s="9" t="s">
        <v>1487</v>
      </c>
      <c r="F10" s="9" t="s">
        <v>1488</v>
      </c>
      <c r="G10" s="138" t="s">
        <v>1489</v>
      </c>
    </row>
    <row r="11" ht="23.25" customHeight="1">
      <c r="A11" s="13" t="s">
        <v>1490</v>
      </c>
      <c r="B11" s="13" t="s">
        <v>1472</v>
      </c>
      <c r="C11" s="9" t="s">
        <v>1491</v>
      </c>
      <c r="D11" s="137" t="s">
        <v>1492</v>
      </c>
      <c r="E11" s="9" t="s">
        <v>1493</v>
      </c>
      <c r="F11" s="9" t="s">
        <v>1494</v>
      </c>
      <c r="G11" s="138" t="s">
        <v>1489</v>
      </c>
    </row>
    <row r="12" ht="15.0" customHeight="1">
      <c r="A12" s="13" t="s">
        <v>1495</v>
      </c>
      <c r="B12" s="13" t="s">
        <v>1472</v>
      </c>
      <c r="C12" s="9" t="s">
        <v>1496</v>
      </c>
      <c r="D12" s="137" t="s">
        <v>1497</v>
      </c>
      <c r="E12" s="9" t="s">
        <v>1499</v>
      </c>
      <c r="F12" s="9" t="s">
        <v>1500</v>
      </c>
      <c r="G12" s="138" t="s">
        <v>1489</v>
      </c>
    </row>
    <row r="13" ht="23.25" customHeight="1">
      <c r="A13" s="13" t="s">
        <v>1501</v>
      </c>
      <c r="B13" s="13" t="s">
        <v>1472</v>
      </c>
      <c r="C13" s="9" t="s">
        <v>1502</v>
      </c>
      <c r="D13" s="137" t="s">
        <v>1503</v>
      </c>
      <c r="E13" s="9" t="s">
        <v>1504</v>
      </c>
      <c r="F13" s="9" t="s">
        <v>1505</v>
      </c>
      <c r="G13" s="138" t="s">
        <v>1489</v>
      </c>
    </row>
    <row r="14" ht="23.25" customHeight="1">
      <c r="A14" s="13" t="s">
        <v>1506</v>
      </c>
      <c r="B14" s="13" t="s">
        <v>542</v>
      </c>
      <c r="C14" s="9" t="s">
        <v>1507</v>
      </c>
      <c r="D14" s="137" t="s">
        <v>1508</v>
      </c>
      <c r="E14" s="9" t="s">
        <v>1509</v>
      </c>
      <c r="F14" s="9" t="s">
        <v>1510</v>
      </c>
      <c r="G14" s="138" t="s">
        <v>1511</v>
      </c>
    </row>
    <row r="15" ht="15.0" customHeight="1">
      <c r="A15" s="13" t="s">
        <v>1512</v>
      </c>
      <c r="B15" s="13" t="s">
        <v>510</v>
      </c>
      <c r="C15" s="9" t="s">
        <v>1513</v>
      </c>
      <c r="D15" s="137" t="s">
        <v>1514</v>
      </c>
      <c r="E15" s="9" t="s">
        <v>1516</v>
      </c>
      <c r="F15" s="9" t="s">
        <v>1517</v>
      </c>
      <c r="G15" s="138" t="s">
        <v>1518</v>
      </c>
    </row>
    <row r="16" ht="23.25" customHeight="1">
      <c r="A16" s="13" t="s">
        <v>1519</v>
      </c>
      <c r="B16" s="13" t="s">
        <v>1520</v>
      </c>
      <c r="C16" s="9" t="s">
        <v>1521</v>
      </c>
      <c r="D16" s="137" t="s">
        <v>1522</v>
      </c>
      <c r="E16" s="9" t="s">
        <v>1523</v>
      </c>
      <c r="F16" s="9" t="s">
        <v>1524</v>
      </c>
      <c r="G16" s="138" t="s">
        <v>1525</v>
      </c>
    </row>
    <row r="17" ht="15.0" customHeight="1">
      <c r="A17" s="13" t="s">
        <v>1047</v>
      </c>
      <c r="B17" s="13" t="s">
        <v>120</v>
      </c>
      <c r="C17" s="9" t="s">
        <v>1526</v>
      </c>
      <c r="D17" s="137" t="s">
        <v>1527</v>
      </c>
      <c r="E17" s="9" t="s">
        <v>1528</v>
      </c>
      <c r="F17" s="9" t="s">
        <v>1529</v>
      </c>
      <c r="G17" s="138" t="s">
        <v>1530</v>
      </c>
    </row>
    <row r="18" ht="15.0" customHeight="1">
      <c r="A18" s="13" t="s">
        <v>1531</v>
      </c>
      <c r="B18" s="13" t="s">
        <v>120</v>
      </c>
      <c r="C18" s="9" t="s">
        <v>1532</v>
      </c>
      <c r="D18" s="137" t="s">
        <v>1533</v>
      </c>
      <c r="E18" s="9" t="s">
        <v>1534</v>
      </c>
      <c r="F18" s="9" t="s">
        <v>1535</v>
      </c>
      <c r="G18" s="138" t="s">
        <v>1536</v>
      </c>
    </row>
    <row r="19" ht="15.0" customHeight="1">
      <c r="A19" s="13" t="s">
        <v>1537</v>
      </c>
      <c r="B19" s="13" t="s">
        <v>120</v>
      </c>
      <c r="C19" s="9" t="s">
        <v>1538</v>
      </c>
      <c r="D19" s="137" t="s">
        <v>1540</v>
      </c>
      <c r="E19" s="9" t="s">
        <v>1572</v>
      </c>
      <c r="F19" s="9" t="s">
        <v>1470</v>
      </c>
      <c r="G19" s="138" t="s">
        <v>1574</v>
      </c>
    </row>
    <row r="20" ht="23.25" customHeight="1">
      <c r="A20" s="13" t="s">
        <v>1232</v>
      </c>
      <c r="B20" s="13" t="s">
        <v>73</v>
      </c>
      <c r="C20" s="9" t="s">
        <v>1578</v>
      </c>
      <c r="D20" s="137" t="s">
        <v>1580</v>
      </c>
      <c r="E20" s="9" t="s">
        <v>1612</v>
      </c>
      <c r="F20" s="9" t="s">
        <v>1613</v>
      </c>
      <c r="G20" s="138" t="s">
        <v>1614</v>
      </c>
    </row>
    <row r="21" ht="15.0" customHeight="1">
      <c r="A21" s="13" t="s">
        <v>1615</v>
      </c>
      <c r="B21" s="13" t="s">
        <v>73</v>
      </c>
      <c r="C21" s="9" t="s">
        <v>1616</v>
      </c>
      <c r="D21" s="137" t="s">
        <v>1617</v>
      </c>
      <c r="E21" s="9" t="s">
        <v>1618</v>
      </c>
      <c r="F21" s="9" t="s">
        <v>1619</v>
      </c>
      <c r="G21" s="138" t="s">
        <v>1620</v>
      </c>
    </row>
    <row r="22" ht="15.0" customHeight="1">
      <c r="A22" s="13" t="s">
        <v>1621</v>
      </c>
      <c r="B22" s="13" t="s">
        <v>73</v>
      </c>
      <c r="C22" s="9" t="s">
        <v>1622</v>
      </c>
      <c r="D22" s="137" t="s">
        <v>1623</v>
      </c>
      <c r="E22" s="9" t="s">
        <v>1624</v>
      </c>
      <c r="F22" s="9" t="s">
        <v>1625</v>
      </c>
      <c r="G22" s="138" t="s">
        <v>1626</v>
      </c>
    </row>
    <row r="23" ht="15.0" customHeight="1">
      <c r="A23" s="13" t="s">
        <v>1627</v>
      </c>
      <c r="B23" s="13" t="s">
        <v>1628</v>
      </c>
      <c r="C23" s="9" t="s">
        <v>1629</v>
      </c>
      <c r="D23" s="137" t="s">
        <v>1630</v>
      </c>
      <c r="E23" s="9" t="s">
        <v>1631</v>
      </c>
      <c r="F23" s="9" t="s">
        <v>1632</v>
      </c>
      <c r="G23" s="138" t="s">
        <v>1633</v>
      </c>
    </row>
    <row r="24" ht="15.0" customHeight="1">
      <c r="A24" s="13" t="s">
        <v>211</v>
      </c>
      <c r="B24" s="13" t="s">
        <v>208</v>
      </c>
      <c r="C24" s="9" t="s">
        <v>1634</v>
      </c>
      <c r="D24" s="137" t="s">
        <v>1635</v>
      </c>
      <c r="E24" s="9" t="s">
        <v>1636</v>
      </c>
      <c r="F24" s="9" t="s">
        <v>1637</v>
      </c>
      <c r="G24" s="138" t="s">
        <v>1638</v>
      </c>
    </row>
    <row r="25" ht="15.0" customHeight="1">
      <c r="A25" s="13" t="s">
        <v>1639</v>
      </c>
      <c r="B25" s="13" t="s">
        <v>208</v>
      </c>
      <c r="C25" s="9" t="s">
        <v>1640</v>
      </c>
      <c r="D25" s="137" t="s">
        <v>1641</v>
      </c>
      <c r="E25" s="9" t="s">
        <v>1642</v>
      </c>
      <c r="F25" s="9" t="s">
        <v>1643</v>
      </c>
      <c r="G25" s="138" t="s">
        <v>1638</v>
      </c>
    </row>
    <row r="26" ht="15.0" customHeight="1">
      <c r="A26" s="13" t="s">
        <v>114</v>
      </c>
      <c r="B26" s="13" t="s">
        <v>208</v>
      </c>
      <c r="C26" s="9" t="s">
        <v>1644</v>
      </c>
      <c r="D26" s="137" t="s">
        <v>1645</v>
      </c>
      <c r="E26" s="9" t="s">
        <v>1646</v>
      </c>
      <c r="F26" s="9" t="s">
        <v>1643</v>
      </c>
      <c r="G26" s="138" t="s">
        <v>1647</v>
      </c>
    </row>
    <row r="27" ht="15.0" customHeight="1">
      <c r="A27" s="13" t="s">
        <v>76</v>
      </c>
      <c r="B27" s="13" t="s">
        <v>208</v>
      </c>
      <c r="C27" s="9" t="s">
        <v>1648</v>
      </c>
      <c r="D27" s="137" t="s">
        <v>1649</v>
      </c>
      <c r="E27" s="9" t="s">
        <v>1650</v>
      </c>
      <c r="F27" s="9" t="s">
        <v>1651</v>
      </c>
      <c r="G27" s="138" t="s">
        <v>1647</v>
      </c>
    </row>
    <row r="28" ht="15.0" customHeight="1">
      <c r="A28" s="13" t="s">
        <v>323</v>
      </c>
      <c r="B28" s="13" t="s">
        <v>208</v>
      </c>
      <c r="C28" s="9" t="s">
        <v>1652</v>
      </c>
      <c r="D28" s="137" t="s">
        <v>1653</v>
      </c>
      <c r="E28" s="9" t="s">
        <v>1654</v>
      </c>
      <c r="F28" s="9" t="s">
        <v>1655</v>
      </c>
      <c r="G28" s="138" t="s">
        <v>1647</v>
      </c>
    </row>
    <row r="29" ht="15.0" customHeight="1">
      <c r="A29" s="13" t="s">
        <v>379</v>
      </c>
      <c r="B29" s="13" t="s">
        <v>208</v>
      </c>
      <c r="C29" s="9" t="s">
        <v>1656</v>
      </c>
      <c r="D29" s="137" t="s">
        <v>1657</v>
      </c>
      <c r="E29" s="9" t="s">
        <v>1658</v>
      </c>
      <c r="F29" s="9" t="s">
        <v>1651</v>
      </c>
      <c r="G29" s="138" t="s">
        <v>1647</v>
      </c>
    </row>
    <row r="30" ht="15.0" customHeight="1">
      <c r="A30" s="13" t="s">
        <v>581</v>
      </c>
      <c r="B30" s="13" t="s">
        <v>208</v>
      </c>
      <c r="C30" s="9" t="s">
        <v>1659</v>
      </c>
      <c r="D30" s="137" t="s">
        <v>637</v>
      </c>
      <c r="E30" s="9" t="s">
        <v>1660</v>
      </c>
      <c r="F30" s="9" t="s">
        <v>1651</v>
      </c>
      <c r="G30" s="138" t="s">
        <v>1647</v>
      </c>
    </row>
    <row r="31" ht="23.25" customHeight="1">
      <c r="A31" s="13" t="s">
        <v>692</v>
      </c>
      <c r="B31" s="13" t="s">
        <v>208</v>
      </c>
      <c r="C31" s="9" t="s">
        <v>1661</v>
      </c>
      <c r="D31" s="137" t="s">
        <v>1662</v>
      </c>
      <c r="E31" s="9" t="s">
        <v>1669</v>
      </c>
      <c r="F31" s="9" t="s">
        <v>1671</v>
      </c>
      <c r="G31" s="138" t="s">
        <v>1647</v>
      </c>
    </row>
    <row r="32" ht="23.25" customHeight="1">
      <c r="A32" s="13" t="s">
        <v>1673</v>
      </c>
      <c r="B32" s="13" t="s">
        <v>208</v>
      </c>
      <c r="C32" s="9" t="s">
        <v>1675</v>
      </c>
      <c r="D32" s="137" t="s">
        <v>1678</v>
      </c>
      <c r="E32" s="9" t="s">
        <v>1703</v>
      </c>
      <c r="F32" s="9" t="s">
        <v>1704</v>
      </c>
      <c r="G32" s="138" t="s">
        <v>1705</v>
      </c>
    </row>
    <row r="33" ht="15.0" customHeight="1">
      <c r="A33" s="13" t="s">
        <v>1706</v>
      </c>
      <c r="B33" s="13" t="s">
        <v>208</v>
      </c>
      <c r="C33" s="9" t="s">
        <v>1707</v>
      </c>
      <c r="D33" s="137" t="s">
        <v>1708</v>
      </c>
      <c r="E33" s="9" t="s">
        <v>1709</v>
      </c>
      <c r="F33" s="9" t="s">
        <v>1710</v>
      </c>
      <c r="G33" s="138" t="s">
        <v>1705</v>
      </c>
    </row>
    <row r="34" ht="23.25" customHeight="1">
      <c r="A34" s="13" t="s">
        <v>1711</v>
      </c>
      <c r="B34" s="13" t="s">
        <v>1712</v>
      </c>
      <c r="C34" s="9" t="s">
        <v>1713</v>
      </c>
      <c r="D34" s="137" t="s">
        <v>1714</v>
      </c>
      <c r="E34" s="9" t="s">
        <v>1715</v>
      </c>
      <c r="F34" s="9" t="s">
        <v>1716</v>
      </c>
      <c r="G34" s="138" t="s">
        <v>1717</v>
      </c>
    </row>
    <row r="35" ht="23.25" customHeight="1">
      <c r="A35" s="13" t="s">
        <v>1002</v>
      </c>
      <c r="B35" s="13" t="s">
        <v>1718</v>
      </c>
      <c r="C35" s="9" t="s">
        <v>1719</v>
      </c>
      <c r="D35" s="137" t="s">
        <v>1720</v>
      </c>
      <c r="E35" s="9" t="s">
        <v>1721</v>
      </c>
      <c r="F35" s="9" t="s">
        <v>1722</v>
      </c>
      <c r="G35" s="138" t="s">
        <v>1723</v>
      </c>
    </row>
    <row r="36" ht="23.25" customHeight="1">
      <c r="A36" s="13" t="s">
        <v>1013</v>
      </c>
      <c r="B36" s="13" t="s">
        <v>1718</v>
      </c>
      <c r="C36" s="9" t="s">
        <v>1724</v>
      </c>
      <c r="D36" s="137" t="s">
        <v>1725</v>
      </c>
      <c r="E36" s="9" t="s">
        <v>1726</v>
      </c>
      <c r="F36" s="9" t="s">
        <v>1722</v>
      </c>
      <c r="G36" s="138" t="s">
        <v>1727</v>
      </c>
    </row>
    <row r="37" ht="15.0" customHeight="1">
      <c r="A37" s="13" t="s">
        <v>1018</v>
      </c>
      <c r="B37" s="13" t="s">
        <v>1718</v>
      </c>
      <c r="C37" s="9" t="s">
        <v>1728</v>
      </c>
      <c r="D37" s="137" t="s">
        <v>1729</v>
      </c>
      <c r="E37" s="9" t="s">
        <v>1730</v>
      </c>
      <c r="F37" s="9" t="s">
        <v>1731</v>
      </c>
      <c r="G37" s="138" t="s">
        <v>1723</v>
      </c>
    </row>
    <row r="38" ht="23.25" customHeight="1">
      <c r="A38" s="13" t="s">
        <v>1027</v>
      </c>
      <c r="B38" s="13" t="s">
        <v>1718</v>
      </c>
      <c r="C38" s="9" t="s">
        <v>1732</v>
      </c>
      <c r="D38" s="137" t="s">
        <v>1733</v>
      </c>
      <c r="E38" s="9" t="s">
        <v>1734</v>
      </c>
      <c r="F38" s="9" t="s">
        <v>1735</v>
      </c>
      <c r="G38" s="138" t="s">
        <v>1727</v>
      </c>
    </row>
    <row r="39" ht="15.0" customHeight="1">
      <c r="A39" s="13" t="s">
        <v>933</v>
      </c>
      <c r="B39" s="13" t="s">
        <v>156</v>
      </c>
      <c r="C39" s="9" t="s">
        <v>1736</v>
      </c>
      <c r="D39" s="137" t="s">
        <v>1737</v>
      </c>
      <c r="E39" s="9" t="s">
        <v>1738</v>
      </c>
      <c r="F39" s="9" t="s">
        <v>1739</v>
      </c>
      <c r="G39" s="138" t="s">
        <v>1740</v>
      </c>
    </row>
    <row r="40" ht="15.0" customHeight="1">
      <c r="A40" s="13" t="s">
        <v>1741</v>
      </c>
      <c r="B40" s="13" t="s">
        <v>1742</v>
      </c>
      <c r="C40" s="9" t="s">
        <v>1743</v>
      </c>
      <c r="D40" s="137" t="s">
        <v>1744</v>
      </c>
      <c r="E40" s="9" t="s">
        <v>1745</v>
      </c>
      <c r="F40" s="9" t="s">
        <v>1746</v>
      </c>
      <c r="G40" s="138" t="s">
        <v>1747</v>
      </c>
    </row>
    <row r="41" ht="15.0" customHeight="1">
      <c r="A41" s="13" t="s">
        <v>1748</v>
      </c>
      <c r="B41" s="13" t="s">
        <v>1742</v>
      </c>
      <c r="C41" s="9" t="s">
        <v>1749</v>
      </c>
      <c r="D41" s="137" t="s">
        <v>1750</v>
      </c>
      <c r="E41" s="9" t="s">
        <v>1751</v>
      </c>
      <c r="F41" s="9" t="s">
        <v>1752</v>
      </c>
      <c r="G41" s="138" t="s">
        <v>1753</v>
      </c>
    </row>
    <row r="42" ht="23.25" customHeight="1">
      <c r="A42" s="13" t="s">
        <v>1754</v>
      </c>
      <c r="B42" s="13" t="s">
        <v>1742</v>
      </c>
      <c r="C42" s="9" t="s">
        <v>1755</v>
      </c>
      <c r="D42" s="137" t="s">
        <v>1756</v>
      </c>
      <c r="E42" s="9" t="s">
        <v>1757</v>
      </c>
      <c r="F42" s="9" t="s">
        <v>1746</v>
      </c>
      <c r="G42" s="138" t="s">
        <v>1753</v>
      </c>
    </row>
    <row r="43" ht="23.25" customHeight="1">
      <c r="A43" s="13" t="s">
        <v>1053</v>
      </c>
      <c r="B43" s="13" t="s">
        <v>1742</v>
      </c>
      <c r="C43" s="9" t="s">
        <v>1758</v>
      </c>
      <c r="D43" s="137" t="s">
        <v>1759</v>
      </c>
      <c r="E43" s="9" t="s">
        <v>1760</v>
      </c>
      <c r="F43" s="9" t="s">
        <v>1761</v>
      </c>
      <c r="G43" s="138" t="s">
        <v>1762</v>
      </c>
    </row>
    <row r="44" ht="23.25" customHeight="1">
      <c r="A44" s="13" t="s">
        <v>1763</v>
      </c>
      <c r="B44" s="13" t="s">
        <v>1742</v>
      </c>
      <c r="C44" s="9" t="s">
        <v>1764</v>
      </c>
      <c r="D44" s="137" t="s">
        <v>1765</v>
      </c>
      <c r="E44" s="9" t="s">
        <v>1766</v>
      </c>
      <c r="F44" s="9" t="s">
        <v>1746</v>
      </c>
      <c r="G44" s="138" t="s">
        <v>1767</v>
      </c>
    </row>
    <row r="45" ht="15.0" customHeight="1">
      <c r="A45" s="13" t="s">
        <v>1768</v>
      </c>
      <c r="B45" s="13" t="s">
        <v>1742</v>
      </c>
      <c r="C45" s="9" t="s">
        <v>1769</v>
      </c>
      <c r="D45" s="137" t="s">
        <v>1770</v>
      </c>
      <c r="E45" s="9" t="s">
        <v>1773</v>
      </c>
      <c r="F45" s="9" t="s">
        <v>1774</v>
      </c>
      <c r="G45" s="138" t="s">
        <v>1767</v>
      </c>
    </row>
    <row r="46" ht="15.0" customHeight="1">
      <c r="A46" s="13" t="s">
        <v>1607</v>
      </c>
      <c r="B46" s="13" t="s">
        <v>1441</v>
      </c>
      <c r="C46" s="9" t="s">
        <v>1775</v>
      </c>
      <c r="D46" s="137" t="s">
        <v>1776</v>
      </c>
      <c r="E46" s="9" t="s">
        <v>1778</v>
      </c>
      <c r="F46" s="9" t="s">
        <v>1779</v>
      </c>
      <c r="G46" s="138" t="s">
        <v>1780</v>
      </c>
    </row>
    <row r="47" ht="23.25" customHeight="1">
      <c r="A47" s="13" t="s">
        <v>1781</v>
      </c>
      <c r="B47" s="13" t="s">
        <v>1782</v>
      </c>
      <c r="C47" s="9" t="s">
        <v>1783</v>
      </c>
      <c r="D47" s="137" t="s">
        <v>1784</v>
      </c>
      <c r="E47" s="9" t="s">
        <v>1785</v>
      </c>
      <c r="F47" s="9" t="s">
        <v>1786</v>
      </c>
      <c r="G47" s="138" t="s">
        <v>1787</v>
      </c>
    </row>
    <row r="48" ht="15.0" customHeight="1">
      <c r="A48" s="13" t="s">
        <v>1788</v>
      </c>
      <c r="B48" s="13" t="s">
        <v>1712</v>
      </c>
      <c r="C48" s="9" t="s">
        <v>1789</v>
      </c>
      <c r="D48" s="137" t="s">
        <v>1790</v>
      </c>
      <c r="E48" s="9" t="s">
        <v>1791</v>
      </c>
      <c r="F48" s="9" t="s">
        <v>1792</v>
      </c>
      <c r="G48" s="138" t="s">
        <v>1793</v>
      </c>
    </row>
    <row r="49" ht="23.25" customHeight="1">
      <c r="A49" s="13" t="s">
        <v>1794</v>
      </c>
      <c r="B49" s="13" t="s">
        <v>1742</v>
      </c>
      <c r="C49" s="9" t="s">
        <v>1795</v>
      </c>
      <c r="D49" s="137" t="s">
        <v>1796</v>
      </c>
      <c r="E49" s="9" t="s">
        <v>1797</v>
      </c>
      <c r="F49" s="9" t="s">
        <v>1746</v>
      </c>
      <c r="G49" s="138" t="s">
        <v>1793</v>
      </c>
    </row>
    <row r="50" ht="15.75" customHeight="1">
      <c r="A50" s="139" t="s">
        <v>1697</v>
      </c>
      <c r="B50" s="139" t="s">
        <v>1799</v>
      </c>
      <c r="C50" s="139" t="s">
        <v>1800</v>
      </c>
      <c r="D50" s="140" t="s">
        <v>1801</v>
      </c>
      <c r="E50" s="139" t="s">
        <v>1802</v>
      </c>
      <c r="F50" s="139" t="s">
        <v>1803</v>
      </c>
      <c r="G50" s="138" t="s">
        <v>1804</v>
      </c>
    </row>
    <row r="51" ht="15.0" customHeight="1">
      <c r="A51" s="139" t="s">
        <v>1805</v>
      </c>
      <c r="B51" s="139" t="s">
        <v>1196</v>
      </c>
      <c r="C51" s="139" t="s">
        <v>1806</v>
      </c>
      <c r="D51" s="141" t="s">
        <v>1807</v>
      </c>
      <c r="E51" s="139" t="s">
        <v>1808</v>
      </c>
      <c r="F51" s="139" t="s">
        <v>1809</v>
      </c>
      <c r="G51" s="138" t="s">
        <v>1810</v>
      </c>
    </row>
    <row r="52" ht="15.75" customHeight="1">
      <c r="A52" s="139" t="s">
        <v>1811</v>
      </c>
      <c r="B52" s="139" t="s">
        <v>1196</v>
      </c>
      <c r="C52" s="139" t="s">
        <v>1812</v>
      </c>
      <c r="D52" s="141" t="s">
        <v>1814</v>
      </c>
      <c r="E52" s="139" t="s">
        <v>1816</v>
      </c>
      <c r="F52" s="139" t="s">
        <v>1817</v>
      </c>
      <c r="G52" s="138" t="s">
        <v>1810</v>
      </c>
    </row>
    <row r="53" ht="15.75" customHeight="1">
      <c r="A53" s="139" t="s">
        <v>1818</v>
      </c>
      <c r="B53" s="139" t="s">
        <v>1819</v>
      </c>
      <c r="C53" s="139" t="s">
        <v>1820</v>
      </c>
      <c r="D53" s="141" t="s">
        <v>1821</v>
      </c>
      <c r="E53" s="139" t="s">
        <v>1822</v>
      </c>
      <c r="F53" s="139" t="s">
        <v>1823</v>
      </c>
      <c r="G53" s="138" t="s">
        <v>1824</v>
      </c>
    </row>
    <row r="54" ht="15.75" customHeight="1">
      <c r="A54" s="139" t="s">
        <v>1825</v>
      </c>
      <c r="B54" s="139" t="s">
        <v>1819</v>
      </c>
      <c r="C54" s="139" t="s">
        <v>1826</v>
      </c>
      <c r="D54" s="141" t="s">
        <v>1827</v>
      </c>
      <c r="E54" s="139" t="s">
        <v>1828</v>
      </c>
      <c r="F54" s="139" t="s">
        <v>1829</v>
      </c>
      <c r="G54" s="138" t="s">
        <v>1830</v>
      </c>
    </row>
    <row r="55" ht="15.75" customHeight="1">
      <c r="A55" s="139" t="s">
        <v>1831</v>
      </c>
      <c r="B55" s="139" t="s">
        <v>1819</v>
      </c>
      <c r="C55" s="139" t="s">
        <v>1832</v>
      </c>
      <c r="D55" s="141" t="s">
        <v>1833</v>
      </c>
      <c r="E55" s="139" t="s">
        <v>1834</v>
      </c>
      <c r="F55" s="139" t="s">
        <v>1835</v>
      </c>
      <c r="G55" s="138" t="s">
        <v>1836</v>
      </c>
    </row>
    <row r="56" ht="15.75" customHeight="1">
      <c r="A56" s="139" t="s">
        <v>1837</v>
      </c>
      <c r="B56" s="139" t="s">
        <v>1444</v>
      </c>
      <c r="C56" s="139" t="s">
        <v>1838</v>
      </c>
      <c r="D56" s="141" t="s">
        <v>1839</v>
      </c>
      <c r="E56" s="139" t="s">
        <v>1840</v>
      </c>
      <c r="F56" s="139" t="s">
        <v>1841</v>
      </c>
      <c r="G56" s="138" t="s">
        <v>1842</v>
      </c>
    </row>
    <row r="57" ht="15.75" customHeight="1">
      <c r="A57" s="139" t="s">
        <v>1843</v>
      </c>
      <c r="B57" s="139" t="s">
        <v>1844</v>
      </c>
      <c r="C57" s="139" t="s">
        <v>1845</v>
      </c>
      <c r="D57" s="141" t="s">
        <v>1846</v>
      </c>
      <c r="E57" s="139" t="s">
        <v>1847</v>
      </c>
      <c r="F57" s="139" t="s">
        <v>1848</v>
      </c>
      <c r="G57" s="138" t="s">
        <v>1849</v>
      </c>
    </row>
    <row r="58" ht="15.75" customHeight="1">
      <c r="A58" s="139" t="s">
        <v>1850</v>
      </c>
      <c r="B58" s="139" t="s">
        <v>1851</v>
      </c>
      <c r="C58" s="139" t="s">
        <v>1852</v>
      </c>
      <c r="D58" s="141" t="s">
        <v>1853</v>
      </c>
      <c r="E58" s="139" t="s">
        <v>1854</v>
      </c>
      <c r="F58" s="139" t="s">
        <v>1855</v>
      </c>
      <c r="G58" s="138" t="s">
        <v>1849</v>
      </c>
    </row>
    <row r="59" ht="15.75" customHeight="1">
      <c r="A59" s="139" t="s">
        <v>1856</v>
      </c>
      <c r="B59" s="139" t="s">
        <v>510</v>
      </c>
      <c r="C59" s="139" t="s">
        <v>1857</v>
      </c>
      <c r="D59" s="141" t="s">
        <v>1858</v>
      </c>
      <c r="E59" s="139" t="s">
        <v>1860</v>
      </c>
      <c r="F59" s="139" t="s">
        <v>1861</v>
      </c>
      <c r="G59" s="138" t="s">
        <v>1862</v>
      </c>
    </row>
    <row r="60" ht="15.75" customHeight="1">
      <c r="A60" s="139" t="s">
        <v>1863</v>
      </c>
      <c r="B60" s="139" t="s">
        <v>510</v>
      </c>
      <c r="C60" s="139" t="s">
        <v>1864</v>
      </c>
      <c r="D60" s="141" t="s">
        <v>1865</v>
      </c>
      <c r="E60" s="139" t="s">
        <v>1867</v>
      </c>
      <c r="F60" s="139" t="s">
        <v>1868</v>
      </c>
      <c r="G60" s="138" t="s">
        <v>1862</v>
      </c>
    </row>
    <row r="61" ht="15.75" customHeight="1">
      <c r="A61" s="139" t="s">
        <v>1869</v>
      </c>
      <c r="B61" s="139" t="s">
        <v>510</v>
      </c>
      <c r="C61" s="139" t="s">
        <v>1870</v>
      </c>
      <c r="D61" s="141" t="s">
        <v>1871</v>
      </c>
      <c r="E61" s="139" t="s">
        <v>1872</v>
      </c>
      <c r="F61" s="139" t="s">
        <v>1873</v>
      </c>
      <c r="G61" s="138" t="s">
        <v>1862</v>
      </c>
    </row>
    <row r="62" ht="15.75" customHeight="1">
      <c r="A62" s="139" t="s">
        <v>1874</v>
      </c>
      <c r="B62" s="139" t="s">
        <v>1875</v>
      </c>
      <c r="C62" s="139" t="s">
        <v>1876</v>
      </c>
      <c r="D62" s="141" t="s">
        <v>1877</v>
      </c>
      <c r="E62" s="139" t="s">
        <v>1878</v>
      </c>
      <c r="F62" s="139" t="s">
        <v>1879</v>
      </c>
      <c r="G62" s="138" t="s">
        <v>1880</v>
      </c>
    </row>
    <row r="63" ht="15.75" customHeight="1">
      <c r="A63" s="139" t="s">
        <v>1881</v>
      </c>
      <c r="B63" s="139" t="s">
        <v>1875</v>
      </c>
      <c r="C63" s="139" t="s">
        <v>1882</v>
      </c>
      <c r="D63" s="141" t="s">
        <v>1883</v>
      </c>
      <c r="E63" s="139" t="s">
        <v>1884</v>
      </c>
      <c r="F63" s="139" t="s">
        <v>1885</v>
      </c>
      <c r="G63" s="138" t="s">
        <v>1880</v>
      </c>
    </row>
    <row r="64" ht="15.75" customHeight="1">
      <c r="A64" s="139" t="s">
        <v>1886</v>
      </c>
      <c r="B64" s="139" t="s">
        <v>353</v>
      </c>
      <c r="C64" s="139" t="s">
        <v>1887</v>
      </c>
      <c r="D64" s="141" t="s">
        <v>1888</v>
      </c>
      <c r="E64" s="139" t="s">
        <v>1889</v>
      </c>
      <c r="F64" s="139" t="s">
        <v>1890</v>
      </c>
      <c r="G64" s="138" t="s">
        <v>1880</v>
      </c>
    </row>
    <row r="65" ht="15.75" customHeight="1">
      <c r="A65" s="139" t="s">
        <v>1891</v>
      </c>
      <c r="B65" s="139" t="s">
        <v>1892</v>
      </c>
      <c r="C65" s="139" t="s">
        <v>1893</v>
      </c>
      <c r="D65" s="141" t="s">
        <v>1894</v>
      </c>
      <c r="E65" s="139" t="s">
        <v>1895</v>
      </c>
      <c r="F65" s="139" t="s">
        <v>1896</v>
      </c>
      <c r="G65" s="138" t="s">
        <v>1897</v>
      </c>
    </row>
    <row r="66" ht="15.75" customHeight="1">
      <c r="A66" s="139" t="s">
        <v>1898</v>
      </c>
      <c r="B66" s="139" t="s">
        <v>1899</v>
      </c>
      <c r="C66" s="139" t="s">
        <v>1900</v>
      </c>
      <c r="D66" s="141" t="s">
        <v>1901</v>
      </c>
      <c r="E66" s="139" t="s">
        <v>1903</v>
      </c>
      <c r="F66" s="139" t="s">
        <v>1613</v>
      </c>
      <c r="G66" s="138" t="s">
        <v>1904</v>
      </c>
    </row>
    <row r="67" ht="15.75" customHeight="1">
      <c r="A67" s="139" t="s">
        <v>1905</v>
      </c>
      <c r="B67" s="139" t="s">
        <v>1899</v>
      </c>
      <c r="C67" s="139" t="s">
        <v>1906</v>
      </c>
      <c r="D67" s="141" t="s">
        <v>1907</v>
      </c>
      <c r="E67" s="139" t="s">
        <v>1908</v>
      </c>
      <c r="F67" s="139" t="s">
        <v>1909</v>
      </c>
      <c r="G67" s="138" t="s">
        <v>1904</v>
      </c>
    </row>
    <row r="68" ht="15.75" customHeight="1">
      <c r="A68" s="139" t="s">
        <v>1221</v>
      </c>
      <c r="B68" s="139" t="s">
        <v>542</v>
      </c>
      <c r="C68" s="139" t="s">
        <v>1910</v>
      </c>
      <c r="D68" s="141" t="s">
        <v>1911</v>
      </c>
      <c r="E68" s="139" t="s">
        <v>1913</v>
      </c>
      <c r="F68" s="139" t="s">
        <v>1914</v>
      </c>
      <c r="G68" s="138" t="s">
        <v>1915</v>
      </c>
    </row>
    <row r="69" ht="15.75" customHeight="1">
      <c r="A69" s="139" t="s">
        <v>1916</v>
      </c>
      <c r="B69" s="139" t="s">
        <v>1917</v>
      </c>
      <c r="C69" s="139" t="s">
        <v>1918</v>
      </c>
      <c r="D69" s="141" t="s">
        <v>1919</v>
      </c>
      <c r="E69" s="139" t="s">
        <v>1920</v>
      </c>
      <c r="F69" s="139" t="s">
        <v>1921</v>
      </c>
      <c r="G69" s="138" t="s">
        <v>1915</v>
      </c>
    </row>
    <row r="70" ht="15.75" customHeight="1">
      <c r="A70" s="139" t="s">
        <v>1922</v>
      </c>
      <c r="B70" s="139" t="s">
        <v>1923</v>
      </c>
      <c r="C70" s="139" t="s">
        <v>1924</v>
      </c>
      <c r="D70" s="141" t="s">
        <v>1925</v>
      </c>
      <c r="E70" s="139" t="s">
        <v>1927</v>
      </c>
      <c r="F70" s="139" t="s">
        <v>1928</v>
      </c>
      <c r="G70" s="138" t="s">
        <v>1929</v>
      </c>
    </row>
    <row r="71" ht="15.75" customHeight="1">
      <c r="A71" s="139" t="s">
        <v>1930</v>
      </c>
      <c r="B71" s="139" t="s">
        <v>1931</v>
      </c>
      <c r="C71" s="139" t="s">
        <v>1932</v>
      </c>
      <c r="D71" s="141" t="s">
        <v>1933</v>
      </c>
      <c r="E71" s="139" t="s">
        <v>1936</v>
      </c>
      <c r="F71" s="139" t="s">
        <v>1937</v>
      </c>
      <c r="G71" s="138" t="s">
        <v>1938</v>
      </c>
    </row>
    <row r="72" ht="15.75" customHeight="1">
      <c r="A72" s="139" t="s">
        <v>1939</v>
      </c>
      <c r="B72" s="139" t="s">
        <v>1940</v>
      </c>
      <c r="C72" s="139" t="s">
        <v>1941</v>
      </c>
      <c r="D72" s="141" t="s">
        <v>1942</v>
      </c>
      <c r="E72" s="139" t="s">
        <v>1944</v>
      </c>
      <c r="F72" s="139" t="s">
        <v>1945</v>
      </c>
      <c r="G72" s="138" t="s">
        <v>1929</v>
      </c>
    </row>
    <row r="73" ht="15.75" customHeight="1">
      <c r="A73" s="139" t="s">
        <v>1946</v>
      </c>
      <c r="B73" s="139" t="s">
        <v>1940</v>
      </c>
      <c r="C73" s="139" t="s">
        <v>1947</v>
      </c>
      <c r="D73" s="141" t="s">
        <v>1948</v>
      </c>
      <c r="E73" s="139" t="s">
        <v>1949</v>
      </c>
      <c r="F73" s="139" t="s">
        <v>1945</v>
      </c>
      <c r="G73" s="138" t="s">
        <v>1929</v>
      </c>
    </row>
    <row r="74" ht="15.75" customHeight="1">
      <c r="A74" s="139" t="s">
        <v>1950</v>
      </c>
      <c r="B74" s="139" t="s">
        <v>1940</v>
      </c>
      <c r="C74" s="139" t="s">
        <v>1951</v>
      </c>
      <c r="D74" s="141" t="s">
        <v>1952</v>
      </c>
      <c r="E74" s="139" t="s">
        <v>1953</v>
      </c>
      <c r="F74" s="139" t="s">
        <v>1954</v>
      </c>
      <c r="G74" s="138" t="s">
        <v>1929</v>
      </c>
    </row>
    <row r="75" ht="15.75" customHeight="1">
      <c r="A75" s="139" t="s">
        <v>1955</v>
      </c>
      <c r="B75" s="139" t="s">
        <v>73</v>
      </c>
      <c r="C75" s="139" t="s">
        <v>1956</v>
      </c>
      <c r="D75" s="141" t="s">
        <v>1957</v>
      </c>
      <c r="E75" s="139" t="s">
        <v>1958</v>
      </c>
      <c r="F75" s="139" t="s">
        <v>1613</v>
      </c>
      <c r="G75" s="138" t="s">
        <v>1959</v>
      </c>
    </row>
    <row r="76" ht="15.75" customHeight="1">
      <c r="A76" s="139" t="s">
        <v>1960</v>
      </c>
      <c r="B76" s="139" t="s">
        <v>73</v>
      </c>
      <c r="C76" s="139" t="s">
        <v>1961</v>
      </c>
      <c r="D76" s="141" t="s">
        <v>1962</v>
      </c>
      <c r="E76" s="139" t="s">
        <v>1964</v>
      </c>
      <c r="F76" s="139" t="s">
        <v>1965</v>
      </c>
      <c r="G76" s="138" t="s">
        <v>1959</v>
      </c>
    </row>
    <row r="77" ht="15.75" customHeight="1">
      <c r="A77" s="139" t="s">
        <v>1966</v>
      </c>
      <c r="B77" s="139" t="s">
        <v>1472</v>
      </c>
      <c r="C77" s="139" t="s">
        <v>1967</v>
      </c>
      <c r="D77" s="141" t="s">
        <v>1968</v>
      </c>
      <c r="E77" s="139" t="s">
        <v>1969</v>
      </c>
      <c r="F77" s="139" t="s">
        <v>1970</v>
      </c>
      <c r="G77" s="138" t="s">
        <v>1971</v>
      </c>
    </row>
    <row r="78" ht="15.75" customHeight="1">
      <c r="A78" s="139" t="s">
        <v>1972</v>
      </c>
      <c r="B78" s="139" t="s">
        <v>1472</v>
      </c>
      <c r="C78" s="139" t="s">
        <v>1973</v>
      </c>
      <c r="D78" s="141" t="s">
        <v>1974</v>
      </c>
      <c r="E78" s="139" t="s">
        <v>1975</v>
      </c>
      <c r="F78" s="139" t="s">
        <v>1976</v>
      </c>
      <c r="G78" s="138" t="s">
        <v>1977</v>
      </c>
    </row>
    <row r="79" ht="15.75" customHeight="1">
      <c r="A79" s="139" t="s">
        <v>959</v>
      </c>
      <c r="B79" s="139" t="s">
        <v>1472</v>
      </c>
      <c r="C79" s="139" t="s">
        <v>1978</v>
      </c>
      <c r="D79" s="141" t="s">
        <v>1980</v>
      </c>
      <c r="E79" s="139" t="s">
        <v>1982</v>
      </c>
      <c r="F79" s="139" t="s">
        <v>1488</v>
      </c>
      <c r="G79" s="138" t="s">
        <v>1971</v>
      </c>
    </row>
    <row r="80" ht="15.75" customHeight="1">
      <c r="A80" s="139" t="s">
        <v>992</v>
      </c>
      <c r="B80" s="139" t="s">
        <v>1472</v>
      </c>
      <c r="C80" s="139" t="s">
        <v>1984</v>
      </c>
      <c r="D80" s="141" t="s">
        <v>1985</v>
      </c>
      <c r="E80" s="139" t="s">
        <v>1988</v>
      </c>
      <c r="F80" s="139" t="s">
        <v>1989</v>
      </c>
      <c r="G80" s="138" t="s">
        <v>1971</v>
      </c>
    </row>
    <row r="81" ht="15.75" customHeight="1">
      <c r="A81" s="139" t="s">
        <v>1991</v>
      </c>
      <c r="B81" s="139" t="s">
        <v>1992</v>
      </c>
      <c r="C81" s="139" t="s">
        <v>1993</v>
      </c>
      <c r="D81" s="141" t="s">
        <v>1994</v>
      </c>
      <c r="E81" s="139" t="s">
        <v>1997</v>
      </c>
      <c r="F81" s="139" t="s">
        <v>1998</v>
      </c>
      <c r="G81" s="138" t="s">
        <v>1999</v>
      </c>
    </row>
    <row r="82" ht="15.75" customHeight="1">
      <c r="A82" s="139" t="s">
        <v>155</v>
      </c>
      <c r="B82" s="139" t="s">
        <v>208</v>
      </c>
      <c r="C82" s="139" t="s">
        <v>2001</v>
      </c>
      <c r="D82" s="141" t="s">
        <v>2003</v>
      </c>
      <c r="E82" s="139" t="s">
        <v>2004</v>
      </c>
      <c r="F82" s="139" t="s">
        <v>2005</v>
      </c>
      <c r="G82" s="138" t="s">
        <v>1567</v>
      </c>
    </row>
    <row r="83" ht="15.75" customHeight="1">
      <c r="A83" s="139" t="s">
        <v>343</v>
      </c>
      <c r="B83" s="139" t="s">
        <v>208</v>
      </c>
      <c r="C83" s="139" t="s">
        <v>2006</v>
      </c>
      <c r="D83" s="141" t="s">
        <v>2007</v>
      </c>
      <c r="E83" s="139" t="s">
        <v>2008</v>
      </c>
      <c r="F83" s="139" t="s">
        <v>2010</v>
      </c>
      <c r="G83" s="138" t="s">
        <v>1567</v>
      </c>
    </row>
    <row r="84" ht="15.75" customHeight="1">
      <c r="A84" s="139" t="s">
        <v>523</v>
      </c>
      <c r="B84" s="139" t="s">
        <v>208</v>
      </c>
      <c r="C84" s="139" t="s">
        <v>2011</v>
      </c>
      <c r="D84" s="141" t="s">
        <v>532</v>
      </c>
      <c r="E84" s="139" t="s">
        <v>2012</v>
      </c>
      <c r="F84" s="139" t="s">
        <v>2013</v>
      </c>
      <c r="G84" s="138" t="s">
        <v>1567</v>
      </c>
    </row>
    <row r="85" ht="15.75" customHeight="1">
      <c r="A85" s="139" t="s">
        <v>544</v>
      </c>
      <c r="B85" s="139" t="s">
        <v>208</v>
      </c>
      <c r="C85" s="139" t="s">
        <v>2014</v>
      </c>
      <c r="D85" s="141" t="s">
        <v>547</v>
      </c>
      <c r="E85" s="139" t="s">
        <v>2016</v>
      </c>
      <c r="F85" s="139" t="s">
        <v>2017</v>
      </c>
      <c r="G85" s="138" t="s">
        <v>1567</v>
      </c>
    </row>
    <row r="86" ht="15.75" customHeight="1">
      <c r="A86" s="139" t="s">
        <v>561</v>
      </c>
      <c r="B86" s="139" t="s">
        <v>208</v>
      </c>
      <c r="C86" s="139" t="s">
        <v>2019</v>
      </c>
      <c r="D86" s="141" t="s">
        <v>567</v>
      </c>
      <c r="E86" s="139" t="s">
        <v>2020</v>
      </c>
      <c r="F86" s="139" t="s">
        <v>2010</v>
      </c>
      <c r="G86" s="138" t="s">
        <v>1567</v>
      </c>
    </row>
    <row r="87" ht="15.75" customHeight="1"/>
    <row r="88" ht="15.75" customHeight="1">
      <c r="A88" s="10" t="s">
        <v>2021</v>
      </c>
      <c r="C88" s="142" t="s">
        <v>2022</v>
      </c>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5"/>
    <hyperlink r:id="rId2" ref="D6"/>
    <hyperlink r:id="rId3" ref="D7"/>
    <hyperlink r:id="rId4" ref="D8"/>
    <hyperlink r:id="rId5" ref="D9"/>
    <hyperlink r:id="rId6" ref="D10"/>
    <hyperlink r:id="rId7" ref="D11"/>
    <hyperlink r:id="rId8" ref="D12"/>
    <hyperlink r:id="rId9" ref="D13"/>
    <hyperlink r:id="rId10" ref="D14"/>
    <hyperlink r:id="rId11" ref="D15"/>
    <hyperlink r:id="rId12" ref="D16"/>
    <hyperlink r:id="rId13" ref="D17"/>
    <hyperlink r:id="rId14" ref="D18"/>
    <hyperlink r:id="rId15" ref="D19"/>
    <hyperlink r:id="rId16" ref="D20"/>
    <hyperlink r:id="rId17" ref="D21"/>
    <hyperlink r:id="rId18" ref="D22"/>
    <hyperlink r:id="rId19" ref="D23"/>
    <hyperlink r:id="rId20" ref="D24"/>
    <hyperlink r:id="rId21" ref="D25"/>
    <hyperlink r:id="rId22" ref="D26"/>
    <hyperlink r:id="rId23" ref="D27"/>
    <hyperlink r:id="rId24" ref="D28"/>
    <hyperlink r:id="rId25" ref="D29"/>
    <hyperlink r:id="rId26" ref="D30"/>
    <hyperlink r:id="rId27" ref="D31"/>
    <hyperlink r:id="rId28" ref="D32"/>
    <hyperlink r:id="rId29" ref="D33"/>
    <hyperlink r:id="rId30" ref="D34"/>
    <hyperlink r:id="rId31" ref="D35"/>
    <hyperlink r:id="rId32" ref="D36"/>
    <hyperlink r:id="rId33" ref="D37"/>
    <hyperlink r:id="rId34" ref="D38"/>
    <hyperlink r:id="rId35" ref="D39"/>
    <hyperlink r:id="rId36" ref="D40"/>
    <hyperlink r:id="rId37" ref="D41"/>
    <hyperlink r:id="rId38" ref="D42"/>
    <hyperlink r:id="rId39" ref="D43"/>
    <hyperlink r:id="rId40" ref="D44"/>
    <hyperlink r:id="rId41" ref="D45"/>
    <hyperlink r:id="rId42" ref="D46"/>
    <hyperlink r:id="rId43" ref="D47"/>
    <hyperlink r:id="rId44" ref="D48"/>
    <hyperlink r:id="rId45" ref="D49"/>
    <hyperlink r:id="rId46" ref="D51"/>
    <hyperlink r:id="rId47" ref="D52"/>
    <hyperlink r:id="rId48" ref="D53"/>
    <hyperlink r:id="rId49" ref="D54"/>
    <hyperlink r:id="rId50" ref="D55"/>
    <hyperlink r:id="rId51" ref="D56"/>
    <hyperlink r:id="rId52" ref="D57"/>
    <hyperlink r:id="rId53" ref="D58"/>
    <hyperlink r:id="rId54" ref="D59"/>
    <hyperlink r:id="rId55" ref="D60"/>
    <hyperlink r:id="rId56" ref="D61"/>
    <hyperlink r:id="rId57" ref="D62"/>
    <hyperlink r:id="rId58" ref="D63"/>
    <hyperlink r:id="rId59" ref="D64"/>
    <hyperlink r:id="rId60" ref="D65"/>
    <hyperlink r:id="rId61" ref="D66"/>
    <hyperlink r:id="rId62" ref="D67"/>
    <hyperlink r:id="rId63" ref="D68"/>
    <hyperlink r:id="rId64" ref="D69"/>
    <hyperlink r:id="rId65" ref="D70"/>
    <hyperlink r:id="rId66" ref="D71"/>
    <hyperlink r:id="rId67" ref="D72"/>
    <hyperlink r:id="rId68" ref="D73"/>
    <hyperlink r:id="rId69" ref="D74"/>
    <hyperlink r:id="rId70" ref="D75"/>
    <hyperlink r:id="rId71" ref="D76"/>
    <hyperlink r:id="rId72" ref="D77"/>
    <hyperlink r:id="rId73" ref="D78"/>
    <hyperlink r:id="rId74" ref="D79"/>
    <hyperlink r:id="rId75" ref="D80"/>
    <hyperlink r:id="rId76" ref="D81"/>
  </hyperlinks>
  <printOptions/>
  <pageMargins bottom="1.0" footer="0.0" header="0.0" left="0.75" right="0.75" top="1.0"/>
  <pageSetup paperSize="9" orientation="portrait"/>
  <drawing r:id="rId7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0"/>
    <col customWidth="1" min="2" max="2" width="22.0"/>
    <col customWidth="1" min="3" max="3" width="14.0"/>
    <col customWidth="1" min="4" max="4" width="70.0"/>
    <col customWidth="1" min="5" max="5" width="30.0"/>
    <col customWidth="1" min="6" max="6" width="45.0"/>
    <col customWidth="1" min="7" max="26" width="8.71"/>
  </cols>
  <sheetData>
    <row r="1" ht="17.25" customHeight="1">
      <c r="A1" s="1" t="s">
        <v>1539</v>
      </c>
    </row>
    <row r="2" ht="15.0" customHeight="1">
      <c r="A2" s="2"/>
    </row>
    <row r="4" ht="15.0" customHeight="1">
      <c r="A4" s="12" t="s">
        <v>383</v>
      </c>
      <c r="B4" s="12" t="s">
        <v>1541</v>
      </c>
      <c r="C4" s="12" t="s">
        <v>25</v>
      </c>
      <c r="D4" s="12" t="s">
        <v>1542</v>
      </c>
      <c r="E4" s="12" t="s">
        <v>1543</v>
      </c>
      <c r="F4" s="15" t="s">
        <v>1544</v>
      </c>
    </row>
    <row r="5" ht="23.25" customHeight="1">
      <c r="A5" s="9" t="s">
        <v>1545</v>
      </c>
      <c r="B5" s="9" t="s">
        <v>1546</v>
      </c>
      <c r="C5" s="9" t="s">
        <v>1547</v>
      </c>
      <c r="D5" s="9" t="s">
        <v>1548</v>
      </c>
      <c r="E5" s="9" t="s">
        <v>1549</v>
      </c>
      <c r="F5" s="9" t="s">
        <v>1550</v>
      </c>
    </row>
    <row r="6" ht="23.25" customHeight="1">
      <c r="A6" s="9" t="s">
        <v>1551</v>
      </c>
      <c r="B6" s="9" t="s">
        <v>1552</v>
      </c>
      <c r="C6" s="9" t="s">
        <v>1553</v>
      </c>
      <c r="D6" s="9" t="s">
        <v>1554</v>
      </c>
      <c r="E6" s="9" t="s">
        <v>1555</v>
      </c>
      <c r="F6" s="9" t="s">
        <v>1556</v>
      </c>
    </row>
    <row r="7" ht="15.0" customHeight="1">
      <c r="A7" s="9" t="s">
        <v>1557</v>
      </c>
      <c r="B7" s="9" t="s">
        <v>542</v>
      </c>
      <c r="C7" s="9" t="s">
        <v>1547</v>
      </c>
      <c r="D7" s="9" t="s">
        <v>1558</v>
      </c>
      <c r="E7" s="9" t="s">
        <v>1559</v>
      </c>
      <c r="F7" s="9" t="s">
        <v>1560</v>
      </c>
    </row>
    <row r="8" ht="15.0" customHeight="1">
      <c r="A8" s="9" t="s">
        <v>1561</v>
      </c>
      <c r="B8" s="9" t="s">
        <v>1562</v>
      </c>
      <c r="C8" s="9" t="s">
        <v>1547</v>
      </c>
      <c r="D8" s="9" t="s">
        <v>1563</v>
      </c>
      <c r="E8" s="9" t="s">
        <v>1564</v>
      </c>
      <c r="F8" s="9" t="s">
        <v>1565</v>
      </c>
    </row>
    <row r="9" ht="23.25" customHeight="1">
      <c r="A9" s="9" t="s">
        <v>1566</v>
      </c>
      <c r="B9" s="9" t="s">
        <v>1567</v>
      </c>
      <c r="C9" s="9" t="s">
        <v>1553</v>
      </c>
      <c r="D9" s="9" t="s">
        <v>1568</v>
      </c>
      <c r="E9" s="9" t="s">
        <v>1569</v>
      </c>
      <c r="F9" s="9" t="s">
        <v>1570</v>
      </c>
    </row>
    <row r="10" ht="15.0" customHeight="1">
      <c r="A10" s="9" t="s">
        <v>1571</v>
      </c>
      <c r="B10" s="9" t="s">
        <v>1573</v>
      </c>
      <c r="C10" s="9" t="s">
        <v>1553</v>
      </c>
      <c r="D10" s="9" t="s">
        <v>1575</v>
      </c>
      <c r="E10" s="9" t="s">
        <v>1576</v>
      </c>
      <c r="F10" s="9" t="s">
        <v>988</v>
      </c>
    </row>
    <row r="11" ht="23.25" customHeight="1">
      <c r="A11" s="9" t="s">
        <v>1577</v>
      </c>
      <c r="B11" s="9" t="s">
        <v>1579</v>
      </c>
      <c r="C11" s="9" t="s">
        <v>1547</v>
      </c>
      <c r="D11" s="9" t="s">
        <v>1581</v>
      </c>
      <c r="E11" s="9" t="s">
        <v>1582</v>
      </c>
      <c r="F11" s="9" t="s">
        <v>1583</v>
      </c>
    </row>
    <row r="12" ht="23.25" customHeight="1">
      <c r="A12" s="9" t="s">
        <v>1584</v>
      </c>
      <c r="B12" s="9" t="s">
        <v>1585</v>
      </c>
      <c r="C12" s="9" t="s">
        <v>1553</v>
      </c>
      <c r="D12" s="9" t="s">
        <v>1586</v>
      </c>
      <c r="E12" s="9" t="s">
        <v>1587</v>
      </c>
      <c r="F12" s="9" t="s">
        <v>1588</v>
      </c>
    </row>
    <row r="13" ht="15.0" customHeight="1">
      <c r="A13" s="9" t="s">
        <v>1589</v>
      </c>
      <c r="B13" s="9" t="s">
        <v>1590</v>
      </c>
      <c r="C13" s="9" t="s">
        <v>1591</v>
      </c>
      <c r="D13" s="9" t="s">
        <v>1592</v>
      </c>
      <c r="E13" s="9" t="s">
        <v>1593</v>
      </c>
      <c r="F13" s="9" t="s">
        <v>1373</v>
      </c>
    </row>
    <row r="14" ht="23.25" customHeight="1">
      <c r="A14" s="9" t="s">
        <v>1594</v>
      </c>
      <c r="B14" s="9" t="s">
        <v>1595</v>
      </c>
      <c r="C14" s="9" t="s">
        <v>1591</v>
      </c>
      <c r="D14" s="9" t="s">
        <v>1596</v>
      </c>
      <c r="E14" s="9" t="s">
        <v>1597</v>
      </c>
      <c r="F14" s="9" t="s">
        <v>1598</v>
      </c>
    </row>
    <row r="15" ht="15.0" customHeight="1">
      <c r="A15" s="9" t="s">
        <v>1599</v>
      </c>
      <c r="B15" s="9" t="s">
        <v>1600</v>
      </c>
      <c r="C15" s="9" t="s">
        <v>1591</v>
      </c>
      <c r="D15" s="9" t="s">
        <v>1601</v>
      </c>
      <c r="E15" s="9" t="s">
        <v>1602</v>
      </c>
      <c r="F15" s="9" t="s">
        <v>1603</v>
      </c>
    </row>
    <row r="16" ht="15.0" customHeight="1">
      <c r="A16" s="9" t="s">
        <v>1604</v>
      </c>
      <c r="B16" s="9" t="s">
        <v>1605</v>
      </c>
      <c r="C16" s="9" t="s">
        <v>1591</v>
      </c>
      <c r="D16" s="9" t="s">
        <v>1606</v>
      </c>
      <c r="E16" s="9" t="s">
        <v>1593</v>
      </c>
      <c r="F16" s="9" t="s">
        <v>1607</v>
      </c>
    </row>
    <row r="17" ht="23.25" customHeight="1">
      <c r="A17" s="9" t="s">
        <v>1608</v>
      </c>
      <c r="B17" s="9" t="s">
        <v>140</v>
      </c>
      <c r="C17" s="9" t="s">
        <v>1547</v>
      </c>
      <c r="D17" s="9" t="s">
        <v>1609</v>
      </c>
      <c r="E17" s="9" t="s">
        <v>1610</v>
      </c>
      <c r="F17" s="9" t="s">
        <v>1611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120.0"/>
    <col customWidth="1" min="3" max="3" width="28.0"/>
    <col customWidth="1" min="4" max="26" width="8.71"/>
  </cols>
  <sheetData>
    <row r="1" ht="17.25" customHeight="1">
      <c r="A1" s="1" t="s">
        <v>1663</v>
      </c>
    </row>
    <row r="2" ht="15.0" customHeight="1">
      <c r="A2" s="2" t="s">
        <v>1664</v>
      </c>
    </row>
    <row r="3">
      <c r="C3" s="10" t="s">
        <v>1665</v>
      </c>
    </row>
    <row r="4" ht="15.0" customHeight="1">
      <c r="A4" s="3" t="s">
        <v>1666</v>
      </c>
      <c r="B4" s="9" t="s">
        <v>1667</v>
      </c>
    </row>
    <row r="5" ht="15.0" customHeight="1">
      <c r="A5" s="3" t="s">
        <v>1668</v>
      </c>
      <c r="B5" s="9" t="s">
        <v>1670</v>
      </c>
    </row>
    <row r="6" ht="15.0" customHeight="1">
      <c r="A6" s="3" t="s">
        <v>1672</v>
      </c>
      <c r="B6" s="9" t="s">
        <v>1674</v>
      </c>
      <c r="C6" s="13" t="s">
        <v>1676</v>
      </c>
    </row>
    <row r="7" ht="23.25" customHeight="1">
      <c r="A7" s="3" t="s">
        <v>1677</v>
      </c>
      <c r="B7" s="9" t="s">
        <v>1679</v>
      </c>
      <c r="C7" s="13" t="s">
        <v>1680</v>
      </c>
    </row>
    <row r="8" ht="15.0" customHeight="1">
      <c r="A8" s="3" t="s">
        <v>1681</v>
      </c>
      <c r="B8" s="9" t="s">
        <v>1682</v>
      </c>
      <c r="C8" s="13" t="s">
        <v>1683</v>
      </c>
    </row>
    <row r="9" ht="15.0" customHeight="1">
      <c r="A9" s="3" t="s">
        <v>1247</v>
      </c>
      <c r="B9" s="9" t="s">
        <v>1684</v>
      </c>
      <c r="C9" s="13" t="s">
        <v>1373</v>
      </c>
    </row>
    <row r="10" ht="15.0" customHeight="1">
      <c r="A10" s="3" t="s">
        <v>1685</v>
      </c>
      <c r="B10" s="9" t="s">
        <v>1686</v>
      </c>
      <c r="C10" s="13" t="s">
        <v>1687</v>
      </c>
    </row>
    <row r="11" ht="23.25" customHeight="1">
      <c r="A11" s="3" t="s">
        <v>1688</v>
      </c>
      <c r="B11" s="9" t="s">
        <v>1689</v>
      </c>
      <c r="C11" s="13" t="s">
        <v>1690</v>
      </c>
    </row>
    <row r="12" ht="15.0" customHeight="1">
      <c r="A12" s="3" t="s">
        <v>1691</v>
      </c>
      <c r="B12" s="9" t="s">
        <v>1692</v>
      </c>
      <c r="C12" s="13" t="s">
        <v>665</v>
      </c>
    </row>
    <row r="13" ht="15.0" customHeight="1">
      <c r="A13" s="3" t="s">
        <v>1693</v>
      </c>
      <c r="B13" s="9" t="s">
        <v>1694</v>
      </c>
      <c r="C13" s="13" t="s">
        <v>1607</v>
      </c>
    </row>
    <row r="14" ht="15.0" customHeight="1">
      <c r="A14" s="3" t="s">
        <v>1695</v>
      </c>
      <c r="B14" s="9" t="s">
        <v>1696</v>
      </c>
      <c r="C14" s="13" t="s">
        <v>1697</v>
      </c>
    </row>
    <row r="15" ht="23.25" customHeight="1">
      <c r="A15" s="3" t="s">
        <v>1698</v>
      </c>
      <c r="B15" s="9" t="s">
        <v>1699</v>
      </c>
      <c r="C15" s="13" t="s">
        <v>1700</v>
      </c>
    </row>
    <row r="16" ht="23.25" customHeight="1">
      <c r="A16" s="3" t="s">
        <v>1701</v>
      </c>
      <c r="B16" s="9" t="s">
        <v>1702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2026-10-06T16:27:50Z</dcterms:created>
  <dc:creator>openpyxl</dc:creator>
</cp:coreProperties>
</file>