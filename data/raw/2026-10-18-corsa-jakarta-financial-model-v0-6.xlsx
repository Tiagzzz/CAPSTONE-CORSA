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iagoreimann/Library/Mobile Documents/com~apple~CloudDocs/Files/HSG/HSG:Semesters/HSG_S6/Corsa/"/>
    </mc:Choice>
  </mc:AlternateContent>
  <xr:revisionPtr revIDLastSave="0" documentId="8_{2EB1AE09-B818-2446-9C49-A7D196BFF591}" xr6:coauthVersionLast="47" xr6:coauthVersionMax="47" xr10:uidLastSave="{00000000-0000-0000-0000-000000000000}"/>
  <bookViews>
    <workbookView xWindow="27420" yWindow="5960" windowWidth="22580" windowHeight="11720" tabRatio="500" firstSheet="16" activeTab="16" xr2:uid="{00000000-000D-0000-FFFF-FFFF00000000}"/>
  </bookViews>
  <sheets>
    <sheet name="README" sheetId="1" r:id="rId1"/>
    <sheet name="Dashboard" sheetId="2" r:id="rId2"/>
    <sheet name="Inputs" sheetId="3" r:id="rId3"/>
    <sheet name="Rent_Data" sheetId="4" r:id="rId4"/>
    <sheet name="Location" sheetId="5" r:id="rId5"/>
    <sheet name="Menu" sheetId="6" r:id="rId6"/>
    <sheet name="Revenue" sheetId="7" r:id="rId7"/>
    <sheet name="Staffing" sheetId="8" r:id="rId8"/>
    <sheet name="OPEX" sheetId="9" r:id="rId9"/>
    <sheet name="CAPEX (Buy)" sheetId="10" r:id="rId10"/>
    <sheet name="CAPEX (Rent)" sheetId="11" r:id="rId11"/>
    <sheet name="Funding" sheetId="12" r:id="rId12"/>
    <sheet name="Scenarios" sheetId="13" r:id="rId13"/>
    <sheet name="PnL_Monthly" sheetId="14" r:id="rId14"/>
    <sheet name="Annual" sheetId="15" r:id="rId15"/>
    <sheet name="Sensitivity" sheetId="16" r:id="rId16"/>
    <sheet name="MonteCarlo" sheetId="17" r:id="rId17"/>
    <sheet name="Sources" sheetId="18" r:id="rId18"/>
    <sheet name="Research_Tracker" sheetId="19" r:id="rId19"/>
    <sheet name="Methods"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39" i="17" l="1"/>
  <c r="G1039" i="17"/>
  <c r="F1039" i="17"/>
  <c r="D1039" i="17"/>
  <c r="C1039" i="17"/>
  <c r="B1039" i="17"/>
  <c r="H1038" i="17"/>
  <c r="G1038" i="17"/>
  <c r="F1038" i="17"/>
  <c r="D1038" i="17"/>
  <c r="C1038" i="17"/>
  <c r="B1038" i="17"/>
  <c r="H1037" i="17"/>
  <c r="G1037" i="17"/>
  <c r="F1037" i="17"/>
  <c r="D1037" i="17"/>
  <c r="C1037" i="17"/>
  <c r="B1037" i="17"/>
  <c r="H1036" i="17"/>
  <c r="G1036" i="17"/>
  <c r="F1036" i="17"/>
  <c r="D1036" i="17"/>
  <c r="C1036" i="17"/>
  <c r="B1036" i="17"/>
  <c r="H1035" i="17"/>
  <c r="G1035" i="17"/>
  <c r="F1035" i="17"/>
  <c r="D1035" i="17"/>
  <c r="C1035" i="17"/>
  <c r="B1035" i="17"/>
  <c r="H1034" i="17"/>
  <c r="G1034" i="17"/>
  <c r="F1034" i="17"/>
  <c r="D1034" i="17"/>
  <c r="C1034" i="17"/>
  <c r="B1034" i="17"/>
  <c r="H1033" i="17"/>
  <c r="G1033" i="17"/>
  <c r="F1033" i="17"/>
  <c r="D1033" i="17"/>
  <c r="C1033" i="17"/>
  <c r="B1033" i="17"/>
  <c r="H1032" i="17"/>
  <c r="G1032" i="17"/>
  <c r="F1032" i="17"/>
  <c r="D1032" i="17"/>
  <c r="C1032" i="17"/>
  <c r="B1032" i="17"/>
  <c r="H1031" i="17"/>
  <c r="G1031" i="17"/>
  <c r="F1031" i="17"/>
  <c r="D1031" i="17"/>
  <c r="C1031" i="17"/>
  <c r="B1031" i="17"/>
  <c r="H1030" i="17"/>
  <c r="G1030" i="17"/>
  <c r="F1030" i="17"/>
  <c r="D1030" i="17"/>
  <c r="C1030" i="17"/>
  <c r="B1030" i="17"/>
  <c r="H1029" i="17"/>
  <c r="G1029" i="17"/>
  <c r="F1029" i="17"/>
  <c r="D1029" i="17"/>
  <c r="C1029" i="17"/>
  <c r="B1029" i="17"/>
  <c r="H1028" i="17"/>
  <c r="G1028" i="17"/>
  <c r="F1028" i="17"/>
  <c r="D1028" i="17"/>
  <c r="C1028" i="17"/>
  <c r="B1028" i="17"/>
  <c r="H1027" i="17"/>
  <c r="G1027" i="17"/>
  <c r="F1027" i="17"/>
  <c r="D1027" i="17"/>
  <c r="C1027" i="17"/>
  <c r="B1027" i="17"/>
  <c r="H1026" i="17"/>
  <c r="G1026" i="17"/>
  <c r="F1026" i="17"/>
  <c r="D1026" i="17"/>
  <c r="C1026" i="17"/>
  <c r="B1026" i="17"/>
  <c r="H1025" i="17"/>
  <c r="G1025" i="17"/>
  <c r="F1025" i="17"/>
  <c r="D1025" i="17"/>
  <c r="C1025" i="17"/>
  <c r="B1025" i="17"/>
  <c r="H1024" i="17"/>
  <c r="G1024" i="17"/>
  <c r="F1024" i="17"/>
  <c r="D1024" i="17"/>
  <c r="C1024" i="17"/>
  <c r="B1024" i="17"/>
  <c r="H1023" i="17"/>
  <c r="G1023" i="17"/>
  <c r="F1023" i="17"/>
  <c r="D1023" i="17"/>
  <c r="C1023" i="17"/>
  <c r="B1023" i="17"/>
  <c r="H1022" i="17"/>
  <c r="G1022" i="17"/>
  <c r="F1022" i="17"/>
  <c r="D1022" i="17"/>
  <c r="C1022" i="17"/>
  <c r="B1022" i="17"/>
  <c r="H1021" i="17"/>
  <c r="G1021" i="17"/>
  <c r="F1021" i="17"/>
  <c r="D1021" i="17"/>
  <c r="C1021" i="17"/>
  <c r="B1021" i="17"/>
  <c r="H1020" i="17"/>
  <c r="G1020" i="17"/>
  <c r="F1020" i="17"/>
  <c r="D1020" i="17"/>
  <c r="C1020" i="17"/>
  <c r="B1020" i="17"/>
  <c r="H1019" i="17"/>
  <c r="G1019" i="17"/>
  <c r="F1019" i="17"/>
  <c r="D1019" i="17"/>
  <c r="C1019" i="17"/>
  <c r="B1019" i="17"/>
  <c r="H1018" i="17"/>
  <c r="G1018" i="17"/>
  <c r="F1018" i="17"/>
  <c r="D1018" i="17"/>
  <c r="C1018" i="17"/>
  <c r="B1018" i="17"/>
  <c r="H1017" i="17"/>
  <c r="G1017" i="17"/>
  <c r="F1017" i="17"/>
  <c r="D1017" i="17"/>
  <c r="C1017" i="17"/>
  <c r="B1017" i="17"/>
  <c r="H1016" i="17"/>
  <c r="G1016" i="17"/>
  <c r="F1016" i="17"/>
  <c r="D1016" i="17"/>
  <c r="C1016" i="17"/>
  <c r="B1016" i="17"/>
  <c r="H1015" i="17"/>
  <c r="G1015" i="17"/>
  <c r="F1015" i="17"/>
  <c r="D1015" i="17"/>
  <c r="C1015" i="17"/>
  <c r="B1015" i="17"/>
  <c r="H1014" i="17"/>
  <c r="G1014" i="17"/>
  <c r="F1014" i="17"/>
  <c r="D1014" i="17"/>
  <c r="C1014" i="17"/>
  <c r="B1014" i="17"/>
  <c r="H1013" i="17"/>
  <c r="G1013" i="17"/>
  <c r="F1013" i="17"/>
  <c r="D1013" i="17"/>
  <c r="C1013" i="17"/>
  <c r="B1013" i="17"/>
  <c r="H1012" i="17"/>
  <c r="G1012" i="17"/>
  <c r="F1012" i="17"/>
  <c r="D1012" i="17"/>
  <c r="C1012" i="17"/>
  <c r="B1012" i="17"/>
  <c r="H1011" i="17"/>
  <c r="G1011" i="17"/>
  <c r="F1011" i="17"/>
  <c r="D1011" i="17"/>
  <c r="C1011" i="17"/>
  <c r="B1011" i="17"/>
  <c r="H1010" i="17"/>
  <c r="G1010" i="17"/>
  <c r="F1010" i="17"/>
  <c r="D1010" i="17"/>
  <c r="C1010" i="17"/>
  <c r="B1010" i="17"/>
  <c r="H1009" i="17"/>
  <c r="G1009" i="17"/>
  <c r="F1009" i="17"/>
  <c r="D1009" i="17"/>
  <c r="C1009" i="17"/>
  <c r="B1009" i="17"/>
  <c r="H1008" i="17"/>
  <c r="G1008" i="17"/>
  <c r="F1008" i="17"/>
  <c r="D1008" i="17"/>
  <c r="C1008" i="17"/>
  <c r="B1008" i="17"/>
  <c r="H1007" i="17"/>
  <c r="G1007" i="17"/>
  <c r="F1007" i="17"/>
  <c r="D1007" i="17"/>
  <c r="C1007" i="17"/>
  <c r="B1007" i="17"/>
  <c r="H1006" i="17"/>
  <c r="G1006" i="17"/>
  <c r="F1006" i="17"/>
  <c r="D1006" i="17"/>
  <c r="C1006" i="17"/>
  <c r="B1006" i="17"/>
  <c r="H1005" i="17"/>
  <c r="G1005" i="17"/>
  <c r="F1005" i="17"/>
  <c r="D1005" i="17"/>
  <c r="C1005" i="17"/>
  <c r="B1005" i="17"/>
  <c r="H1004" i="17"/>
  <c r="G1004" i="17"/>
  <c r="F1004" i="17"/>
  <c r="D1004" i="17"/>
  <c r="C1004" i="17"/>
  <c r="B1004" i="17"/>
  <c r="H1003" i="17"/>
  <c r="G1003" i="17"/>
  <c r="F1003" i="17"/>
  <c r="D1003" i="17"/>
  <c r="C1003" i="17"/>
  <c r="B1003" i="17"/>
  <c r="H1002" i="17"/>
  <c r="G1002" i="17"/>
  <c r="F1002" i="17"/>
  <c r="D1002" i="17"/>
  <c r="C1002" i="17"/>
  <c r="B1002" i="17"/>
  <c r="H1001" i="17"/>
  <c r="G1001" i="17"/>
  <c r="F1001" i="17"/>
  <c r="D1001" i="17"/>
  <c r="C1001" i="17"/>
  <c r="B1001" i="17"/>
  <c r="H1000" i="17"/>
  <c r="G1000" i="17"/>
  <c r="F1000" i="17"/>
  <c r="D1000" i="17"/>
  <c r="C1000" i="17"/>
  <c r="B1000" i="17"/>
  <c r="H999" i="17"/>
  <c r="G999" i="17"/>
  <c r="F999" i="17"/>
  <c r="D999" i="17"/>
  <c r="C999" i="17"/>
  <c r="B999" i="17"/>
  <c r="H998" i="17"/>
  <c r="G998" i="17"/>
  <c r="F998" i="17"/>
  <c r="D998" i="17"/>
  <c r="C998" i="17"/>
  <c r="B998" i="17"/>
  <c r="H997" i="17"/>
  <c r="G997" i="17"/>
  <c r="F997" i="17"/>
  <c r="D997" i="17"/>
  <c r="C997" i="17"/>
  <c r="B997" i="17"/>
  <c r="H996" i="17"/>
  <c r="G996" i="17"/>
  <c r="F996" i="17"/>
  <c r="D996" i="17"/>
  <c r="C996" i="17"/>
  <c r="B996" i="17"/>
  <c r="H995" i="17"/>
  <c r="G995" i="17"/>
  <c r="F995" i="17"/>
  <c r="D995" i="17"/>
  <c r="C995" i="17"/>
  <c r="B995" i="17"/>
  <c r="H994" i="17"/>
  <c r="G994" i="17"/>
  <c r="F994" i="17"/>
  <c r="D994" i="17"/>
  <c r="C994" i="17"/>
  <c r="B994" i="17"/>
  <c r="H993" i="17"/>
  <c r="G993" i="17"/>
  <c r="F993" i="17"/>
  <c r="D993" i="17"/>
  <c r="C993" i="17"/>
  <c r="B993" i="17"/>
  <c r="H992" i="17"/>
  <c r="G992" i="17"/>
  <c r="F992" i="17"/>
  <c r="D992" i="17"/>
  <c r="C992" i="17"/>
  <c r="B992" i="17"/>
  <c r="H991" i="17"/>
  <c r="G991" i="17"/>
  <c r="F991" i="17"/>
  <c r="D991" i="17"/>
  <c r="C991" i="17"/>
  <c r="B991" i="17"/>
  <c r="H990" i="17"/>
  <c r="G990" i="17"/>
  <c r="F990" i="17"/>
  <c r="D990" i="17"/>
  <c r="C990" i="17"/>
  <c r="B990" i="17"/>
  <c r="H989" i="17"/>
  <c r="G989" i="17"/>
  <c r="F989" i="17"/>
  <c r="D989" i="17"/>
  <c r="C989" i="17"/>
  <c r="B989" i="17"/>
  <c r="H988" i="17"/>
  <c r="G988" i="17"/>
  <c r="F988" i="17"/>
  <c r="D988" i="17"/>
  <c r="C988" i="17"/>
  <c r="B988" i="17"/>
  <c r="H987" i="17"/>
  <c r="G987" i="17"/>
  <c r="F987" i="17"/>
  <c r="D987" i="17"/>
  <c r="C987" i="17"/>
  <c r="B987" i="17"/>
  <c r="H986" i="17"/>
  <c r="G986" i="17"/>
  <c r="F986" i="17"/>
  <c r="D986" i="17"/>
  <c r="C986" i="17"/>
  <c r="B986" i="17"/>
  <c r="H985" i="17"/>
  <c r="G985" i="17"/>
  <c r="F985" i="17"/>
  <c r="D985" i="17"/>
  <c r="C985" i="17"/>
  <c r="B985" i="17"/>
  <c r="H984" i="17"/>
  <c r="G984" i="17"/>
  <c r="F984" i="17"/>
  <c r="D984" i="17"/>
  <c r="C984" i="17"/>
  <c r="B984" i="17"/>
  <c r="H983" i="17"/>
  <c r="G983" i="17"/>
  <c r="F983" i="17"/>
  <c r="D983" i="17"/>
  <c r="C983" i="17"/>
  <c r="B983" i="17"/>
  <c r="H982" i="17"/>
  <c r="G982" i="17"/>
  <c r="F982" i="17"/>
  <c r="D982" i="17"/>
  <c r="C982" i="17"/>
  <c r="B982" i="17"/>
  <c r="H981" i="17"/>
  <c r="G981" i="17"/>
  <c r="F981" i="17"/>
  <c r="D981" i="17"/>
  <c r="C981" i="17"/>
  <c r="B981" i="17"/>
  <c r="H980" i="17"/>
  <c r="G980" i="17"/>
  <c r="F980" i="17"/>
  <c r="D980" i="17"/>
  <c r="C980" i="17"/>
  <c r="B980" i="17"/>
  <c r="H979" i="17"/>
  <c r="G979" i="17"/>
  <c r="F979" i="17"/>
  <c r="D979" i="17"/>
  <c r="C979" i="17"/>
  <c r="B979" i="17"/>
  <c r="H978" i="17"/>
  <c r="G978" i="17"/>
  <c r="F978" i="17"/>
  <c r="D978" i="17"/>
  <c r="C978" i="17"/>
  <c r="B978" i="17"/>
  <c r="H977" i="17"/>
  <c r="G977" i="17"/>
  <c r="F977" i="17"/>
  <c r="D977" i="17"/>
  <c r="C977" i="17"/>
  <c r="B977" i="17"/>
  <c r="H976" i="17"/>
  <c r="G976" i="17"/>
  <c r="F976" i="17"/>
  <c r="D976" i="17"/>
  <c r="C976" i="17"/>
  <c r="B976" i="17"/>
  <c r="H975" i="17"/>
  <c r="G975" i="17"/>
  <c r="F975" i="17"/>
  <c r="D975" i="17"/>
  <c r="C975" i="17"/>
  <c r="B975" i="17"/>
  <c r="H974" i="17"/>
  <c r="G974" i="17"/>
  <c r="F974" i="17"/>
  <c r="D974" i="17"/>
  <c r="C974" i="17"/>
  <c r="B974" i="17"/>
  <c r="H973" i="17"/>
  <c r="G973" i="17"/>
  <c r="F973" i="17"/>
  <c r="D973" i="17"/>
  <c r="C973" i="17"/>
  <c r="B973" i="17"/>
  <c r="H972" i="17"/>
  <c r="G972" i="17"/>
  <c r="F972" i="17"/>
  <c r="D972" i="17"/>
  <c r="C972" i="17"/>
  <c r="B972" i="17"/>
  <c r="H971" i="17"/>
  <c r="G971" i="17"/>
  <c r="F971" i="17"/>
  <c r="D971" i="17"/>
  <c r="C971" i="17"/>
  <c r="B971" i="17"/>
  <c r="H970" i="17"/>
  <c r="G970" i="17"/>
  <c r="F970" i="17"/>
  <c r="D970" i="17"/>
  <c r="C970" i="17"/>
  <c r="B970" i="17"/>
  <c r="H969" i="17"/>
  <c r="G969" i="17"/>
  <c r="F969" i="17"/>
  <c r="D969" i="17"/>
  <c r="C969" i="17"/>
  <c r="B969" i="17"/>
  <c r="H968" i="17"/>
  <c r="G968" i="17"/>
  <c r="F968" i="17"/>
  <c r="D968" i="17"/>
  <c r="C968" i="17"/>
  <c r="B968" i="17"/>
  <c r="H967" i="17"/>
  <c r="G967" i="17"/>
  <c r="F967" i="17"/>
  <c r="D967" i="17"/>
  <c r="C967" i="17"/>
  <c r="B967" i="17"/>
  <c r="H966" i="17"/>
  <c r="G966" i="17"/>
  <c r="F966" i="17"/>
  <c r="D966" i="17"/>
  <c r="C966" i="17"/>
  <c r="B966" i="17"/>
  <c r="H965" i="17"/>
  <c r="G965" i="17"/>
  <c r="F965" i="17"/>
  <c r="D965" i="17"/>
  <c r="C965" i="17"/>
  <c r="B965" i="17"/>
  <c r="H964" i="17"/>
  <c r="G964" i="17"/>
  <c r="F964" i="17"/>
  <c r="D964" i="17"/>
  <c r="C964" i="17"/>
  <c r="B964" i="17"/>
  <c r="H963" i="17"/>
  <c r="G963" i="17"/>
  <c r="F963" i="17"/>
  <c r="D963" i="17"/>
  <c r="C963" i="17"/>
  <c r="B963" i="17"/>
  <c r="H962" i="17"/>
  <c r="G962" i="17"/>
  <c r="F962" i="17"/>
  <c r="D962" i="17"/>
  <c r="C962" i="17"/>
  <c r="B962" i="17"/>
  <c r="H961" i="17"/>
  <c r="G961" i="17"/>
  <c r="F961" i="17"/>
  <c r="D961" i="17"/>
  <c r="C961" i="17"/>
  <c r="B961" i="17"/>
  <c r="H960" i="17"/>
  <c r="G960" i="17"/>
  <c r="F960" i="17"/>
  <c r="D960" i="17"/>
  <c r="C960" i="17"/>
  <c r="B960" i="17"/>
  <c r="H959" i="17"/>
  <c r="G959" i="17"/>
  <c r="F959" i="17"/>
  <c r="D959" i="17"/>
  <c r="C959" i="17"/>
  <c r="B959" i="17"/>
  <c r="H958" i="17"/>
  <c r="G958" i="17"/>
  <c r="F958" i="17"/>
  <c r="D958" i="17"/>
  <c r="C958" i="17"/>
  <c r="B958" i="17"/>
  <c r="H957" i="17"/>
  <c r="G957" i="17"/>
  <c r="F957" i="17"/>
  <c r="D957" i="17"/>
  <c r="C957" i="17"/>
  <c r="B957" i="17"/>
  <c r="H956" i="17"/>
  <c r="G956" i="17"/>
  <c r="F956" i="17"/>
  <c r="D956" i="17"/>
  <c r="C956" i="17"/>
  <c r="B956" i="17"/>
  <c r="H955" i="17"/>
  <c r="G955" i="17"/>
  <c r="F955" i="17"/>
  <c r="D955" i="17"/>
  <c r="C955" i="17"/>
  <c r="B955" i="17"/>
  <c r="H954" i="17"/>
  <c r="G954" i="17"/>
  <c r="F954" i="17"/>
  <c r="D954" i="17"/>
  <c r="C954" i="17"/>
  <c r="B954" i="17"/>
  <c r="H953" i="17"/>
  <c r="G953" i="17"/>
  <c r="F953" i="17"/>
  <c r="D953" i="17"/>
  <c r="C953" i="17"/>
  <c r="B953" i="17"/>
  <c r="H952" i="17"/>
  <c r="G952" i="17"/>
  <c r="F952" i="17"/>
  <c r="D952" i="17"/>
  <c r="C952" i="17"/>
  <c r="B952" i="17"/>
  <c r="H951" i="17"/>
  <c r="G951" i="17"/>
  <c r="F951" i="17"/>
  <c r="D951" i="17"/>
  <c r="C951" i="17"/>
  <c r="B951" i="17"/>
  <c r="H950" i="17"/>
  <c r="G950" i="17"/>
  <c r="F950" i="17"/>
  <c r="D950" i="17"/>
  <c r="C950" i="17"/>
  <c r="B950" i="17"/>
  <c r="H949" i="17"/>
  <c r="G949" i="17"/>
  <c r="F949" i="17"/>
  <c r="D949" i="17"/>
  <c r="C949" i="17"/>
  <c r="B949" i="17"/>
  <c r="H948" i="17"/>
  <c r="G948" i="17"/>
  <c r="F948" i="17"/>
  <c r="D948" i="17"/>
  <c r="C948" i="17"/>
  <c r="B948" i="17"/>
  <c r="H947" i="17"/>
  <c r="G947" i="17"/>
  <c r="F947" i="17"/>
  <c r="D947" i="17"/>
  <c r="C947" i="17"/>
  <c r="B947" i="17"/>
  <c r="H946" i="17"/>
  <c r="G946" i="17"/>
  <c r="F946" i="17"/>
  <c r="D946" i="17"/>
  <c r="C946" i="17"/>
  <c r="B946" i="17"/>
  <c r="H945" i="17"/>
  <c r="G945" i="17"/>
  <c r="F945" i="17"/>
  <c r="D945" i="17"/>
  <c r="C945" i="17"/>
  <c r="B945" i="17"/>
  <c r="H944" i="17"/>
  <c r="G944" i="17"/>
  <c r="F944" i="17"/>
  <c r="D944" i="17"/>
  <c r="C944" i="17"/>
  <c r="B944" i="17"/>
  <c r="H943" i="17"/>
  <c r="G943" i="17"/>
  <c r="F943" i="17"/>
  <c r="D943" i="17"/>
  <c r="C943" i="17"/>
  <c r="B943" i="17"/>
  <c r="H942" i="17"/>
  <c r="G942" i="17"/>
  <c r="F942" i="17"/>
  <c r="D942" i="17"/>
  <c r="C942" i="17"/>
  <c r="B942" i="17"/>
  <c r="H941" i="17"/>
  <c r="G941" i="17"/>
  <c r="F941" i="17"/>
  <c r="D941" i="17"/>
  <c r="C941" i="17"/>
  <c r="B941" i="17"/>
  <c r="H940" i="17"/>
  <c r="G940" i="17"/>
  <c r="F940" i="17"/>
  <c r="D940" i="17"/>
  <c r="C940" i="17"/>
  <c r="B940" i="17"/>
  <c r="H939" i="17"/>
  <c r="G939" i="17"/>
  <c r="F939" i="17"/>
  <c r="D939" i="17"/>
  <c r="C939" i="17"/>
  <c r="B939" i="17"/>
  <c r="H938" i="17"/>
  <c r="G938" i="17"/>
  <c r="F938" i="17"/>
  <c r="D938" i="17"/>
  <c r="C938" i="17"/>
  <c r="B938" i="17"/>
  <c r="H937" i="17"/>
  <c r="G937" i="17"/>
  <c r="F937" i="17"/>
  <c r="D937" i="17"/>
  <c r="C937" i="17"/>
  <c r="B937" i="17"/>
  <c r="H936" i="17"/>
  <c r="G936" i="17"/>
  <c r="F936" i="17"/>
  <c r="D936" i="17"/>
  <c r="C936" i="17"/>
  <c r="B936" i="17"/>
  <c r="H935" i="17"/>
  <c r="G935" i="17"/>
  <c r="F935" i="17"/>
  <c r="D935" i="17"/>
  <c r="C935" i="17"/>
  <c r="B935" i="17"/>
  <c r="H934" i="17"/>
  <c r="G934" i="17"/>
  <c r="F934" i="17"/>
  <c r="D934" i="17"/>
  <c r="C934" i="17"/>
  <c r="B934" i="17"/>
  <c r="H933" i="17"/>
  <c r="G933" i="17"/>
  <c r="F933" i="17"/>
  <c r="D933" i="17"/>
  <c r="C933" i="17"/>
  <c r="B933" i="17"/>
  <c r="H932" i="17"/>
  <c r="G932" i="17"/>
  <c r="F932" i="17"/>
  <c r="D932" i="17"/>
  <c r="C932" i="17"/>
  <c r="B932" i="17"/>
  <c r="H931" i="17"/>
  <c r="G931" i="17"/>
  <c r="F931" i="17"/>
  <c r="D931" i="17"/>
  <c r="C931" i="17"/>
  <c r="B931" i="17"/>
  <c r="H930" i="17"/>
  <c r="G930" i="17"/>
  <c r="F930" i="17"/>
  <c r="D930" i="17"/>
  <c r="C930" i="17"/>
  <c r="B930" i="17"/>
  <c r="H929" i="17"/>
  <c r="G929" i="17"/>
  <c r="F929" i="17"/>
  <c r="D929" i="17"/>
  <c r="C929" i="17"/>
  <c r="B929" i="17"/>
  <c r="H928" i="17"/>
  <c r="G928" i="17"/>
  <c r="F928" i="17"/>
  <c r="D928" i="17"/>
  <c r="C928" i="17"/>
  <c r="B928" i="17"/>
  <c r="H927" i="17"/>
  <c r="G927" i="17"/>
  <c r="F927" i="17"/>
  <c r="D927" i="17"/>
  <c r="C927" i="17"/>
  <c r="B927" i="17"/>
  <c r="H926" i="17"/>
  <c r="G926" i="17"/>
  <c r="F926" i="17"/>
  <c r="D926" i="17"/>
  <c r="C926" i="17"/>
  <c r="B926" i="17"/>
  <c r="H925" i="17"/>
  <c r="G925" i="17"/>
  <c r="F925" i="17"/>
  <c r="D925" i="17"/>
  <c r="C925" i="17"/>
  <c r="B925" i="17"/>
  <c r="H924" i="17"/>
  <c r="G924" i="17"/>
  <c r="F924" i="17"/>
  <c r="D924" i="17"/>
  <c r="C924" i="17"/>
  <c r="B924" i="17"/>
  <c r="H923" i="17"/>
  <c r="G923" i="17"/>
  <c r="F923" i="17"/>
  <c r="D923" i="17"/>
  <c r="C923" i="17"/>
  <c r="B923" i="17"/>
  <c r="H922" i="17"/>
  <c r="G922" i="17"/>
  <c r="F922" i="17"/>
  <c r="D922" i="17"/>
  <c r="C922" i="17"/>
  <c r="B922" i="17"/>
  <c r="H921" i="17"/>
  <c r="G921" i="17"/>
  <c r="F921" i="17"/>
  <c r="D921" i="17"/>
  <c r="C921" i="17"/>
  <c r="B921" i="17"/>
  <c r="H920" i="17"/>
  <c r="G920" i="17"/>
  <c r="F920" i="17"/>
  <c r="D920" i="17"/>
  <c r="C920" i="17"/>
  <c r="B920" i="17"/>
  <c r="H919" i="17"/>
  <c r="G919" i="17"/>
  <c r="F919" i="17"/>
  <c r="D919" i="17"/>
  <c r="C919" i="17"/>
  <c r="B919" i="17"/>
  <c r="H918" i="17"/>
  <c r="G918" i="17"/>
  <c r="F918" i="17"/>
  <c r="D918" i="17"/>
  <c r="C918" i="17"/>
  <c r="B918" i="17"/>
  <c r="H917" i="17"/>
  <c r="G917" i="17"/>
  <c r="F917" i="17"/>
  <c r="D917" i="17"/>
  <c r="C917" i="17"/>
  <c r="B917" i="17"/>
  <c r="H916" i="17"/>
  <c r="G916" i="17"/>
  <c r="F916" i="17"/>
  <c r="D916" i="17"/>
  <c r="C916" i="17"/>
  <c r="B916" i="17"/>
  <c r="H915" i="17"/>
  <c r="G915" i="17"/>
  <c r="F915" i="17"/>
  <c r="D915" i="17"/>
  <c r="C915" i="17"/>
  <c r="B915" i="17"/>
  <c r="H914" i="17"/>
  <c r="G914" i="17"/>
  <c r="F914" i="17"/>
  <c r="D914" i="17"/>
  <c r="C914" i="17"/>
  <c r="B914" i="17"/>
  <c r="H913" i="17"/>
  <c r="G913" i="17"/>
  <c r="F913" i="17"/>
  <c r="D913" i="17"/>
  <c r="C913" i="17"/>
  <c r="B913" i="17"/>
  <c r="H912" i="17"/>
  <c r="G912" i="17"/>
  <c r="F912" i="17"/>
  <c r="D912" i="17"/>
  <c r="C912" i="17"/>
  <c r="B912" i="17"/>
  <c r="H911" i="17"/>
  <c r="G911" i="17"/>
  <c r="F911" i="17"/>
  <c r="D911" i="17"/>
  <c r="C911" i="17"/>
  <c r="B911" i="17"/>
  <c r="H910" i="17"/>
  <c r="G910" i="17"/>
  <c r="F910" i="17"/>
  <c r="D910" i="17"/>
  <c r="C910" i="17"/>
  <c r="B910" i="17"/>
  <c r="H909" i="17"/>
  <c r="G909" i="17"/>
  <c r="F909" i="17"/>
  <c r="D909" i="17"/>
  <c r="C909" i="17"/>
  <c r="B909" i="17"/>
  <c r="H908" i="17"/>
  <c r="G908" i="17"/>
  <c r="F908" i="17"/>
  <c r="D908" i="17"/>
  <c r="C908" i="17"/>
  <c r="B908" i="17"/>
  <c r="H907" i="17"/>
  <c r="G907" i="17"/>
  <c r="F907" i="17"/>
  <c r="D907" i="17"/>
  <c r="C907" i="17"/>
  <c r="B907" i="17"/>
  <c r="H906" i="17"/>
  <c r="G906" i="17"/>
  <c r="F906" i="17"/>
  <c r="D906" i="17"/>
  <c r="C906" i="17"/>
  <c r="B906" i="17"/>
  <c r="H905" i="17"/>
  <c r="G905" i="17"/>
  <c r="F905" i="17"/>
  <c r="D905" i="17"/>
  <c r="C905" i="17"/>
  <c r="B905" i="17"/>
  <c r="H904" i="17"/>
  <c r="G904" i="17"/>
  <c r="F904" i="17"/>
  <c r="D904" i="17"/>
  <c r="C904" i="17"/>
  <c r="B904" i="17"/>
  <c r="H903" i="17"/>
  <c r="G903" i="17"/>
  <c r="F903" i="17"/>
  <c r="D903" i="17"/>
  <c r="C903" i="17"/>
  <c r="B903" i="17"/>
  <c r="H902" i="17"/>
  <c r="G902" i="17"/>
  <c r="F902" i="17"/>
  <c r="D902" i="17"/>
  <c r="C902" i="17"/>
  <c r="B902" i="17"/>
  <c r="H901" i="17"/>
  <c r="G901" i="17"/>
  <c r="F901" i="17"/>
  <c r="D901" i="17"/>
  <c r="C901" i="17"/>
  <c r="B901" i="17"/>
  <c r="H900" i="17"/>
  <c r="G900" i="17"/>
  <c r="F900" i="17"/>
  <c r="D900" i="17"/>
  <c r="C900" i="17"/>
  <c r="B900" i="17"/>
  <c r="H899" i="17"/>
  <c r="G899" i="17"/>
  <c r="F899" i="17"/>
  <c r="D899" i="17"/>
  <c r="C899" i="17"/>
  <c r="B899" i="17"/>
  <c r="H898" i="17"/>
  <c r="G898" i="17"/>
  <c r="F898" i="17"/>
  <c r="D898" i="17"/>
  <c r="C898" i="17"/>
  <c r="B898" i="17"/>
  <c r="H897" i="17"/>
  <c r="G897" i="17"/>
  <c r="F897" i="17"/>
  <c r="D897" i="17"/>
  <c r="C897" i="17"/>
  <c r="B897" i="17"/>
  <c r="H896" i="17"/>
  <c r="G896" i="17"/>
  <c r="F896" i="17"/>
  <c r="D896" i="17"/>
  <c r="C896" i="17"/>
  <c r="B896" i="17"/>
  <c r="H895" i="17"/>
  <c r="G895" i="17"/>
  <c r="F895" i="17"/>
  <c r="D895" i="17"/>
  <c r="C895" i="17"/>
  <c r="B895" i="17"/>
  <c r="H894" i="17"/>
  <c r="G894" i="17"/>
  <c r="F894" i="17"/>
  <c r="D894" i="17"/>
  <c r="C894" i="17"/>
  <c r="B894" i="17"/>
  <c r="H893" i="17"/>
  <c r="G893" i="17"/>
  <c r="F893" i="17"/>
  <c r="D893" i="17"/>
  <c r="C893" i="17"/>
  <c r="B893" i="17"/>
  <c r="H892" i="17"/>
  <c r="G892" i="17"/>
  <c r="F892" i="17"/>
  <c r="D892" i="17"/>
  <c r="C892" i="17"/>
  <c r="B892" i="17"/>
  <c r="H891" i="17"/>
  <c r="G891" i="17"/>
  <c r="F891" i="17"/>
  <c r="D891" i="17"/>
  <c r="C891" i="17"/>
  <c r="B891" i="17"/>
  <c r="H890" i="17"/>
  <c r="G890" i="17"/>
  <c r="F890" i="17"/>
  <c r="D890" i="17"/>
  <c r="C890" i="17"/>
  <c r="B890" i="17"/>
  <c r="H889" i="17"/>
  <c r="G889" i="17"/>
  <c r="F889" i="17"/>
  <c r="D889" i="17"/>
  <c r="C889" i="17"/>
  <c r="B889" i="17"/>
  <c r="H888" i="17"/>
  <c r="G888" i="17"/>
  <c r="F888" i="17"/>
  <c r="D888" i="17"/>
  <c r="C888" i="17"/>
  <c r="B888" i="17"/>
  <c r="H887" i="17"/>
  <c r="G887" i="17"/>
  <c r="F887" i="17"/>
  <c r="D887" i="17"/>
  <c r="C887" i="17"/>
  <c r="B887" i="17"/>
  <c r="H886" i="17"/>
  <c r="G886" i="17"/>
  <c r="F886" i="17"/>
  <c r="D886" i="17"/>
  <c r="C886" i="17"/>
  <c r="B886" i="17"/>
  <c r="H885" i="17"/>
  <c r="G885" i="17"/>
  <c r="F885" i="17"/>
  <c r="D885" i="17"/>
  <c r="C885" i="17"/>
  <c r="B885" i="17"/>
  <c r="H884" i="17"/>
  <c r="G884" i="17"/>
  <c r="F884" i="17"/>
  <c r="D884" i="17"/>
  <c r="C884" i="17"/>
  <c r="B884" i="17"/>
  <c r="H883" i="17"/>
  <c r="G883" i="17"/>
  <c r="F883" i="17"/>
  <c r="D883" i="17"/>
  <c r="C883" i="17"/>
  <c r="B883" i="17"/>
  <c r="H882" i="17"/>
  <c r="G882" i="17"/>
  <c r="F882" i="17"/>
  <c r="D882" i="17"/>
  <c r="C882" i="17"/>
  <c r="B882" i="17"/>
  <c r="H881" i="17"/>
  <c r="G881" i="17"/>
  <c r="F881" i="17"/>
  <c r="D881" i="17"/>
  <c r="C881" i="17"/>
  <c r="B881" i="17"/>
  <c r="H880" i="17"/>
  <c r="G880" i="17"/>
  <c r="F880" i="17"/>
  <c r="D880" i="17"/>
  <c r="C880" i="17"/>
  <c r="B880" i="17"/>
  <c r="H879" i="17"/>
  <c r="G879" i="17"/>
  <c r="F879" i="17"/>
  <c r="D879" i="17"/>
  <c r="C879" i="17"/>
  <c r="B879" i="17"/>
  <c r="H878" i="17"/>
  <c r="G878" i="17"/>
  <c r="F878" i="17"/>
  <c r="D878" i="17"/>
  <c r="C878" i="17"/>
  <c r="B878" i="17"/>
  <c r="H877" i="17"/>
  <c r="G877" i="17"/>
  <c r="F877" i="17"/>
  <c r="D877" i="17"/>
  <c r="C877" i="17"/>
  <c r="B877" i="17"/>
  <c r="H876" i="17"/>
  <c r="G876" i="17"/>
  <c r="F876" i="17"/>
  <c r="D876" i="17"/>
  <c r="C876" i="17"/>
  <c r="B876" i="17"/>
  <c r="H875" i="17"/>
  <c r="G875" i="17"/>
  <c r="F875" i="17"/>
  <c r="D875" i="17"/>
  <c r="C875" i="17"/>
  <c r="B875" i="17"/>
  <c r="H874" i="17"/>
  <c r="G874" i="17"/>
  <c r="F874" i="17"/>
  <c r="D874" i="17"/>
  <c r="C874" i="17"/>
  <c r="B874" i="17"/>
  <c r="H873" i="17"/>
  <c r="G873" i="17"/>
  <c r="F873" i="17"/>
  <c r="D873" i="17"/>
  <c r="C873" i="17"/>
  <c r="B873" i="17"/>
  <c r="H872" i="17"/>
  <c r="G872" i="17"/>
  <c r="F872" i="17"/>
  <c r="D872" i="17"/>
  <c r="C872" i="17"/>
  <c r="B872" i="17"/>
  <c r="H871" i="17"/>
  <c r="G871" i="17"/>
  <c r="F871" i="17"/>
  <c r="D871" i="17"/>
  <c r="C871" i="17"/>
  <c r="B871" i="17"/>
  <c r="H870" i="17"/>
  <c r="G870" i="17"/>
  <c r="F870" i="17"/>
  <c r="D870" i="17"/>
  <c r="C870" i="17"/>
  <c r="B870" i="17"/>
  <c r="H869" i="17"/>
  <c r="G869" i="17"/>
  <c r="F869" i="17"/>
  <c r="D869" i="17"/>
  <c r="C869" i="17"/>
  <c r="B869" i="17"/>
  <c r="H868" i="17"/>
  <c r="G868" i="17"/>
  <c r="F868" i="17"/>
  <c r="D868" i="17"/>
  <c r="C868" i="17"/>
  <c r="B868" i="17"/>
  <c r="H867" i="17"/>
  <c r="G867" i="17"/>
  <c r="F867" i="17"/>
  <c r="D867" i="17"/>
  <c r="C867" i="17"/>
  <c r="B867" i="17"/>
  <c r="H866" i="17"/>
  <c r="G866" i="17"/>
  <c r="F866" i="17"/>
  <c r="D866" i="17"/>
  <c r="C866" i="17"/>
  <c r="B866" i="17"/>
  <c r="H865" i="17"/>
  <c r="G865" i="17"/>
  <c r="F865" i="17"/>
  <c r="D865" i="17"/>
  <c r="C865" i="17"/>
  <c r="B865" i="17"/>
  <c r="H864" i="17"/>
  <c r="G864" i="17"/>
  <c r="F864" i="17"/>
  <c r="D864" i="17"/>
  <c r="C864" i="17"/>
  <c r="B864" i="17"/>
  <c r="H863" i="17"/>
  <c r="G863" i="17"/>
  <c r="F863" i="17"/>
  <c r="D863" i="17"/>
  <c r="C863" i="17"/>
  <c r="B863" i="17"/>
  <c r="H862" i="17"/>
  <c r="G862" i="17"/>
  <c r="F862" i="17"/>
  <c r="D862" i="17"/>
  <c r="C862" i="17"/>
  <c r="B862" i="17"/>
  <c r="H861" i="17"/>
  <c r="G861" i="17"/>
  <c r="F861" i="17"/>
  <c r="D861" i="17"/>
  <c r="C861" i="17"/>
  <c r="B861" i="17"/>
  <c r="H860" i="17"/>
  <c r="G860" i="17"/>
  <c r="F860" i="17"/>
  <c r="D860" i="17"/>
  <c r="C860" i="17"/>
  <c r="B860" i="17"/>
  <c r="H859" i="17"/>
  <c r="G859" i="17"/>
  <c r="F859" i="17"/>
  <c r="D859" i="17"/>
  <c r="C859" i="17"/>
  <c r="B859" i="17"/>
  <c r="H858" i="17"/>
  <c r="G858" i="17"/>
  <c r="F858" i="17"/>
  <c r="D858" i="17"/>
  <c r="C858" i="17"/>
  <c r="B858" i="17"/>
  <c r="H857" i="17"/>
  <c r="G857" i="17"/>
  <c r="F857" i="17"/>
  <c r="D857" i="17"/>
  <c r="C857" i="17"/>
  <c r="B857" i="17"/>
  <c r="H856" i="17"/>
  <c r="G856" i="17"/>
  <c r="F856" i="17"/>
  <c r="D856" i="17"/>
  <c r="C856" i="17"/>
  <c r="B856" i="17"/>
  <c r="H855" i="17"/>
  <c r="G855" i="17"/>
  <c r="F855" i="17"/>
  <c r="D855" i="17"/>
  <c r="C855" i="17"/>
  <c r="B855" i="17"/>
  <c r="H854" i="17"/>
  <c r="G854" i="17"/>
  <c r="F854" i="17"/>
  <c r="D854" i="17"/>
  <c r="C854" i="17"/>
  <c r="B854" i="17"/>
  <c r="H853" i="17"/>
  <c r="G853" i="17"/>
  <c r="F853" i="17"/>
  <c r="D853" i="17"/>
  <c r="C853" i="17"/>
  <c r="B853" i="17"/>
  <c r="H852" i="17"/>
  <c r="G852" i="17"/>
  <c r="F852" i="17"/>
  <c r="D852" i="17"/>
  <c r="C852" i="17"/>
  <c r="B852" i="17"/>
  <c r="H851" i="17"/>
  <c r="G851" i="17"/>
  <c r="F851" i="17"/>
  <c r="D851" i="17"/>
  <c r="C851" i="17"/>
  <c r="B851" i="17"/>
  <c r="H850" i="17"/>
  <c r="G850" i="17"/>
  <c r="F850" i="17"/>
  <c r="D850" i="17"/>
  <c r="C850" i="17"/>
  <c r="B850" i="17"/>
  <c r="H849" i="17"/>
  <c r="G849" i="17"/>
  <c r="F849" i="17"/>
  <c r="D849" i="17"/>
  <c r="C849" i="17"/>
  <c r="B849" i="17"/>
  <c r="H848" i="17"/>
  <c r="G848" i="17"/>
  <c r="F848" i="17"/>
  <c r="D848" i="17"/>
  <c r="C848" i="17"/>
  <c r="B848" i="17"/>
  <c r="H847" i="17"/>
  <c r="G847" i="17"/>
  <c r="F847" i="17"/>
  <c r="D847" i="17"/>
  <c r="C847" i="17"/>
  <c r="B847" i="17"/>
  <c r="H846" i="17"/>
  <c r="G846" i="17"/>
  <c r="F846" i="17"/>
  <c r="D846" i="17"/>
  <c r="C846" i="17"/>
  <c r="B846" i="17"/>
  <c r="H845" i="17"/>
  <c r="G845" i="17"/>
  <c r="F845" i="17"/>
  <c r="D845" i="17"/>
  <c r="C845" i="17"/>
  <c r="B845" i="17"/>
  <c r="H844" i="17"/>
  <c r="G844" i="17"/>
  <c r="F844" i="17"/>
  <c r="D844" i="17"/>
  <c r="C844" i="17"/>
  <c r="B844" i="17"/>
  <c r="H843" i="17"/>
  <c r="G843" i="17"/>
  <c r="F843" i="17"/>
  <c r="D843" i="17"/>
  <c r="C843" i="17"/>
  <c r="B843" i="17"/>
  <c r="H842" i="17"/>
  <c r="G842" i="17"/>
  <c r="F842" i="17"/>
  <c r="D842" i="17"/>
  <c r="C842" i="17"/>
  <c r="B842" i="17"/>
  <c r="H841" i="17"/>
  <c r="G841" i="17"/>
  <c r="F841" i="17"/>
  <c r="D841" i="17"/>
  <c r="C841" i="17"/>
  <c r="B841" i="17"/>
  <c r="H840" i="17"/>
  <c r="G840" i="17"/>
  <c r="F840" i="17"/>
  <c r="D840" i="17"/>
  <c r="C840" i="17"/>
  <c r="B840" i="17"/>
  <c r="H839" i="17"/>
  <c r="G839" i="17"/>
  <c r="F839" i="17"/>
  <c r="D839" i="17"/>
  <c r="C839" i="17"/>
  <c r="B839" i="17"/>
  <c r="H838" i="17"/>
  <c r="G838" i="17"/>
  <c r="F838" i="17"/>
  <c r="D838" i="17"/>
  <c r="C838" i="17"/>
  <c r="B838" i="17"/>
  <c r="H837" i="17"/>
  <c r="G837" i="17"/>
  <c r="F837" i="17"/>
  <c r="D837" i="17"/>
  <c r="C837" i="17"/>
  <c r="B837" i="17"/>
  <c r="H836" i="17"/>
  <c r="G836" i="17"/>
  <c r="F836" i="17"/>
  <c r="D836" i="17"/>
  <c r="C836" i="17"/>
  <c r="B836" i="17"/>
  <c r="H835" i="17"/>
  <c r="G835" i="17"/>
  <c r="F835" i="17"/>
  <c r="D835" i="17"/>
  <c r="C835" i="17"/>
  <c r="B835" i="17"/>
  <c r="H834" i="17"/>
  <c r="G834" i="17"/>
  <c r="F834" i="17"/>
  <c r="D834" i="17"/>
  <c r="C834" i="17"/>
  <c r="B834" i="17"/>
  <c r="H833" i="17"/>
  <c r="G833" i="17"/>
  <c r="F833" i="17"/>
  <c r="D833" i="17"/>
  <c r="C833" i="17"/>
  <c r="B833" i="17"/>
  <c r="H832" i="17"/>
  <c r="G832" i="17"/>
  <c r="F832" i="17"/>
  <c r="D832" i="17"/>
  <c r="C832" i="17"/>
  <c r="B832" i="17"/>
  <c r="H831" i="17"/>
  <c r="G831" i="17"/>
  <c r="F831" i="17"/>
  <c r="D831" i="17"/>
  <c r="C831" i="17"/>
  <c r="B831" i="17"/>
  <c r="H830" i="17"/>
  <c r="G830" i="17"/>
  <c r="F830" i="17"/>
  <c r="D830" i="17"/>
  <c r="C830" i="17"/>
  <c r="B830" i="17"/>
  <c r="H829" i="17"/>
  <c r="G829" i="17"/>
  <c r="F829" i="17"/>
  <c r="D829" i="17"/>
  <c r="C829" i="17"/>
  <c r="B829" i="17"/>
  <c r="H828" i="17"/>
  <c r="G828" i="17"/>
  <c r="F828" i="17"/>
  <c r="D828" i="17"/>
  <c r="C828" i="17"/>
  <c r="B828" i="17"/>
  <c r="H827" i="17"/>
  <c r="G827" i="17"/>
  <c r="F827" i="17"/>
  <c r="D827" i="17"/>
  <c r="C827" i="17"/>
  <c r="B827" i="17"/>
  <c r="H826" i="17"/>
  <c r="G826" i="17"/>
  <c r="F826" i="17"/>
  <c r="D826" i="17"/>
  <c r="C826" i="17"/>
  <c r="B826" i="17"/>
  <c r="H825" i="17"/>
  <c r="G825" i="17"/>
  <c r="F825" i="17"/>
  <c r="D825" i="17"/>
  <c r="C825" i="17"/>
  <c r="B825" i="17"/>
  <c r="H824" i="17"/>
  <c r="G824" i="17"/>
  <c r="F824" i="17"/>
  <c r="D824" i="17"/>
  <c r="C824" i="17"/>
  <c r="B824" i="17"/>
  <c r="H823" i="17"/>
  <c r="G823" i="17"/>
  <c r="F823" i="17"/>
  <c r="D823" i="17"/>
  <c r="C823" i="17"/>
  <c r="B823" i="17"/>
  <c r="H822" i="17"/>
  <c r="G822" i="17"/>
  <c r="F822" i="17"/>
  <c r="D822" i="17"/>
  <c r="C822" i="17"/>
  <c r="B822" i="17"/>
  <c r="H821" i="17"/>
  <c r="G821" i="17"/>
  <c r="F821" i="17"/>
  <c r="D821" i="17"/>
  <c r="C821" i="17"/>
  <c r="B821" i="17"/>
  <c r="H820" i="17"/>
  <c r="G820" i="17"/>
  <c r="F820" i="17"/>
  <c r="D820" i="17"/>
  <c r="C820" i="17"/>
  <c r="B820" i="17"/>
  <c r="H819" i="17"/>
  <c r="G819" i="17"/>
  <c r="F819" i="17"/>
  <c r="D819" i="17"/>
  <c r="C819" i="17"/>
  <c r="B819" i="17"/>
  <c r="H818" i="17"/>
  <c r="G818" i="17"/>
  <c r="F818" i="17"/>
  <c r="D818" i="17"/>
  <c r="C818" i="17"/>
  <c r="B818" i="17"/>
  <c r="H817" i="17"/>
  <c r="G817" i="17"/>
  <c r="F817" i="17"/>
  <c r="D817" i="17"/>
  <c r="C817" i="17"/>
  <c r="B817" i="17"/>
  <c r="H816" i="17"/>
  <c r="G816" i="17"/>
  <c r="F816" i="17"/>
  <c r="D816" i="17"/>
  <c r="C816" i="17"/>
  <c r="B816" i="17"/>
  <c r="H815" i="17"/>
  <c r="G815" i="17"/>
  <c r="F815" i="17"/>
  <c r="D815" i="17"/>
  <c r="C815" i="17"/>
  <c r="B815" i="17"/>
  <c r="H814" i="17"/>
  <c r="G814" i="17"/>
  <c r="F814" i="17"/>
  <c r="D814" i="17"/>
  <c r="C814" i="17"/>
  <c r="B814" i="17"/>
  <c r="H813" i="17"/>
  <c r="G813" i="17"/>
  <c r="F813" i="17"/>
  <c r="D813" i="17"/>
  <c r="C813" i="17"/>
  <c r="B813" i="17"/>
  <c r="H812" i="17"/>
  <c r="G812" i="17"/>
  <c r="F812" i="17"/>
  <c r="D812" i="17"/>
  <c r="C812" i="17"/>
  <c r="B812" i="17"/>
  <c r="H811" i="17"/>
  <c r="G811" i="17"/>
  <c r="F811" i="17"/>
  <c r="D811" i="17"/>
  <c r="C811" i="17"/>
  <c r="B811" i="17"/>
  <c r="H810" i="17"/>
  <c r="G810" i="17"/>
  <c r="F810" i="17"/>
  <c r="D810" i="17"/>
  <c r="C810" i="17"/>
  <c r="B810" i="17"/>
  <c r="H809" i="17"/>
  <c r="G809" i="17"/>
  <c r="F809" i="17"/>
  <c r="D809" i="17"/>
  <c r="C809" i="17"/>
  <c r="B809" i="17"/>
  <c r="H808" i="17"/>
  <c r="G808" i="17"/>
  <c r="F808" i="17"/>
  <c r="D808" i="17"/>
  <c r="C808" i="17"/>
  <c r="B808" i="17"/>
  <c r="H807" i="17"/>
  <c r="G807" i="17"/>
  <c r="F807" i="17"/>
  <c r="D807" i="17"/>
  <c r="C807" i="17"/>
  <c r="B807" i="17"/>
  <c r="H806" i="17"/>
  <c r="G806" i="17"/>
  <c r="F806" i="17"/>
  <c r="D806" i="17"/>
  <c r="C806" i="17"/>
  <c r="B806" i="17"/>
  <c r="H805" i="17"/>
  <c r="G805" i="17"/>
  <c r="F805" i="17"/>
  <c r="D805" i="17"/>
  <c r="C805" i="17"/>
  <c r="B805" i="17"/>
  <c r="H804" i="17"/>
  <c r="G804" i="17"/>
  <c r="F804" i="17"/>
  <c r="D804" i="17"/>
  <c r="C804" i="17"/>
  <c r="B804" i="17"/>
  <c r="H803" i="17"/>
  <c r="G803" i="17"/>
  <c r="F803" i="17"/>
  <c r="D803" i="17"/>
  <c r="C803" i="17"/>
  <c r="B803" i="17"/>
  <c r="H802" i="17"/>
  <c r="G802" i="17"/>
  <c r="F802" i="17"/>
  <c r="D802" i="17"/>
  <c r="C802" i="17"/>
  <c r="B802" i="17"/>
  <c r="H801" i="17"/>
  <c r="G801" i="17"/>
  <c r="F801" i="17"/>
  <c r="D801" i="17"/>
  <c r="C801" i="17"/>
  <c r="B801" i="17"/>
  <c r="H800" i="17"/>
  <c r="G800" i="17"/>
  <c r="F800" i="17"/>
  <c r="D800" i="17"/>
  <c r="C800" i="17"/>
  <c r="B800" i="17"/>
  <c r="H799" i="17"/>
  <c r="G799" i="17"/>
  <c r="F799" i="17"/>
  <c r="D799" i="17"/>
  <c r="C799" i="17"/>
  <c r="B799" i="17"/>
  <c r="H798" i="17"/>
  <c r="G798" i="17"/>
  <c r="F798" i="17"/>
  <c r="D798" i="17"/>
  <c r="C798" i="17"/>
  <c r="B798" i="17"/>
  <c r="H797" i="17"/>
  <c r="G797" i="17"/>
  <c r="F797" i="17"/>
  <c r="D797" i="17"/>
  <c r="C797" i="17"/>
  <c r="B797" i="17"/>
  <c r="H796" i="17"/>
  <c r="G796" i="17"/>
  <c r="F796" i="17"/>
  <c r="D796" i="17"/>
  <c r="C796" i="17"/>
  <c r="B796" i="17"/>
  <c r="H795" i="17"/>
  <c r="G795" i="17"/>
  <c r="F795" i="17"/>
  <c r="D795" i="17"/>
  <c r="C795" i="17"/>
  <c r="B795" i="17"/>
  <c r="H794" i="17"/>
  <c r="G794" i="17"/>
  <c r="F794" i="17"/>
  <c r="D794" i="17"/>
  <c r="C794" i="17"/>
  <c r="B794" i="17"/>
  <c r="H793" i="17"/>
  <c r="G793" i="17"/>
  <c r="F793" i="17"/>
  <c r="D793" i="17"/>
  <c r="C793" i="17"/>
  <c r="B793" i="17"/>
  <c r="H792" i="17"/>
  <c r="G792" i="17"/>
  <c r="F792" i="17"/>
  <c r="D792" i="17"/>
  <c r="C792" i="17"/>
  <c r="B792" i="17"/>
  <c r="H791" i="17"/>
  <c r="G791" i="17"/>
  <c r="F791" i="17"/>
  <c r="D791" i="17"/>
  <c r="C791" i="17"/>
  <c r="B791" i="17"/>
  <c r="H790" i="17"/>
  <c r="G790" i="17"/>
  <c r="F790" i="17"/>
  <c r="D790" i="17"/>
  <c r="C790" i="17"/>
  <c r="B790" i="17"/>
  <c r="H789" i="17"/>
  <c r="G789" i="17"/>
  <c r="F789" i="17"/>
  <c r="D789" i="17"/>
  <c r="C789" i="17"/>
  <c r="B789" i="17"/>
  <c r="H788" i="17"/>
  <c r="G788" i="17"/>
  <c r="F788" i="17"/>
  <c r="D788" i="17"/>
  <c r="C788" i="17"/>
  <c r="B788" i="17"/>
  <c r="H787" i="17"/>
  <c r="G787" i="17"/>
  <c r="F787" i="17"/>
  <c r="D787" i="17"/>
  <c r="C787" i="17"/>
  <c r="B787" i="17"/>
  <c r="H786" i="17"/>
  <c r="G786" i="17"/>
  <c r="F786" i="17"/>
  <c r="D786" i="17"/>
  <c r="C786" i="17"/>
  <c r="B786" i="17"/>
  <c r="H785" i="17"/>
  <c r="G785" i="17"/>
  <c r="F785" i="17"/>
  <c r="D785" i="17"/>
  <c r="C785" i="17"/>
  <c r="B785" i="17"/>
  <c r="H784" i="17"/>
  <c r="G784" i="17"/>
  <c r="F784" i="17"/>
  <c r="D784" i="17"/>
  <c r="C784" i="17"/>
  <c r="B784" i="17"/>
  <c r="H783" i="17"/>
  <c r="G783" i="17"/>
  <c r="F783" i="17"/>
  <c r="D783" i="17"/>
  <c r="C783" i="17"/>
  <c r="B783" i="17"/>
  <c r="H782" i="17"/>
  <c r="G782" i="17"/>
  <c r="F782" i="17"/>
  <c r="D782" i="17"/>
  <c r="C782" i="17"/>
  <c r="B782" i="17"/>
  <c r="H781" i="17"/>
  <c r="G781" i="17"/>
  <c r="F781" i="17"/>
  <c r="D781" i="17"/>
  <c r="C781" i="17"/>
  <c r="B781" i="17"/>
  <c r="H780" i="17"/>
  <c r="G780" i="17"/>
  <c r="F780" i="17"/>
  <c r="D780" i="17"/>
  <c r="C780" i="17"/>
  <c r="B780" i="17"/>
  <c r="H779" i="17"/>
  <c r="G779" i="17"/>
  <c r="F779" i="17"/>
  <c r="D779" i="17"/>
  <c r="C779" i="17"/>
  <c r="B779" i="17"/>
  <c r="H778" i="17"/>
  <c r="G778" i="17"/>
  <c r="F778" i="17"/>
  <c r="D778" i="17"/>
  <c r="C778" i="17"/>
  <c r="B778" i="17"/>
  <c r="H777" i="17"/>
  <c r="G777" i="17"/>
  <c r="F777" i="17"/>
  <c r="D777" i="17"/>
  <c r="C777" i="17"/>
  <c r="B777" i="17"/>
  <c r="H776" i="17"/>
  <c r="G776" i="17"/>
  <c r="F776" i="17"/>
  <c r="D776" i="17"/>
  <c r="C776" i="17"/>
  <c r="B776" i="17"/>
  <c r="H775" i="17"/>
  <c r="G775" i="17"/>
  <c r="F775" i="17"/>
  <c r="D775" i="17"/>
  <c r="C775" i="17"/>
  <c r="B775" i="17"/>
  <c r="H774" i="17"/>
  <c r="G774" i="17"/>
  <c r="F774" i="17"/>
  <c r="D774" i="17"/>
  <c r="C774" i="17"/>
  <c r="B774" i="17"/>
  <c r="H773" i="17"/>
  <c r="G773" i="17"/>
  <c r="F773" i="17"/>
  <c r="D773" i="17"/>
  <c r="C773" i="17"/>
  <c r="B773" i="17"/>
  <c r="H772" i="17"/>
  <c r="G772" i="17"/>
  <c r="F772" i="17"/>
  <c r="D772" i="17"/>
  <c r="C772" i="17"/>
  <c r="B772" i="17"/>
  <c r="H771" i="17"/>
  <c r="G771" i="17"/>
  <c r="F771" i="17"/>
  <c r="D771" i="17"/>
  <c r="C771" i="17"/>
  <c r="B771" i="17"/>
  <c r="H770" i="17"/>
  <c r="G770" i="17"/>
  <c r="F770" i="17"/>
  <c r="D770" i="17"/>
  <c r="C770" i="17"/>
  <c r="B770" i="17"/>
  <c r="H769" i="17"/>
  <c r="G769" i="17"/>
  <c r="F769" i="17"/>
  <c r="D769" i="17"/>
  <c r="C769" i="17"/>
  <c r="B769" i="17"/>
  <c r="H768" i="17"/>
  <c r="G768" i="17"/>
  <c r="F768" i="17"/>
  <c r="D768" i="17"/>
  <c r="C768" i="17"/>
  <c r="B768" i="17"/>
  <c r="H767" i="17"/>
  <c r="G767" i="17"/>
  <c r="F767" i="17"/>
  <c r="D767" i="17"/>
  <c r="C767" i="17"/>
  <c r="B767" i="17"/>
  <c r="H766" i="17"/>
  <c r="G766" i="17"/>
  <c r="F766" i="17"/>
  <c r="D766" i="17"/>
  <c r="C766" i="17"/>
  <c r="B766" i="17"/>
  <c r="H765" i="17"/>
  <c r="G765" i="17"/>
  <c r="F765" i="17"/>
  <c r="D765" i="17"/>
  <c r="C765" i="17"/>
  <c r="B765" i="17"/>
  <c r="H764" i="17"/>
  <c r="G764" i="17"/>
  <c r="F764" i="17"/>
  <c r="D764" i="17"/>
  <c r="C764" i="17"/>
  <c r="B764" i="17"/>
  <c r="H763" i="17"/>
  <c r="G763" i="17"/>
  <c r="F763" i="17"/>
  <c r="D763" i="17"/>
  <c r="C763" i="17"/>
  <c r="B763" i="17"/>
  <c r="H762" i="17"/>
  <c r="G762" i="17"/>
  <c r="F762" i="17"/>
  <c r="D762" i="17"/>
  <c r="C762" i="17"/>
  <c r="B762" i="17"/>
  <c r="H761" i="17"/>
  <c r="G761" i="17"/>
  <c r="F761" i="17"/>
  <c r="D761" i="17"/>
  <c r="C761" i="17"/>
  <c r="B761" i="17"/>
  <c r="H760" i="17"/>
  <c r="G760" i="17"/>
  <c r="F760" i="17"/>
  <c r="D760" i="17"/>
  <c r="C760" i="17"/>
  <c r="B760" i="17"/>
  <c r="H759" i="17"/>
  <c r="G759" i="17"/>
  <c r="F759" i="17"/>
  <c r="D759" i="17"/>
  <c r="C759" i="17"/>
  <c r="B759" i="17"/>
  <c r="H758" i="17"/>
  <c r="G758" i="17"/>
  <c r="F758" i="17"/>
  <c r="D758" i="17"/>
  <c r="C758" i="17"/>
  <c r="B758" i="17"/>
  <c r="H757" i="17"/>
  <c r="G757" i="17"/>
  <c r="F757" i="17"/>
  <c r="D757" i="17"/>
  <c r="C757" i="17"/>
  <c r="B757" i="17"/>
  <c r="H756" i="17"/>
  <c r="G756" i="17"/>
  <c r="F756" i="17"/>
  <c r="D756" i="17"/>
  <c r="C756" i="17"/>
  <c r="B756" i="17"/>
  <c r="H755" i="17"/>
  <c r="G755" i="17"/>
  <c r="F755" i="17"/>
  <c r="D755" i="17"/>
  <c r="C755" i="17"/>
  <c r="B755" i="17"/>
  <c r="H754" i="17"/>
  <c r="G754" i="17"/>
  <c r="F754" i="17"/>
  <c r="D754" i="17"/>
  <c r="C754" i="17"/>
  <c r="B754" i="17"/>
  <c r="H753" i="17"/>
  <c r="G753" i="17"/>
  <c r="F753" i="17"/>
  <c r="D753" i="17"/>
  <c r="C753" i="17"/>
  <c r="B753" i="17"/>
  <c r="H752" i="17"/>
  <c r="G752" i="17"/>
  <c r="F752" i="17"/>
  <c r="D752" i="17"/>
  <c r="C752" i="17"/>
  <c r="B752" i="17"/>
  <c r="H751" i="17"/>
  <c r="G751" i="17"/>
  <c r="F751" i="17"/>
  <c r="D751" i="17"/>
  <c r="C751" i="17"/>
  <c r="B751" i="17"/>
  <c r="H750" i="17"/>
  <c r="G750" i="17"/>
  <c r="F750" i="17"/>
  <c r="D750" i="17"/>
  <c r="C750" i="17"/>
  <c r="B750" i="17"/>
  <c r="H749" i="17"/>
  <c r="G749" i="17"/>
  <c r="F749" i="17"/>
  <c r="D749" i="17"/>
  <c r="C749" i="17"/>
  <c r="B749" i="17"/>
  <c r="H748" i="17"/>
  <c r="G748" i="17"/>
  <c r="F748" i="17"/>
  <c r="D748" i="17"/>
  <c r="C748" i="17"/>
  <c r="B748" i="17"/>
  <c r="H747" i="17"/>
  <c r="G747" i="17"/>
  <c r="F747" i="17"/>
  <c r="D747" i="17"/>
  <c r="C747" i="17"/>
  <c r="B747" i="17"/>
  <c r="H746" i="17"/>
  <c r="G746" i="17"/>
  <c r="F746" i="17"/>
  <c r="D746" i="17"/>
  <c r="C746" i="17"/>
  <c r="B746" i="17"/>
  <c r="H745" i="17"/>
  <c r="G745" i="17"/>
  <c r="F745" i="17"/>
  <c r="D745" i="17"/>
  <c r="C745" i="17"/>
  <c r="B745" i="17"/>
  <c r="H744" i="17"/>
  <c r="G744" i="17"/>
  <c r="F744" i="17"/>
  <c r="D744" i="17"/>
  <c r="C744" i="17"/>
  <c r="B744" i="17"/>
  <c r="H743" i="17"/>
  <c r="G743" i="17"/>
  <c r="F743" i="17"/>
  <c r="D743" i="17"/>
  <c r="C743" i="17"/>
  <c r="B743" i="17"/>
  <c r="H742" i="17"/>
  <c r="G742" i="17"/>
  <c r="F742" i="17"/>
  <c r="D742" i="17"/>
  <c r="C742" i="17"/>
  <c r="B742" i="17"/>
  <c r="H741" i="17"/>
  <c r="G741" i="17"/>
  <c r="F741" i="17"/>
  <c r="D741" i="17"/>
  <c r="C741" i="17"/>
  <c r="B741" i="17"/>
  <c r="H740" i="17"/>
  <c r="G740" i="17"/>
  <c r="F740" i="17"/>
  <c r="D740" i="17"/>
  <c r="C740" i="17"/>
  <c r="B740" i="17"/>
  <c r="H739" i="17"/>
  <c r="G739" i="17"/>
  <c r="F739" i="17"/>
  <c r="D739" i="17"/>
  <c r="C739" i="17"/>
  <c r="B739" i="17"/>
  <c r="H738" i="17"/>
  <c r="G738" i="17"/>
  <c r="F738" i="17"/>
  <c r="D738" i="17"/>
  <c r="C738" i="17"/>
  <c r="B738" i="17"/>
  <c r="H737" i="17"/>
  <c r="G737" i="17"/>
  <c r="F737" i="17"/>
  <c r="D737" i="17"/>
  <c r="C737" i="17"/>
  <c r="B737" i="17"/>
  <c r="H736" i="17"/>
  <c r="G736" i="17"/>
  <c r="F736" i="17"/>
  <c r="D736" i="17"/>
  <c r="C736" i="17"/>
  <c r="B736" i="17"/>
  <c r="H735" i="17"/>
  <c r="G735" i="17"/>
  <c r="F735" i="17"/>
  <c r="D735" i="17"/>
  <c r="C735" i="17"/>
  <c r="B735" i="17"/>
  <c r="H734" i="17"/>
  <c r="G734" i="17"/>
  <c r="F734" i="17"/>
  <c r="D734" i="17"/>
  <c r="C734" i="17"/>
  <c r="B734" i="17"/>
  <c r="H733" i="17"/>
  <c r="G733" i="17"/>
  <c r="F733" i="17"/>
  <c r="D733" i="17"/>
  <c r="C733" i="17"/>
  <c r="B733" i="17"/>
  <c r="H732" i="17"/>
  <c r="G732" i="17"/>
  <c r="F732" i="17"/>
  <c r="D732" i="17"/>
  <c r="C732" i="17"/>
  <c r="B732" i="17"/>
  <c r="H731" i="17"/>
  <c r="G731" i="17"/>
  <c r="F731" i="17"/>
  <c r="D731" i="17"/>
  <c r="C731" i="17"/>
  <c r="B731" i="17"/>
  <c r="H730" i="17"/>
  <c r="G730" i="17"/>
  <c r="F730" i="17"/>
  <c r="D730" i="17"/>
  <c r="C730" i="17"/>
  <c r="B730" i="17"/>
  <c r="H729" i="17"/>
  <c r="G729" i="17"/>
  <c r="F729" i="17"/>
  <c r="D729" i="17"/>
  <c r="C729" i="17"/>
  <c r="B729" i="17"/>
  <c r="H728" i="17"/>
  <c r="G728" i="17"/>
  <c r="F728" i="17"/>
  <c r="D728" i="17"/>
  <c r="C728" i="17"/>
  <c r="B728" i="17"/>
  <c r="H727" i="17"/>
  <c r="G727" i="17"/>
  <c r="F727" i="17"/>
  <c r="D727" i="17"/>
  <c r="C727" i="17"/>
  <c r="B727" i="17"/>
  <c r="H726" i="17"/>
  <c r="G726" i="17"/>
  <c r="F726" i="17"/>
  <c r="D726" i="17"/>
  <c r="C726" i="17"/>
  <c r="B726" i="17"/>
  <c r="H725" i="17"/>
  <c r="G725" i="17"/>
  <c r="F725" i="17"/>
  <c r="D725" i="17"/>
  <c r="C725" i="17"/>
  <c r="B725" i="17"/>
  <c r="H724" i="17"/>
  <c r="G724" i="17"/>
  <c r="F724" i="17"/>
  <c r="D724" i="17"/>
  <c r="C724" i="17"/>
  <c r="B724" i="17"/>
  <c r="H723" i="17"/>
  <c r="G723" i="17"/>
  <c r="F723" i="17"/>
  <c r="D723" i="17"/>
  <c r="C723" i="17"/>
  <c r="B723" i="17"/>
  <c r="H722" i="17"/>
  <c r="G722" i="17"/>
  <c r="F722" i="17"/>
  <c r="D722" i="17"/>
  <c r="C722" i="17"/>
  <c r="B722" i="17"/>
  <c r="H721" i="17"/>
  <c r="G721" i="17"/>
  <c r="F721" i="17"/>
  <c r="D721" i="17"/>
  <c r="C721" i="17"/>
  <c r="B721" i="17"/>
  <c r="H720" i="17"/>
  <c r="G720" i="17"/>
  <c r="F720" i="17"/>
  <c r="D720" i="17"/>
  <c r="C720" i="17"/>
  <c r="B720" i="17"/>
  <c r="H719" i="17"/>
  <c r="G719" i="17"/>
  <c r="F719" i="17"/>
  <c r="D719" i="17"/>
  <c r="C719" i="17"/>
  <c r="B719" i="17"/>
  <c r="H718" i="17"/>
  <c r="G718" i="17"/>
  <c r="F718" i="17"/>
  <c r="D718" i="17"/>
  <c r="C718" i="17"/>
  <c r="B718" i="17"/>
  <c r="H717" i="17"/>
  <c r="G717" i="17"/>
  <c r="F717" i="17"/>
  <c r="D717" i="17"/>
  <c r="C717" i="17"/>
  <c r="B717" i="17"/>
  <c r="H716" i="17"/>
  <c r="G716" i="17"/>
  <c r="F716" i="17"/>
  <c r="D716" i="17"/>
  <c r="C716" i="17"/>
  <c r="B716" i="17"/>
  <c r="H715" i="17"/>
  <c r="G715" i="17"/>
  <c r="F715" i="17"/>
  <c r="D715" i="17"/>
  <c r="C715" i="17"/>
  <c r="B715" i="17"/>
  <c r="H714" i="17"/>
  <c r="G714" i="17"/>
  <c r="F714" i="17"/>
  <c r="D714" i="17"/>
  <c r="C714" i="17"/>
  <c r="B714" i="17"/>
  <c r="H713" i="17"/>
  <c r="G713" i="17"/>
  <c r="F713" i="17"/>
  <c r="D713" i="17"/>
  <c r="C713" i="17"/>
  <c r="B713" i="17"/>
  <c r="H712" i="17"/>
  <c r="G712" i="17"/>
  <c r="F712" i="17"/>
  <c r="D712" i="17"/>
  <c r="C712" i="17"/>
  <c r="B712" i="17"/>
  <c r="H711" i="17"/>
  <c r="G711" i="17"/>
  <c r="F711" i="17"/>
  <c r="D711" i="17"/>
  <c r="C711" i="17"/>
  <c r="B711" i="17"/>
  <c r="H710" i="17"/>
  <c r="G710" i="17"/>
  <c r="F710" i="17"/>
  <c r="D710" i="17"/>
  <c r="C710" i="17"/>
  <c r="B710" i="17"/>
  <c r="H709" i="17"/>
  <c r="G709" i="17"/>
  <c r="F709" i="17"/>
  <c r="D709" i="17"/>
  <c r="C709" i="17"/>
  <c r="B709" i="17"/>
  <c r="H708" i="17"/>
  <c r="G708" i="17"/>
  <c r="F708" i="17"/>
  <c r="D708" i="17"/>
  <c r="C708" i="17"/>
  <c r="B708" i="17"/>
  <c r="H707" i="17"/>
  <c r="G707" i="17"/>
  <c r="F707" i="17"/>
  <c r="D707" i="17"/>
  <c r="C707" i="17"/>
  <c r="B707" i="17"/>
  <c r="H706" i="17"/>
  <c r="G706" i="17"/>
  <c r="F706" i="17"/>
  <c r="D706" i="17"/>
  <c r="C706" i="17"/>
  <c r="B706" i="17"/>
  <c r="H705" i="17"/>
  <c r="G705" i="17"/>
  <c r="F705" i="17"/>
  <c r="D705" i="17"/>
  <c r="C705" i="17"/>
  <c r="B705" i="17"/>
  <c r="H704" i="17"/>
  <c r="G704" i="17"/>
  <c r="F704" i="17"/>
  <c r="D704" i="17"/>
  <c r="C704" i="17"/>
  <c r="B704" i="17"/>
  <c r="H703" i="17"/>
  <c r="G703" i="17"/>
  <c r="F703" i="17"/>
  <c r="D703" i="17"/>
  <c r="C703" i="17"/>
  <c r="B703" i="17"/>
  <c r="H702" i="17"/>
  <c r="G702" i="17"/>
  <c r="F702" i="17"/>
  <c r="D702" i="17"/>
  <c r="C702" i="17"/>
  <c r="B702" i="17"/>
  <c r="H701" i="17"/>
  <c r="G701" i="17"/>
  <c r="F701" i="17"/>
  <c r="D701" i="17"/>
  <c r="C701" i="17"/>
  <c r="B701" i="17"/>
  <c r="H700" i="17"/>
  <c r="G700" i="17"/>
  <c r="F700" i="17"/>
  <c r="D700" i="17"/>
  <c r="C700" i="17"/>
  <c r="B700" i="17"/>
  <c r="H699" i="17"/>
  <c r="G699" i="17"/>
  <c r="F699" i="17"/>
  <c r="D699" i="17"/>
  <c r="C699" i="17"/>
  <c r="B699" i="17"/>
  <c r="H698" i="17"/>
  <c r="G698" i="17"/>
  <c r="F698" i="17"/>
  <c r="D698" i="17"/>
  <c r="C698" i="17"/>
  <c r="B698" i="17"/>
  <c r="H697" i="17"/>
  <c r="G697" i="17"/>
  <c r="F697" i="17"/>
  <c r="D697" i="17"/>
  <c r="C697" i="17"/>
  <c r="B697" i="17"/>
  <c r="H696" i="17"/>
  <c r="G696" i="17"/>
  <c r="F696" i="17"/>
  <c r="D696" i="17"/>
  <c r="C696" i="17"/>
  <c r="B696" i="17"/>
  <c r="H695" i="17"/>
  <c r="G695" i="17"/>
  <c r="F695" i="17"/>
  <c r="D695" i="17"/>
  <c r="C695" i="17"/>
  <c r="B695" i="17"/>
  <c r="H694" i="17"/>
  <c r="G694" i="17"/>
  <c r="F694" i="17"/>
  <c r="D694" i="17"/>
  <c r="C694" i="17"/>
  <c r="B694" i="17"/>
  <c r="H693" i="17"/>
  <c r="G693" i="17"/>
  <c r="F693" i="17"/>
  <c r="D693" i="17"/>
  <c r="C693" i="17"/>
  <c r="B693" i="17"/>
  <c r="H692" i="17"/>
  <c r="G692" i="17"/>
  <c r="F692" i="17"/>
  <c r="D692" i="17"/>
  <c r="C692" i="17"/>
  <c r="B692" i="17"/>
  <c r="H691" i="17"/>
  <c r="G691" i="17"/>
  <c r="F691" i="17"/>
  <c r="D691" i="17"/>
  <c r="C691" i="17"/>
  <c r="B691" i="17"/>
  <c r="H690" i="17"/>
  <c r="G690" i="17"/>
  <c r="F690" i="17"/>
  <c r="D690" i="17"/>
  <c r="C690" i="17"/>
  <c r="B690" i="17"/>
  <c r="H689" i="17"/>
  <c r="G689" i="17"/>
  <c r="F689" i="17"/>
  <c r="D689" i="17"/>
  <c r="C689" i="17"/>
  <c r="B689" i="17"/>
  <c r="H688" i="17"/>
  <c r="G688" i="17"/>
  <c r="F688" i="17"/>
  <c r="D688" i="17"/>
  <c r="C688" i="17"/>
  <c r="B688" i="17"/>
  <c r="H687" i="17"/>
  <c r="G687" i="17"/>
  <c r="F687" i="17"/>
  <c r="D687" i="17"/>
  <c r="C687" i="17"/>
  <c r="B687" i="17"/>
  <c r="H686" i="17"/>
  <c r="G686" i="17"/>
  <c r="F686" i="17"/>
  <c r="D686" i="17"/>
  <c r="C686" i="17"/>
  <c r="B686" i="17"/>
  <c r="H685" i="17"/>
  <c r="G685" i="17"/>
  <c r="F685" i="17"/>
  <c r="D685" i="17"/>
  <c r="C685" i="17"/>
  <c r="B685" i="17"/>
  <c r="H684" i="17"/>
  <c r="G684" i="17"/>
  <c r="F684" i="17"/>
  <c r="D684" i="17"/>
  <c r="C684" i="17"/>
  <c r="B684" i="17"/>
  <c r="H683" i="17"/>
  <c r="G683" i="17"/>
  <c r="F683" i="17"/>
  <c r="D683" i="17"/>
  <c r="C683" i="17"/>
  <c r="B683" i="17"/>
  <c r="H682" i="17"/>
  <c r="G682" i="17"/>
  <c r="F682" i="17"/>
  <c r="D682" i="17"/>
  <c r="C682" i="17"/>
  <c r="B682" i="17"/>
  <c r="H681" i="17"/>
  <c r="G681" i="17"/>
  <c r="F681" i="17"/>
  <c r="D681" i="17"/>
  <c r="C681" i="17"/>
  <c r="B681" i="17"/>
  <c r="H680" i="17"/>
  <c r="G680" i="17"/>
  <c r="F680" i="17"/>
  <c r="D680" i="17"/>
  <c r="C680" i="17"/>
  <c r="B680" i="17"/>
  <c r="H679" i="17"/>
  <c r="G679" i="17"/>
  <c r="F679" i="17"/>
  <c r="D679" i="17"/>
  <c r="C679" i="17"/>
  <c r="B679" i="17"/>
  <c r="H678" i="17"/>
  <c r="G678" i="17"/>
  <c r="F678" i="17"/>
  <c r="D678" i="17"/>
  <c r="C678" i="17"/>
  <c r="B678" i="17"/>
  <c r="H677" i="17"/>
  <c r="G677" i="17"/>
  <c r="F677" i="17"/>
  <c r="D677" i="17"/>
  <c r="C677" i="17"/>
  <c r="B677" i="17"/>
  <c r="H676" i="17"/>
  <c r="G676" i="17"/>
  <c r="F676" i="17"/>
  <c r="D676" i="17"/>
  <c r="C676" i="17"/>
  <c r="B676" i="17"/>
  <c r="H675" i="17"/>
  <c r="G675" i="17"/>
  <c r="F675" i="17"/>
  <c r="D675" i="17"/>
  <c r="C675" i="17"/>
  <c r="B675" i="17"/>
  <c r="H674" i="17"/>
  <c r="G674" i="17"/>
  <c r="F674" i="17"/>
  <c r="D674" i="17"/>
  <c r="C674" i="17"/>
  <c r="B674" i="17"/>
  <c r="H673" i="17"/>
  <c r="G673" i="17"/>
  <c r="F673" i="17"/>
  <c r="D673" i="17"/>
  <c r="C673" i="17"/>
  <c r="B673" i="17"/>
  <c r="H672" i="17"/>
  <c r="G672" i="17"/>
  <c r="F672" i="17"/>
  <c r="D672" i="17"/>
  <c r="C672" i="17"/>
  <c r="B672" i="17"/>
  <c r="H671" i="17"/>
  <c r="G671" i="17"/>
  <c r="F671" i="17"/>
  <c r="D671" i="17"/>
  <c r="C671" i="17"/>
  <c r="B671" i="17"/>
  <c r="H670" i="17"/>
  <c r="G670" i="17"/>
  <c r="F670" i="17"/>
  <c r="D670" i="17"/>
  <c r="C670" i="17"/>
  <c r="B670" i="17"/>
  <c r="H669" i="17"/>
  <c r="G669" i="17"/>
  <c r="F669" i="17"/>
  <c r="D669" i="17"/>
  <c r="C669" i="17"/>
  <c r="B669" i="17"/>
  <c r="H668" i="17"/>
  <c r="G668" i="17"/>
  <c r="F668" i="17"/>
  <c r="D668" i="17"/>
  <c r="C668" i="17"/>
  <c r="B668" i="17"/>
  <c r="H667" i="17"/>
  <c r="G667" i="17"/>
  <c r="F667" i="17"/>
  <c r="D667" i="17"/>
  <c r="C667" i="17"/>
  <c r="B667" i="17"/>
  <c r="H666" i="17"/>
  <c r="G666" i="17"/>
  <c r="F666" i="17"/>
  <c r="D666" i="17"/>
  <c r="C666" i="17"/>
  <c r="B666" i="17"/>
  <c r="H665" i="17"/>
  <c r="G665" i="17"/>
  <c r="F665" i="17"/>
  <c r="D665" i="17"/>
  <c r="C665" i="17"/>
  <c r="B665" i="17"/>
  <c r="H664" i="17"/>
  <c r="G664" i="17"/>
  <c r="F664" i="17"/>
  <c r="D664" i="17"/>
  <c r="C664" i="17"/>
  <c r="B664" i="17"/>
  <c r="H663" i="17"/>
  <c r="G663" i="17"/>
  <c r="F663" i="17"/>
  <c r="D663" i="17"/>
  <c r="C663" i="17"/>
  <c r="B663" i="17"/>
  <c r="H662" i="17"/>
  <c r="G662" i="17"/>
  <c r="F662" i="17"/>
  <c r="D662" i="17"/>
  <c r="C662" i="17"/>
  <c r="B662" i="17"/>
  <c r="H661" i="17"/>
  <c r="G661" i="17"/>
  <c r="F661" i="17"/>
  <c r="D661" i="17"/>
  <c r="C661" i="17"/>
  <c r="B661" i="17"/>
  <c r="H660" i="17"/>
  <c r="G660" i="17"/>
  <c r="F660" i="17"/>
  <c r="D660" i="17"/>
  <c r="C660" i="17"/>
  <c r="B660" i="17"/>
  <c r="H659" i="17"/>
  <c r="G659" i="17"/>
  <c r="F659" i="17"/>
  <c r="D659" i="17"/>
  <c r="C659" i="17"/>
  <c r="B659" i="17"/>
  <c r="H658" i="17"/>
  <c r="G658" i="17"/>
  <c r="F658" i="17"/>
  <c r="D658" i="17"/>
  <c r="C658" i="17"/>
  <c r="B658" i="17"/>
  <c r="H657" i="17"/>
  <c r="G657" i="17"/>
  <c r="F657" i="17"/>
  <c r="D657" i="17"/>
  <c r="C657" i="17"/>
  <c r="B657" i="17"/>
  <c r="H656" i="17"/>
  <c r="G656" i="17"/>
  <c r="F656" i="17"/>
  <c r="D656" i="17"/>
  <c r="C656" i="17"/>
  <c r="B656" i="17"/>
  <c r="H655" i="17"/>
  <c r="G655" i="17"/>
  <c r="F655" i="17"/>
  <c r="D655" i="17"/>
  <c r="C655" i="17"/>
  <c r="B655" i="17"/>
  <c r="H654" i="17"/>
  <c r="G654" i="17"/>
  <c r="F654" i="17"/>
  <c r="D654" i="17"/>
  <c r="C654" i="17"/>
  <c r="B654" i="17"/>
  <c r="H653" i="17"/>
  <c r="G653" i="17"/>
  <c r="F653" i="17"/>
  <c r="D653" i="17"/>
  <c r="C653" i="17"/>
  <c r="B653" i="17"/>
  <c r="H652" i="17"/>
  <c r="G652" i="17"/>
  <c r="F652" i="17"/>
  <c r="D652" i="17"/>
  <c r="C652" i="17"/>
  <c r="B652" i="17"/>
  <c r="H651" i="17"/>
  <c r="G651" i="17"/>
  <c r="F651" i="17"/>
  <c r="D651" i="17"/>
  <c r="C651" i="17"/>
  <c r="B651" i="17"/>
  <c r="H650" i="17"/>
  <c r="G650" i="17"/>
  <c r="F650" i="17"/>
  <c r="D650" i="17"/>
  <c r="C650" i="17"/>
  <c r="B650" i="17"/>
  <c r="H649" i="17"/>
  <c r="G649" i="17"/>
  <c r="F649" i="17"/>
  <c r="D649" i="17"/>
  <c r="C649" i="17"/>
  <c r="B649" i="17"/>
  <c r="H648" i="17"/>
  <c r="G648" i="17"/>
  <c r="F648" i="17"/>
  <c r="D648" i="17"/>
  <c r="C648" i="17"/>
  <c r="B648" i="17"/>
  <c r="H647" i="17"/>
  <c r="G647" i="17"/>
  <c r="F647" i="17"/>
  <c r="D647" i="17"/>
  <c r="C647" i="17"/>
  <c r="B647" i="17"/>
  <c r="H646" i="17"/>
  <c r="G646" i="17"/>
  <c r="F646" i="17"/>
  <c r="D646" i="17"/>
  <c r="C646" i="17"/>
  <c r="B646" i="17"/>
  <c r="H645" i="17"/>
  <c r="G645" i="17"/>
  <c r="F645" i="17"/>
  <c r="D645" i="17"/>
  <c r="C645" i="17"/>
  <c r="B645" i="17"/>
  <c r="H644" i="17"/>
  <c r="G644" i="17"/>
  <c r="F644" i="17"/>
  <c r="D644" i="17"/>
  <c r="C644" i="17"/>
  <c r="B644" i="17"/>
  <c r="H643" i="17"/>
  <c r="G643" i="17"/>
  <c r="F643" i="17"/>
  <c r="D643" i="17"/>
  <c r="C643" i="17"/>
  <c r="B643" i="17"/>
  <c r="H642" i="17"/>
  <c r="G642" i="17"/>
  <c r="F642" i="17"/>
  <c r="D642" i="17"/>
  <c r="C642" i="17"/>
  <c r="B642" i="17"/>
  <c r="H641" i="17"/>
  <c r="G641" i="17"/>
  <c r="F641" i="17"/>
  <c r="D641" i="17"/>
  <c r="C641" i="17"/>
  <c r="B641" i="17"/>
  <c r="H640" i="17"/>
  <c r="G640" i="17"/>
  <c r="F640" i="17"/>
  <c r="D640" i="17"/>
  <c r="C640" i="17"/>
  <c r="B640" i="17"/>
  <c r="H639" i="17"/>
  <c r="G639" i="17"/>
  <c r="F639" i="17"/>
  <c r="D639" i="17"/>
  <c r="C639" i="17"/>
  <c r="B639" i="17"/>
  <c r="H638" i="17"/>
  <c r="G638" i="17"/>
  <c r="F638" i="17"/>
  <c r="D638" i="17"/>
  <c r="C638" i="17"/>
  <c r="B638" i="17"/>
  <c r="H637" i="17"/>
  <c r="G637" i="17"/>
  <c r="F637" i="17"/>
  <c r="D637" i="17"/>
  <c r="C637" i="17"/>
  <c r="B637" i="17"/>
  <c r="H636" i="17"/>
  <c r="G636" i="17"/>
  <c r="F636" i="17"/>
  <c r="D636" i="17"/>
  <c r="C636" i="17"/>
  <c r="B636" i="17"/>
  <c r="H635" i="17"/>
  <c r="G635" i="17"/>
  <c r="F635" i="17"/>
  <c r="D635" i="17"/>
  <c r="C635" i="17"/>
  <c r="B635" i="17"/>
  <c r="H634" i="17"/>
  <c r="G634" i="17"/>
  <c r="F634" i="17"/>
  <c r="D634" i="17"/>
  <c r="C634" i="17"/>
  <c r="B634" i="17"/>
  <c r="H633" i="17"/>
  <c r="G633" i="17"/>
  <c r="F633" i="17"/>
  <c r="D633" i="17"/>
  <c r="C633" i="17"/>
  <c r="B633" i="17"/>
  <c r="H632" i="17"/>
  <c r="G632" i="17"/>
  <c r="F632" i="17"/>
  <c r="D632" i="17"/>
  <c r="C632" i="17"/>
  <c r="B632" i="17"/>
  <c r="H631" i="17"/>
  <c r="G631" i="17"/>
  <c r="F631" i="17"/>
  <c r="D631" i="17"/>
  <c r="C631" i="17"/>
  <c r="B631" i="17"/>
  <c r="H630" i="17"/>
  <c r="G630" i="17"/>
  <c r="F630" i="17"/>
  <c r="D630" i="17"/>
  <c r="C630" i="17"/>
  <c r="B630" i="17"/>
  <c r="H629" i="17"/>
  <c r="G629" i="17"/>
  <c r="F629" i="17"/>
  <c r="D629" i="17"/>
  <c r="C629" i="17"/>
  <c r="B629" i="17"/>
  <c r="H628" i="17"/>
  <c r="G628" i="17"/>
  <c r="F628" i="17"/>
  <c r="D628" i="17"/>
  <c r="C628" i="17"/>
  <c r="B628" i="17"/>
  <c r="H627" i="17"/>
  <c r="G627" i="17"/>
  <c r="F627" i="17"/>
  <c r="D627" i="17"/>
  <c r="C627" i="17"/>
  <c r="B627" i="17"/>
  <c r="H626" i="17"/>
  <c r="G626" i="17"/>
  <c r="F626" i="17"/>
  <c r="D626" i="17"/>
  <c r="C626" i="17"/>
  <c r="B626" i="17"/>
  <c r="H625" i="17"/>
  <c r="G625" i="17"/>
  <c r="F625" i="17"/>
  <c r="D625" i="17"/>
  <c r="C625" i="17"/>
  <c r="B625" i="17"/>
  <c r="H624" i="17"/>
  <c r="G624" i="17"/>
  <c r="F624" i="17"/>
  <c r="D624" i="17"/>
  <c r="C624" i="17"/>
  <c r="B624" i="17"/>
  <c r="H623" i="17"/>
  <c r="G623" i="17"/>
  <c r="F623" i="17"/>
  <c r="D623" i="17"/>
  <c r="C623" i="17"/>
  <c r="B623" i="17"/>
  <c r="H622" i="17"/>
  <c r="G622" i="17"/>
  <c r="F622" i="17"/>
  <c r="D622" i="17"/>
  <c r="C622" i="17"/>
  <c r="B622" i="17"/>
  <c r="H621" i="17"/>
  <c r="G621" i="17"/>
  <c r="F621" i="17"/>
  <c r="D621" i="17"/>
  <c r="C621" i="17"/>
  <c r="B621" i="17"/>
  <c r="H620" i="17"/>
  <c r="G620" i="17"/>
  <c r="F620" i="17"/>
  <c r="D620" i="17"/>
  <c r="C620" i="17"/>
  <c r="B620" i="17"/>
  <c r="H619" i="17"/>
  <c r="G619" i="17"/>
  <c r="F619" i="17"/>
  <c r="D619" i="17"/>
  <c r="C619" i="17"/>
  <c r="B619" i="17"/>
  <c r="H618" i="17"/>
  <c r="G618" i="17"/>
  <c r="F618" i="17"/>
  <c r="D618" i="17"/>
  <c r="C618" i="17"/>
  <c r="B618" i="17"/>
  <c r="H617" i="17"/>
  <c r="G617" i="17"/>
  <c r="F617" i="17"/>
  <c r="D617" i="17"/>
  <c r="C617" i="17"/>
  <c r="B617" i="17"/>
  <c r="H616" i="17"/>
  <c r="G616" i="17"/>
  <c r="F616" i="17"/>
  <c r="D616" i="17"/>
  <c r="C616" i="17"/>
  <c r="B616" i="17"/>
  <c r="H615" i="17"/>
  <c r="G615" i="17"/>
  <c r="F615" i="17"/>
  <c r="D615" i="17"/>
  <c r="C615" i="17"/>
  <c r="B615" i="17"/>
  <c r="H614" i="17"/>
  <c r="G614" i="17"/>
  <c r="F614" i="17"/>
  <c r="D614" i="17"/>
  <c r="C614" i="17"/>
  <c r="B614" i="17"/>
  <c r="H613" i="17"/>
  <c r="G613" i="17"/>
  <c r="F613" i="17"/>
  <c r="D613" i="17"/>
  <c r="C613" i="17"/>
  <c r="B613" i="17"/>
  <c r="H612" i="17"/>
  <c r="G612" i="17"/>
  <c r="F612" i="17"/>
  <c r="D612" i="17"/>
  <c r="C612" i="17"/>
  <c r="B612" i="17"/>
  <c r="H611" i="17"/>
  <c r="G611" i="17"/>
  <c r="F611" i="17"/>
  <c r="D611" i="17"/>
  <c r="C611" i="17"/>
  <c r="B611" i="17"/>
  <c r="H610" i="17"/>
  <c r="G610" i="17"/>
  <c r="F610" i="17"/>
  <c r="D610" i="17"/>
  <c r="C610" i="17"/>
  <c r="B610" i="17"/>
  <c r="H609" i="17"/>
  <c r="G609" i="17"/>
  <c r="F609" i="17"/>
  <c r="D609" i="17"/>
  <c r="C609" i="17"/>
  <c r="B609" i="17"/>
  <c r="H608" i="17"/>
  <c r="G608" i="17"/>
  <c r="F608" i="17"/>
  <c r="D608" i="17"/>
  <c r="C608" i="17"/>
  <c r="B608" i="17"/>
  <c r="H607" i="17"/>
  <c r="G607" i="17"/>
  <c r="F607" i="17"/>
  <c r="D607" i="17"/>
  <c r="C607" i="17"/>
  <c r="B607" i="17"/>
  <c r="H606" i="17"/>
  <c r="G606" i="17"/>
  <c r="F606" i="17"/>
  <c r="D606" i="17"/>
  <c r="C606" i="17"/>
  <c r="B606" i="17"/>
  <c r="H605" i="17"/>
  <c r="G605" i="17"/>
  <c r="F605" i="17"/>
  <c r="D605" i="17"/>
  <c r="C605" i="17"/>
  <c r="B605" i="17"/>
  <c r="H604" i="17"/>
  <c r="G604" i="17"/>
  <c r="F604" i="17"/>
  <c r="D604" i="17"/>
  <c r="C604" i="17"/>
  <c r="B604" i="17"/>
  <c r="H603" i="17"/>
  <c r="G603" i="17"/>
  <c r="F603" i="17"/>
  <c r="D603" i="17"/>
  <c r="C603" i="17"/>
  <c r="B603" i="17"/>
  <c r="H602" i="17"/>
  <c r="G602" i="17"/>
  <c r="F602" i="17"/>
  <c r="D602" i="17"/>
  <c r="C602" i="17"/>
  <c r="B602" i="17"/>
  <c r="H601" i="17"/>
  <c r="G601" i="17"/>
  <c r="F601" i="17"/>
  <c r="D601" i="17"/>
  <c r="C601" i="17"/>
  <c r="B601" i="17"/>
  <c r="H600" i="17"/>
  <c r="G600" i="17"/>
  <c r="F600" i="17"/>
  <c r="D600" i="17"/>
  <c r="C600" i="17"/>
  <c r="B600" i="17"/>
  <c r="H599" i="17"/>
  <c r="G599" i="17"/>
  <c r="F599" i="17"/>
  <c r="D599" i="17"/>
  <c r="C599" i="17"/>
  <c r="B599" i="17"/>
  <c r="H598" i="17"/>
  <c r="G598" i="17"/>
  <c r="F598" i="17"/>
  <c r="D598" i="17"/>
  <c r="C598" i="17"/>
  <c r="B598" i="17"/>
  <c r="H597" i="17"/>
  <c r="G597" i="17"/>
  <c r="F597" i="17"/>
  <c r="D597" i="17"/>
  <c r="C597" i="17"/>
  <c r="B597" i="17"/>
  <c r="H596" i="17"/>
  <c r="G596" i="17"/>
  <c r="F596" i="17"/>
  <c r="D596" i="17"/>
  <c r="C596" i="17"/>
  <c r="B596" i="17"/>
  <c r="H595" i="17"/>
  <c r="G595" i="17"/>
  <c r="F595" i="17"/>
  <c r="D595" i="17"/>
  <c r="C595" i="17"/>
  <c r="B595" i="17"/>
  <c r="H594" i="17"/>
  <c r="G594" i="17"/>
  <c r="F594" i="17"/>
  <c r="D594" i="17"/>
  <c r="C594" i="17"/>
  <c r="B594" i="17"/>
  <c r="H593" i="17"/>
  <c r="G593" i="17"/>
  <c r="F593" i="17"/>
  <c r="D593" i="17"/>
  <c r="C593" i="17"/>
  <c r="B593" i="17"/>
  <c r="H592" i="17"/>
  <c r="G592" i="17"/>
  <c r="F592" i="17"/>
  <c r="D592" i="17"/>
  <c r="C592" i="17"/>
  <c r="B592" i="17"/>
  <c r="H591" i="17"/>
  <c r="G591" i="17"/>
  <c r="F591" i="17"/>
  <c r="D591" i="17"/>
  <c r="C591" i="17"/>
  <c r="B591" i="17"/>
  <c r="H590" i="17"/>
  <c r="G590" i="17"/>
  <c r="F590" i="17"/>
  <c r="D590" i="17"/>
  <c r="C590" i="17"/>
  <c r="B590" i="17"/>
  <c r="H589" i="17"/>
  <c r="G589" i="17"/>
  <c r="F589" i="17"/>
  <c r="D589" i="17"/>
  <c r="C589" i="17"/>
  <c r="B589" i="17"/>
  <c r="H588" i="17"/>
  <c r="G588" i="17"/>
  <c r="F588" i="17"/>
  <c r="D588" i="17"/>
  <c r="C588" i="17"/>
  <c r="B588" i="17"/>
  <c r="H587" i="17"/>
  <c r="G587" i="17"/>
  <c r="F587" i="17"/>
  <c r="D587" i="17"/>
  <c r="C587" i="17"/>
  <c r="B587" i="17"/>
  <c r="H586" i="17"/>
  <c r="G586" i="17"/>
  <c r="F586" i="17"/>
  <c r="D586" i="17"/>
  <c r="C586" i="17"/>
  <c r="B586" i="17"/>
  <c r="H585" i="17"/>
  <c r="G585" i="17"/>
  <c r="F585" i="17"/>
  <c r="D585" i="17"/>
  <c r="C585" i="17"/>
  <c r="B585" i="17"/>
  <c r="H584" i="17"/>
  <c r="G584" i="17"/>
  <c r="F584" i="17"/>
  <c r="D584" i="17"/>
  <c r="C584" i="17"/>
  <c r="B584" i="17"/>
  <c r="H583" i="17"/>
  <c r="G583" i="17"/>
  <c r="F583" i="17"/>
  <c r="D583" i="17"/>
  <c r="C583" i="17"/>
  <c r="B583" i="17"/>
  <c r="H582" i="17"/>
  <c r="G582" i="17"/>
  <c r="F582" i="17"/>
  <c r="D582" i="17"/>
  <c r="C582" i="17"/>
  <c r="B582" i="17"/>
  <c r="H581" i="17"/>
  <c r="G581" i="17"/>
  <c r="F581" i="17"/>
  <c r="D581" i="17"/>
  <c r="C581" i="17"/>
  <c r="B581" i="17"/>
  <c r="H580" i="17"/>
  <c r="G580" i="17"/>
  <c r="F580" i="17"/>
  <c r="D580" i="17"/>
  <c r="C580" i="17"/>
  <c r="B580" i="17"/>
  <c r="H579" i="17"/>
  <c r="G579" i="17"/>
  <c r="F579" i="17"/>
  <c r="D579" i="17"/>
  <c r="C579" i="17"/>
  <c r="B579" i="17"/>
  <c r="H578" i="17"/>
  <c r="G578" i="17"/>
  <c r="F578" i="17"/>
  <c r="D578" i="17"/>
  <c r="C578" i="17"/>
  <c r="B578" i="17"/>
  <c r="H577" i="17"/>
  <c r="G577" i="17"/>
  <c r="F577" i="17"/>
  <c r="D577" i="17"/>
  <c r="C577" i="17"/>
  <c r="B577" i="17"/>
  <c r="H576" i="17"/>
  <c r="G576" i="17"/>
  <c r="F576" i="17"/>
  <c r="D576" i="17"/>
  <c r="C576" i="17"/>
  <c r="B576" i="17"/>
  <c r="H575" i="17"/>
  <c r="G575" i="17"/>
  <c r="F575" i="17"/>
  <c r="D575" i="17"/>
  <c r="C575" i="17"/>
  <c r="B575" i="17"/>
  <c r="H574" i="17"/>
  <c r="G574" i="17"/>
  <c r="F574" i="17"/>
  <c r="D574" i="17"/>
  <c r="C574" i="17"/>
  <c r="B574" i="17"/>
  <c r="H573" i="17"/>
  <c r="G573" i="17"/>
  <c r="F573" i="17"/>
  <c r="D573" i="17"/>
  <c r="C573" i="17"/>
  <c r="B573" i="17"/>
  <c r="H572" i="17"/>
  <c r="G572" i="17"/>
  <c r="F572" i="17"/>
  <c r="D572" i="17"/>
  <c r="C572" i="17"/>
  <c r="B572" i="17"/>
  <c r="H571" i="17"/>
  <c r="G571" i="17"/>
  <c r="F571" i="17"/>
  <c r="D571" i="17"/>
  <c r="C571" i="17"/>
  <c r="B571" i="17"/>
  <c r="H570" i="17"/>
  <c r="G570" i="17"/>
  <c r="F570" i="17"/>
  <c r="D570" i="17"/>
  <c r="C570" i="17"/>
  <c r="B570" i="17"/>
  <c r="H569" i="17"/>
  <c r="G569" i="17"/>
  <c r="F569" i="17"/>
  <c r="D569" i="17"/>
  <c r="C569" i="17"/>
  <c r="B569" i="17"/>
  <c r="H568" i="17"/>
  <c r="G568" i="17"/>
  <c r="F568" i="17"/>
  <c r="D568" i="17"/>
  <c r="C568" i="17"/>
  <c r="B568" i="17"/>
  <c r="H567" i="17"/>
  <c r="G567" i="17"/>
  <c r="F567" i="17"/>
  <c r="D567" i="17"/>
  <c r="C567" i="17"/>
  <c r="B567" i="17"/>
  <c r="H566" i="17"/>
  <c r="G566" i="17"/>
  <c r="F566" i="17"/>
  <c r="D566" i="17"/>
  <c r="C566" i="17"/>
  <c r="B566" i="17"/>
  <c r="H565" i="17"/>
  <c r="G565" i="17"/>
  <c r="F565" i="17"/>
  <c r="D565" i="17"/>
  <c r="C565" i="17"/>
  <c r="B565" i="17"/>
  <c r="H564" i="17"/>
  <c r="G564" i="17"/>
  <c r="F564" i="17"/>
  <c r="D564" i="17"/>
  <c r="C564" i="17"/>
  <c r="B564" i="17"/>
  <c r="H563" i="17"/>
  <c r="G563" i="17"/>
  <c r="F563" i="17"/>
  <c r="D563" i="17"/>
  <c r="C563" i="17"/>
  <c r="B563" i="17"/>
  <c r="H562" i="17"/>
  <c r="G562" i="17"/>
  <c r="F562" i="17"/>
  <c r="D562" i="17"/>
  <c r="C562" i="17"/>
  <c r="B562" i="17"/>
  <c r="H561" i="17"/>
  <c r="G561" i="17"/>
  <c r="F561" i="17"/>
  <c r="D561" i="17"/>
  <c r="C561" i="17"/>
  <c r="B561" i="17"/>
  <c r="H560" i="17"/>
  <c r="G560" i="17"/>
  <c r="F560" i="17"/>
  <c r="D560" i="17"/>
  <c r="C560" i="17"/>
  <c r="B560" i="17"/>
  <c r="H559" i="17"/>
  <c r="G559" i="17"/>
  <c r="F559" i="17"/>
  <c r="D559" i="17"/>
  <c r="C559" i="17"/>
  <c r="B559" i="17"/>
  <c r="H558" i="17"/>
  <c r="G558" i="17"/>
  <c r="F558" i="17"/>
  <c r="D558" i="17"/>
  <c r="C558" i="17"/>
  <c r="B558" i="17"/>
  <c r="H557" i="17"/>
  <c r="G557" i="17"/>
  <c r="F557" i="17"/>
  <c r="D557" i="17"/>
  <c r="C557" i="17"/>
  <c r="B557" i="17"/>
  <c r="H556" i="17"/>
  <c r="G556" i="17"/>
  <c r="F556" i="17"/>
  <c r="D556" i="17"/>
  <c r="C556" i="17"/>
  <c r="B556" i="17"/>
  <c r="H555" i="17"/>
  <c r="G555" i="17"/>
  <c r="F555" i="17"/>
  <c r="D555" i="17"/>
  <c r="C555" i="17"/>
  <c r="B555" i="17"/>
  <c r="H554" i="17"/>
  <c r="G554" i="17"/>
  <c r="F554" i="17"/>
  <c r="D554" i="17"/>
  <c r="C554" i="17"/>
  <c r="B554" i="17"/>
  <c r="H553" i="17"/>
  <c r="G553" i="17"/>
  <c r="F553" i="17"/>
  <c r="D553" i="17"/>
  <c r="C553" i="17"/>
  <c r="B553" i="17"/>
  <c r="H552" i="17"/>
  <c r="G552" i="17"/>
  <c r="F552" i="17"/>
  <c r="D552" i="17"/>
  <c r="C552" i="17"/>
  <c r="B552" i="17"/>
  <c r="H551" i="17"/>
  <c r="G551" i="17"/>
  <c r="F551" i="17"/>
  <c r="D551" i="17"/>
  <c r="C551" i="17"/>
  <c r="B551" i="17"/>
  <c r="H550" i="17"/>
  <c r="G550" i="17"/>
  <c r="F550" i="17"/>
  <c r="D550" i="17"/>
  <c r="C550" i="17"/>
  <c r="B550" i="17"/>
  <c r="H549" i="17"/>
  <c r="G549" i="17"/>
  <c r="F549" i="17"/>
  <c r="D549" i="17"/>
  <c r="C549" i="17"/>
  <c r="B549" i="17"/>
  <c r="H548" i="17"/>
  <c r="G548" i="17"/>
  <c r="F548" i="17"/>
  <c r="D548" i="17"/>
  <c r="C548" i="17"/>
  <c r="B548" i="17"/>
  <c r="H547" i="17"/>
  <c r="G547" i="17"/>
  <c r="F547" i="17"/>
  <c r="D547" i="17"/>
  <c r="C547" i="17"/>
  <c r="B547" i="17"/>
  <c r="H546" i="17"/>
  <c r="G546" i="17"/>
  <c r="F546" i="17"/>
  <c r="D546" i="17"/>
  <c r="C546" i="17"/>
  <c r="B546" i="17"/>
  <c r="H545" i="17"/>
  <c r="G545" i="17"/>
  <c r="F545" i="17"/>
  <c r="D545" i="17"/>
  <c r="C545" i="17"/>
  <c r="B545" i="17"/>
  <c r="H544" i="17"/>
  <c r="G544" i="17"/>
  <c r="F544" i="17"/>
  <c r="D544" i="17"/>
  <c r="C544" i="17"/>
  <c r="B544" i="17"/>
  <c r="H543" i="17"/>
  <c r="G543" i="17"/>
  <c r="F543" i="17"/>
  <c r="D543" i="17"/>
  <c r="C543" i="17"/>
  <c r="B543" i="17"/>
  <c r="H542" i="17"/>
  <c r="G542" i="17"/>
  <c r="F542" i="17"/>
  <c r="D542" i="17"/>
  <c r="C542" i="17"/>
  <c r="B542" i="17"/>
  <c r="H541" i="17"/>
  <c r="G541" i="17"/>
  <c r="F541" i="17"/>
  <c r="D541" i="17"/>
  <c r="C541" i="17"/>
  <c r="B541" i="17"/>
  <c r="H540" i="17"/>
  <c r="G540" i="17"/>
  <c r="F540" i="17"/>
  <c r="D540" i="17"/>
  <c r="C540" i="17"/>
  <c r="B540" i="17"/>
  <c r="H539" i="17"/>
  <c r="G539" i="17"/>
  <c r="F539" i="17"/>
  <c r="D539" i="17"/>
  <c r="C539" i="17"/>
  <c r="B539" i="17"/>
  <c r="H538" i="17"/>
  <c r="G538" i="17"/>
  <c r="F538" i="17"/>
  <c r="D538" i="17"/>
  <c r="C538" i="17"/>
  <c r="B538" i="17"/>
  <c r="H537" i="17"/>
  <c r="G537" i="17"/>
  <c r="F537" i="17"/>
  <c r="D537" i="17"/>
  <c r="C537" i="17"/>
  <c r="B537" i="17"/>
  <c r="H536" i="17"/>
  <c r="G536" i="17"/>
  <c r="F536" i="17"/>
  <c r="D536" i="17"/>
  <c r="C536" i="17"/>
  <c r="B536" i="17"/>
  <c r="H535" i="17"/>
  <c r="G535" i="17"/>
  <c r="F535" i="17"/>
  <c r="D535" i="17"/>
  <c r="C535" i="17"/>
  <c r="B535" i="17"/>
  <c r="H534" i="17"/>
  <c r="G534" i="17"/>
  <c r="F534" i="17"/>
  <c r="D534" i="17"/>
  <c r="C534" i="17"/>
  <c r="B534" i="17"/>
  <c r="H533" i="17"/>
  <c r="G533" i="17"/>
  <c r="F533" i="17"/>
  <c r="D533" i="17"/>
  <c r="C533" i="17"/>
  <c r="B533" i="17"/>
  <c r="H532" i="17"/>
  <c r="G532" i="17"/>
  <c r="F532" i="17"/>
  <c r="D532" i="17"/>
  <c r="C532" i="17"/>
  <c r="B532" i="17"/>
  <c r="H531" i="17"/>
  <c r="G531" i="17"/>
  <c r="F531" i="17"/>
  <c r="D531" i="17"/>
  <c r="C531" i="17"/>
  <c r="B531" i="17"/>
  <c r="H530" i="17"/>
  <c r="G530" i="17"/>
  <c r="F530" i="17"/>
  <c r="D530" i="17"/>
  <c r="C530" i="17"/>
  <c r="B530" i="17"/>
  <c r="H529" i="17"/>
  <c r="G529" i="17"/>
  <c r="F529" i="17"/>
  <c r="D529" i="17"/>
  <c r="C529" i="17"/>
  <c r="B529" i="17"/>
  <c r="H528" i="17"/>
  <c r="G528" i="17"/>
  <c r="F528" i="17"/>
  <c r="D528" i="17"/>
  <c r="C528" i="17"/>
  <c r="B528" i="17"/>
  <c r="H527" i="17"/>
  <c r="G527" i="17"/>
  <c r="F527" i="17"/>
  <c r="D527" i="17"/>
  <c r="C527" i="17"/>
  <c r="B527" i="17"/>
  <c r="H526" i="17"/>
  <c r="G526" i="17"/>
  <c r="F526" i="17"/>
  <c r="D526" i="17"/>
  <c r="C526" i="17"/>
  <c r="B526" i="17"/>
  <c r="H525" i="17"/>
  <c r="G525" i="17"/>
  <c r="F525" i="17"/>
  <c r="D525" i="17"/>
  <c r="C525" i="17"/>
  <c r="B525" i="17"/>
  <c r="H524" i="17"/>
  <c r="G524" i="17"/>
  <c r="F524" i="17"/>
  <c r="D524" i="17"/>
  <c r="C524" i="17"/>
  <c r="B524" i="17"/>
  <c r="H523" i="17"/>
  <c r="G523" i="17"/>
  <c r="F523" i="17"/>
  <c r="D523" i="17"/>
  <c r="C523" i="17"/>
  <c r="B523" i="17"/>
  <c r="H522" i="17"/>
  <c r="G522" i="17"/>
  <c r="F522" i="17"/>
  <c r="D522" i="17"/>
  <c r="C522" i="17"/>
  <c r="B522" i="17"/>
  <c r="H521" i="17"/>
  <c r="G521" i="17"/>
  <c r="F521" i="17"/>
  <c r="D521" i="17"/>
  <c r="C521" i="17"/>
  <c r="B521" i="17"/>
  <c r="H520" i="17"/>
  <c r="G520" i="17"/>
  <c r="F520" i="17"/>
  <c r="D520" i="17"/>
  <c r="C520" i="17"/>
  <c r="B520" i="17"/>
  <c r="H519" i="17"/>
  <c r="G519" i="17"/>
  <c r="F519" i="17"/>
  <c r="D519" i="17"/>
  <c r="C519" i="17"/>
  <c r="B519" i="17"/>
  <c r="H518" i="17"/>
  <c r="G518" i="17"/>
  <c r="F518" i="17"/>
  <c r="D518" i="17"/>
  <c r="C518" i="17"/>
  <c r="B518" i="17"/>
  <c r="H517" i="17"/>
  <c r="G517" i="17"/>
  <c r="F517" i="17"/>
  <c r="D517" i="17"/>
  <c r="C517" i="17"/>
  <c r="B517" i="17"/>
  <c r="H516" i="17"/>
  <c r="G516" i="17"/>
  <c r="F516" i="17"/>
  <c r="D516" i="17"/>
  <c r="C516" i="17"/>
  <c r="B516" i="17"/>
  <c r="H515" i="17"/>
  <c r="G515" i="17"/>
  <c r="F515" i="17"/>
  <c r="D515" i="17"/>
  <c r="C515" i="17"/>
  <c r="B515" i="17"/>
  <c r="H514" i="17"/>
  <c r="G514" i="17"/>
  <c r="F514" i="17"/>
  <c r="D514" i="17"/>
  <c r="C514" i="17"/>
  <c r="B514" i="17"/>
  <c r="H513" i="17"/>
  <c r="G513" i="17"/>
  <c r="F513" i="17"/>
  <c r="D513" i="17"/>
  <c r="C513" i="17"/>
  <c r="B513" i="17"/>
  <c r="H512" i="17"/>
  <c r="G512" i="17"/>
  <c r="F512" i="17"/>
  <c r="D512" i="17"/>
  <c r="C512" i="17"/>
  <c r="B512" i="17"/>
  <c r="H511" i="17"/>
  <c r="G511" i="17"/>
  <c r="F511" i="17"/>
  <c r="D511" i="17"/>
  <c r="C511" i="17"/>
  <c r="B511" i="17"/>
  <c r="H510" i="17"/>
  <c r="G510" i="17"/>
  <c r="F510" i="17"/>
  <c r="D510" i="17"/>
  <c r="C510" i="17"/>
  <c r="B510" i="17"/>
  <c r="H509" i="17"/>
  <c r="G509" i="17"/>
  <c r="F509" i="17"/>
  <c r="D509" i="17"/>
  <c r="C509" i="17"/>
  <c r="B509" i="17"/>
  <c r="H508" i="17"/>
  <c r="G508" i="17"/>
  <c r="F508" i="17"/>
  <c r="D508" i="17"/>
  <c r="C508" i="17"/>
  <c r="B508" i="17"/>
  <c r="H507" i="17"/>
  <c r="G507" i="17"/>
  <c r="F507" i="17"/>
  <c r="D507" i="17"/>
  <c r="C507" i="17"/>
  <c r="B507" i="17"/>
  <c r="H506" i="17"/>
  <c r="G506" i="17"/>
  <c r="F506" i="17"/>
  <c r="D506" i="17"/>
  <c r="C506" i="17"/>
  <c r="B506" i="17"/>
  <c r="H505" i="17"/>
  <c r="G505" i="17"/>
  <c r="F505" i="17"/>
  <c r="D505" i="17"/>
  <c r="C505" i="17"/>
  <c r="B505" i="17"/>
  <c r="H504" i="17"/>
  <c r="G504" i="17"/>
  <c r="F504" i="17"/>
  <c r="D504" i="17"/>
  <c r="C504" i="17"/>
  <c r="B504" i="17"/>
  <c r="H503" i="17"/>
  <c r="G503" i="17"/>
  <c r="F503" i="17"/>
  <c r="D503" i="17"/>
  <c r="C503" i="17"/>
  <c r="B503" i="17"/>
  <c r="H502" i="17"/>
  <c r="G502" i="17"/>
  <c r="F502" i="17"/>
  <c r="D502" i="17"/>
  <c r="C502" i="17"/>
  <c r="B502" i="17"/>
  <c r="H501" i="17"/>
  <c r="G501" i="17"/>
  <c r="F501" i="17"/>
  <c r="D501" i="17"/>
  <c r="C501" i="17"/>
  <c r="B501" i="17"/>
  <c r="H500" i="17"/>
  <c r="G500" i="17"/>
  <c r="F500" i="17"/>
  <c r="D500" i="17"/>
  <c r="C500" i="17"/>
  <c r="B500" i="17"/>
  <c r="H499" i="17"/>
  <c r="G499" i="17"/>
  <c r="F499" i="17"/>
  <c r="D499" i="17"/>
  <c r="C499" i="17"/>
  <c r="B499" i="17"/>
  <c r="H498" i="17"/>
  <c r="G498" i="17"/>
  <c r="F498" i="17"/>
  <c r="D498" i="17"/>
  <c r="C498" i="17"/>
  <c r="B498" i="17"/>
  <c r="H497" i="17"/>
  <c r="G497" i="17"/>
  <c r="F497" i="17"/>
  <c r="D497" i="17"/>
  <c r="C497" i="17"/>
  <c r="B497" i="17"/>
  <c r="H496" i="17"/>
  <c r="G496" i="17"/>
  <c r="F496" i="17"/>
  <c r="D496" i="17"/>
  <c r="C496" i="17"/>
  <c r="B496" i="17"/>
  <c r="H495" i="17"/>
  <c r="G495" i="17"/>
  <c r="F495" i="17"/>
  <c r="D495" i="17"/>
  <c r="C495" i="17"/>
  <c r="B495" i="17"/>
  <c r="H494" i="17"/>
  <c r="G494" i="17"/>
  <c r="F494" i="17"/>
  <c r="D494" i="17"/>
  <c r="C494" i="17"/>
  <c r="B494" i="17"/>
  <c r="H493" i="17"/>
  <c r="G493" i="17"/>
  <c r="F493" i="17"/>
  <c r="D493" i="17"/>
  <c r="C493" i="17"/>
  <c r="B493" i="17"/>
  <c r="H492" i="17"/>
  <c r="G492" i="17"/>
  <c r="F492" i="17"/>
  <c r="D492" i="17"/>
  <c r="C492" i="17"/>
  <c r="B492" i="17"/>
  <c r="H491" i="17"/>
  <c r="G491" i="17"/>
  <c r="F491" i="17"/>
  <c r="D491" i="17"/>
  <c r="C491" i="17"/>
  <c r="B491" i="17"/>
  <c r="H490" i="17"/>
  <c r="G490" i="17"/>
  <c r="F490" i="17"/>
  <c r="D490" i="17"/>
  <c r="C490" i="17"/>
  <c r="B490" i="17"/>
  <c r="H489" i="17"/>
  <c r="G489" i="17"/>
  <c r="F489" i="17"/>
  <c r="D489" i="17"/>
  <c r="C489" i="17"/>
  <c r="B489" i="17"/>
  <c r="H488" i="17"/>
  <c r="G488" i="17"/>
  <c r="F488" i="17"/>
  <c r="D488" i="17"/>
  <c r="C488" i="17"/>
  <c r="B488" i="17"/>
  <c r="H487" i="17"/>
  <c r="G487" i="17"/>
  <c r="F487" i="17"/>
  <c r="D487" i="17"/>
  <c r="C487" i="17"/>
  <c r="B487" i="17"/>
  <c r="H486" i="17"/>
  <c r="G486" i="17"/>
  <c r="F486" i="17"/>
  <c r="D486" i="17"/>
  <c r="C486" i="17"/>
  <c r="B486" i="17"/>
  <c r="H485" i="17"/>
  <c r="G485" i="17"/>
  <c r="F485" i="17"/>
  <c r="D485" i="17"/>
  <c r="C485" i="17"/>
  <c r="B485" i="17"/>
  <c r="H484" i="17"/>
  <c r="G484" i="17"/>
  <c r="F484" i="17"/>
  <c r="D484" i="17"/>
  <c r="C484" i="17"/>
  <c r="B484" i="17"/>
  <c r="H483" i="17"/>
  <c r="G483" i="17"/>
  <c r="F483" i="17"/>
  <c r="D483" i="17"/>
  <c r="C483" i="17"/>
  <c r="B483" i="17"/>
  <c r="H482" i="17"/>
  <c r="G482" i="17"/>
  <c r="F482" i="17"/>
  <c r="D482" i="17"/>
  <c r="C482" i="17"/>
  <c r="B482" i="17"/>
  <c r="H481" i="17"/>
  <c r="G481" i="17"/>
  <c r="F481" i="17"/>
  <c r="D481" i="17"/>
  <c r="C481" i="17"/>
  <c r="B481" i="17"/>
  <c r="H480" i="17"/>
  <c r="G480" i="17"/>
  <c r="F480" i="17"/>
  <c r="D480" i="17"/>
  <c r="C480" i="17"/>
  <c r="B480" i="17"/>
  <c r="H479" i="17"/>
  <c r="G479" i="17"/>
  <c r="F479" i="17"/>
  <c r="D479" i="17"/>
  <c r="C479" i="17"/>
  <c r="B479" i="17"/>
  <c r="H478" i="17"/>
  <c r="G478" i="17"/>
  <c r="F478" i="17"/>
  <c r="D478" i="17"/>
  <c r="C478" i="17"/>
  <c r="B478" i="17"/>
  <c r="H477" i="17"/>
  <c r="G477" i="17"/>
  <c r="F477" i="17"/>
  <c r="D477" i="17"/>
  <c r="C477" i="17"/>
  <c r="B477" i="17"/>
  <c r="H476" i="17"/>
  <c r="G476" i="17"/>
  <c r="F476" i="17"/>
  <c r="D476" i="17"/>
  <c r="C476" i="17"/>
  <c r="B476" i="17"/>
  <c r="H475" i="17"/>
  <c r="G475" i="17"/>
  <c r="F475" i="17"/>
  <c r="D475" i="17"/>
  <c r="C475" i="17"/>
  <c r="B475" i="17"/>
  <c r="H474" i="17"/>
  <c r="G474" i="17"/>
  <c r="F474" i="17"/>
  <c r="D474" i="17"/>
  <c r="C474" i="17"/>
  <c r="B474" i="17"/>
  <c r="H473" i="17"/>
  <c r="G473" i="17"/>
  <c r="F473" i="17"/>
  <c r="D473" i="17"/>
  <c r="C473" i="17"/>
  <c r="B473" i="17"/>
  <c r="H472" i="17"/>
  <c r="G472" i="17"/>
  <c r="F472" i="17"/>
  <c r="D472" i="17"/>
  <c r="C472" i="17"/>
  <c r="B472" i="17"/>
  <c r="H471" i="17"/>
  <c r="G471" i="17"/>
  <c r="F471" i="17"/>
  <c r="D471" i="17"/>
  <c r="C471" i="17"/>
  <c r="B471" i="17"/>
  <c r="H470" i="17"/>
  <c r="G470" i="17"/>
  <c r="F470" i="17"/>
  <c r="D470" i="17"/>
  <c r="C470" i="17"/>
  <c r="B470" i="17"/>
  <c r="H469" i="17"/>
  <c r="G469" i="17"/>
  <c r="F469" i="17"/>
  <c r="D469" i="17"/>
  <c r="C469" i="17"/>
  <c r="B469" i="17"/>
  <c r="H468" i="17"/>
  <c r="G468" i="17"/>
  <c r="F468" i="17"/>
  <c r="D468" i="17"/>
  <c r="C468" i="17"/>
  <c r="B468" i="17"/>
  <c r="H467" i="17"/>
  <c r="G467" i="17"/>
  <c r="F467" i="17"/>
  <c r="D467" i="17"/>
  <c r="C467" i="17"/>
  <c r="B467" i="17"/>
  <c r="H466" i="17"/>
  <c r="G466" i="17"/>
  <c r="F466" i="17"/>
  <c r="D466" i="17"/>
  <c r="C466" i="17"/>
  <c r="B466" i="17"/>
  <c r="H465" i="17"/>
  <c r="G465" i="17"/>
  <c r="F465" i="17"/>
  <c r="D465" i="17"/>
  <c r="C465" i="17"/>
  <c r="B465" i="17"/>
  <c r="H464" i="17"/>
  <c r="G464" i="17"/>
  <c r="F464" i="17"/>
  <c r="D464" i="17"/>
  <c r="C464" i="17"/>
  <c r="B464" i="17"/>
  <c r="H463" i="17"/>
  <c r="G463" i="17"/>
  <c r="F463" i="17"/>
  <c r="D463" i="17"/>
  <c r="C463" i="17"/>
  <c r="B463" i="17"/>
  <c r="H462" i="17"/>
  <c r="G462" i="17"/>
  <c r="F462" i="17"/>
  <c r="D462" i="17"/>
  <c r="C462" i="17"/>
  <c r="B462" i="17"/>
  <c r="H461" i="17"/>
  <c r="G461" i="17"/>
  <c r="F461" i="17"/>
  <c r="D461" i="17"/>
  <c r="C461" i="17"/>
  <c r="B461" i="17"/>
  <c r="H460" i="17"/>
  <c r="G460" i="17"/>
  <c r="F460" i="17"/>
  <c r="D460" i="17"/>
  <c r="C460" i="17"/>
  <c r="B460" i="17"/>
  <c r="H459" i="17"/>
  <c r="G459" i="17"/>
  <c r="F459" i="17"/>
  <c r="D459" i="17"/>
  <c r="C459" i="17"/>
  <c r="B459" i="17"/>
  <c r="H458" i="17"/>
  <c r="G458" i="17"/>
  <c r="F458" i="17"/>
  <c r="D458" i="17"/>
  <c r="C458" i="17"/>
  <c r="B458" i="17"/>
  <c r="H457" i="17"/>
  <c r="G457" i="17"/>
  <c r="F457" i="17"/>
  <c r="D457" i="17"/>
  <c r="C457" i="17"/>
  <c r="B457" i="17"/>
  <c r="H456" i="17"/>
  <c r="G456" i="17"/>
  <c r="F456" i="17"/>
  <c r="D456" i="17"/>
  <c r="C456" i="17"/>
  <c r="B456" i="17"/>
  <c r="H455" i="17"/>
  <c r="G455" i="17"/>
  <c r="F455" i="17"/>
  <c r="D455" i="17"/>
  <c r="C455" i="17"/>
  <c r="B455" i="17"/>
  <c r="H454" i="17"/>
  <c r="G454" i="17"/>
  <c r="F454" i="17"/>
  <c r="D454" i="17"/>
  <c r="C454" i="17"/>
  <c r="B454" i="17"/>
  <c r="H453" i="17"/>
  <c r="G453" i="17"/>
  <c r="F453" i="17"/>
  <c r="D453" i="17"/>
  <c r="C453" i="17"/>
  <c r="B453" i="17"/>
  <c r="H452" i="17"/>
  <c r="G452" i="17"/>
  <c r="F452" i="17"/>
  <c r="D452" i="17"/>
  <c r="C452" i="17"/>
  <c r="B452" i="17"/>
  <c r="H451" i="17"/>
  <c r="G451" i="17"/>
  <c r="F451" i="17"/>
  <c r="D451" i="17"/>
  <c r="C451" i="17"/>
  <c r="B451" i="17"/>
  <c r="H450" i="17"/>
  <c r="G450" i="17"/>
  <c r="F450" i="17"/>
  <c r="D450" i="17"/>
  <c r="C450" i="17"/>
  <c r="B450" i="17"/>
  <c r="H449" i="17"/>
  <c r="G449" i="17"/>
  <c r="F449" i="17"/>
  <c r="D449" i="17"/>
  <c r="C449" i="17"/>
  <c r="B449" i="17"/>
  <c r="H448" i="17"/>
  <c r="G448" i="17"/>
  <c r="F448" i="17"/>
  <c r="D448" i="17"/>
  <c r="C448" i="17"/>
  <c r="B448" i="17"/>
  <c r="H447" i="17"/>
  <c r="G447" i="17"/>
  <c r="F447" i="17"/>
  <c r="D447" i="17"/>
  <c r="C447" i="17"/>
  <c r="B447" i="17"/>
  <c r="H446" i="17"/>
  <c r="G446" i="17"/>
  <c r="F446" i="17"/>
  <c r="D446" i="17"/>
  <c r="C446" i="17"/>
  <c r="B446" i="17"/>
  <c r="H445" i="17"/>
  <c r="G445" i="17"/>
  <c r="F445" i="17"/>
  <c r="D445" i="17"/>
  <c r="C445" i="17"/>
  <c r="B445" i="17"/>
  <c r="H444" i="17"/>
  <c r="G444" i="17"/>
  <c r="F444" i="17"/>
  <c r="D444" i="17"/>
  <c r="C444" i="17"/>
  <c r="B444" i="17"/>
  <c r="H443" i="17"/>
  <c r="G443" i="17"/>
  <c r="F443" i="17"/>
  <c r="D443" i="17"/>
  <c r="C443" i="17"/>
  <c r="B443" i="17"/>
  <c r="H442" i="17"/>
  <c r="G442" i="17"/>
  <c r="F442" i="17"/>
  <c r="D442" i="17"/>
  <c r="C442" i="17"/>
  <c r="B442" i="17"/>
  <c r="H441" i="17"/>
  <c r="G441" i="17"/>
  <c r="F441" i="17"/>
  <c r="D441" i="17"/>
  <c r="C441" i="17"/>
  <c r="B441" i="17"/>
  <c r="H440" i="17"/>
  <c r="G440" i="17"/>
  <c r="F440" i="17"/>
  <c r="D440" i="17"/>
  <c r="C440" i="17"/>
  <c r="B440" i="17"/>
  <c r="H439" i="17"/>
  <c r="G439" i="17"/>
  <c r="F439" i="17"/>
  <c r="D439" i="17"/>
  <c r="C439" i="17"/>
  <c r="B439" i="17"/>
  <c r="H438" i="17"/>
  <c r="G438" i="17"/>
  <c r="F438" i="17"/>
  <c r="D438" i="17"/>
  <c r="C438" i="17"/>
  <c r="B438" i="17"/>
  <c r="H437" i="17"/>
  <c r="G437" i="17"/>
  <c r="F437" i="17"/>
  <c r="D437" i="17"/>
  <c r="C437" i="17"/>
  <c r="B437" i="17"/>
  <c r="H436" i="17"/>
  <c r="G436" i="17"/>
  <c r="F436" i="17"/>
  <c r="D436" i="17"/>
  <c r="C436" i="17"/>
  <c r="B436" i="17"/>
  <c r="H435" i="17"/>
  <c r="G435" i="17"/>
  <c r="F435" i="17"/>
  <c r="D435" i="17"/>
  <c r="C435" i="17"/>
  <c r="B435" i="17"/>
  <c r="H434" i="17"/>
  <c r="G434" i="17"/>
  <c r="F434" i="17"/>
  <c r="D434" i="17"/>
  <c r="C434" i="17"/>
  <c r="B434" i="17"/>
  <c r="H433" i="17"/>
  <c r="G433" i="17"/>
  <c r="F433" i="17"/>
  <c r="D433" i="17"/>
  <c r="C433" i="17"/>
  <c r="B433" i="17"/>
  <c r="H432" i="17"/>
  <c r="G432" i="17"/>
  <c r="F432" i="17"/>
  <c r="D432" i="17"/>
  <c r="C432" i="17"/>
  <c r="B432" i="17"/>
  <c r="H431" i="17"/>
  <c r="G431" i="17"/>
  <c r="F431" i="17"/>
  <c r="D431" i="17"/>
  <c r="C431" i="17"/>
  <c r="B431" i="17"/>
  <c r="H430" i="17"/>
  <c r="G430" i="17"/>
  <c r="F430" i="17"/>
  <c r="D430" i="17"/>
  <c r="C430" i="17"/>
  <c r="B430" i="17"/>
  <c r="H429" i="17"/>
  <c r="G429" i="17"/>
  <c r="F429" i="17"/>
  <c r="D429" i="17"/>
  <c r="C429" i="17"/>
  <c r="B429" i="17"/>
  <c r="H428" i="17"/>
  <c r="G428" i="17"/>
  <c r="F428" i="17"/>
  <c r="D428" i="17"/>
  <c r="C428" i="17"/>
  <c r="B428" i="17"/>
  <c r="H427" i="17"/>
  <c r="G427" i="17"/>
  <c r="F427" i="17"/>
  <c r="D427" i="17"/>
  <c r="C427" i="17"/>
  <c r="B427" i="17"/>
  <c r="H426" i="17"/>
  <c r="G426" i="17"/>
  <c r="F426" i="17"/>
  <c r="D426" i="17"/>
  <c r="C426" i="17"/>
  <c r="B426" i="17"/>
  <c r="H425" i="17"/>
  <c r="G425" i="17"/>
  <c r="F425" i="17"/>
  <c r="D425" i="17"/>
  <c r="C425" i="17"/>
  <c r="B425" i="17"/>
  <c r="H424" i="17"/>
  <c r="G424" i="17"/>
  <c r="F424" i="17"/>
  <c r="D424" i="17"/>
  <c r="C424" i="17"/>
  <c r="B424" i="17"/>
  <c r="H423" i="17"/>
  <c r="G423" i="17"/>
  <c r="F423" i="17"/>
  <c r="D423" i="17"/>
  <c r="C423" i="17"/>
  <c r="B423" i="17"/>
  <c r="H422" i="17"/>
  <c r="G422" i="17"/>
  <c r="F422" i="17"/>
  <c r="D422" i="17"/>
  <c r="C422" i="17"/>
  <c r="B422" i="17"/>
  <c r="H421" i="17"/>
  <c r="G421" i="17"/>
  <c r="F421" i="17"/>
  <c r="D421" i="17"/>
  <c r="C421" i="17"/>
  <c r="B421" i="17"/>
  <c r="H420" i="17"/>
  <c r="G420" i="17"/>
  <c r="F420" i="17"/>
  <c r="D420" i="17"/>
  <c r="C420" i="17"/>
  <c r="B420" i="17"/>
  <c r="H419" i="17"/>
  <c r="G419" i="17"/>
  <c r="F419" i="17"/>
  <c r="D419" i="17"/>
  <c r="C419" i="17"/>
  <c r="B419" i="17"/>
  <c r="H418" i="17"/>
  <c r="G418" i="17"/>
  <c r="F418" i="17"/>
  <c r="D418" i="17"/>
  <c r="C418" i="17"/>
  <c r="B418" i="17"/>
  <c r="H417" i="17"/>
  <c r="G417" i="17"/>
  <c r="F417" i="17"/>
  <c r="D417" i="17"/>
  <c r="C417" i="17"/>
  <c r="B417" i="17"/>
  <c r="H416" i="17"/>
  <c r="G416" i="17"/>
  <c r="F416" i="17"/>
  <c r="D416" i="17"/>
  <c r="C416" i="17"/>
  <c r="B416" i="17"/>
  <c r="H415" i="17"/>
  <c r="G415" i="17"/>
  <c r="F415" i="17"/>
  <c r="D415" i="17"/>
  <c r="C415" i="17"/>
  <c r="B415" i="17"/>
  <c r="H414" i="17"/>
  <c r="G414" i="17"/>
  <c r="F414" i="17"/>
  <c r="D414" i="17"/>
  <c r="C414" i="17"/>
  <c r="B414" i="17"/>
  <c r="H413" i="17"/>
  <c r="G413" i="17"/>
  <c r="F413" i="17"/>
  <c r="D413" i="17"/>
  <c r="C413" i="17"/>
  <c r="B413" i="17"/>
  <c r="H412" i="17"/>
  <c r="G412" i="17"/>
  <c r="F412" i="17"/>
  <c r="D412" i="17"/>
  <c r="C412" i="17"/>
  <c r="B412" i="17"/>
  <c r="H411" i="17"/>
  <c r="G411" i="17"/>
  <c r="F411" i="17"/>
  <c r="D411" i="17"/>
  <c r="C411" i="17"/>
  <c r="B411" i="17"/>
  <c r="H410" i="17"/>
  <c r="G410" i="17"/>
  <c r="F410" i="17"/>
  <c r="D410" i="17"/>
  <c r="C410" i="17"/>
  <c r="B410" i="17"/>
  <c r="H409" i="17"/>
  <c r="G409" i="17"/>
  <c r="F409" i="17"/>
  <c r="D409" i="17"/>
  <c r="C409" i="17"/>
  <c r="B409" i="17"/>
  <c r="H408" i="17"/>
  <c r="G408" i="17"/>
  <c r="F408" i="17"/>
  <c r="D408" i="17"/>
  <c r="C408" i="17"/>
  <c r="B408" i="17"/>
  <c r="H407" i="17"/>
  <c r="G407" i="17"/>
  <c r="F407" i="17"/>
  <c r="D407" i="17"/>
  <c r="C407" i="17"/>
  <c r="B407" i="17"/>
  <c r="H406" i="17"/>
  <c r="G406" i="17"/>
  <c r="F406" i="17"/>
  <c r="D406" i="17"/>
  <c r="C406" i="17"/>
  <c r="B406" i="17"/>
  <c r="H405" i="17"/>
  <c r="G405" i="17"/>
  <c r="F405" i="17"/>
  <c r="D405" i="17"/>
  <c r="C405" i="17"/>
  <c r="B405" i="17"/>
  <c r="H404" i="17"/>
  <c r="G404" i="17"/>
  <c r="F404" i="17"/>
  <c r="D404" i="17"/>
  <c r="C404" i="17"/>
  <c r="B404" i="17"/>
  <c r="H403" i="17"/>
  <c r="G403" i="17"/>
  <c r="F403" i="17"/>
  <c r="D403" i="17"/>
  <c r="C403" i="17"/>
  <c r="B403" i="17"/>
  <c r="H402" i="17"/>
  <c r="G402" i="17"/>
  <c r="F402" i="17"/>
  <c r="D402" i="17"/>
  <c r="C402" i="17"/>
  <c r="B402" i="17"/>
  <c r="H401" i="17"/>
  <c r="G401" i="17"/>
  <c r="F401" i="17"/>
  <c r="D401" i="17"/>
  <c r="C401" i="17"/>
  <c r="B401" i="17"/>
  <c r="H400" i="17"/>
  <c r="G400" i="17"/>
  <c r="F400" i="17"/>
  <c r="D400" i="17"/>
  <c r="C400" i="17"/>
  <c r="B400" i="17"/>
  <c r="H399" i="17"/>
  <c r="G399" i="17"/>
  <c r="F399" i="17"/>
  <c r="D399" i="17"/>
  <c r="C399" i="17"/>
  <c r="B399" i="17"/>
  <c r="H398" i="17"/>
  <c r="G398" i="17"/>
  <c r="F398" i="17"/>
  <c r="D398" i="17"/>
  <c r="C398" i="17"/>
  <c r="B398" i="17"/>
  <c r="H397" i="17"/>
  <c r="G397" i="17"/>
  <c r="F397" i="17"/>
  <c r="D397" i="17"/>
  <c r="C397" i="17"/>
  <c r="B397" i="17"/>
  <c r="H396" i="17"/>
  <c r="G396" i="17"/>
  <c r="F396" i="17"/>
  <c r="D396" i="17"/>
  <c r="C396" i="17"/>
  <c r="B396" i="17"/>
  <c r="H395" i="17"/>
  <c r="G395" i="17"/>
  <c r="F395" i="17"/>
  <c r="D395" i="17"/>
  <c r="C395" i="17"/>
  <c r="B395" i="17"/>
  <c r="H394" i="17"/>
  <c r="G394" i="17"/>
  <c r="F394" i="17"/>
  <c r="D394" i="17"/>
  <c r="C394" i="17"/>
  <c r="B394" i="17"/>
  <c r="H393" i="17"/>
  <c r="G393" i="17"/>
  <c r="F393" i="17"/>
  <c r="D393" i="17"/>
  <c r="C393" i="17"/>
  <c r="B393" i="17"/>
  <c r="H392" i="17"/>
  <c r="G392" i="17"/>
  <c r="F392" i="17"/>
  <c r="D392" i="17"/>
  <c r="C392" i="17"/>
  <c r="B392" i="17"/>
  <c r="H391" i="17"/>
  <c r="G391" i="17"/>
  <c r="F391" i="17"/>
  <c r="D391" i="17"/>
  <c r="C391" i="17"/>
  <c r="B391" i="17"/>
  <c r="H390" i="17"/>
  <c r="G390" i="17"/>
  <c r="F390" i="17"/>
  <c r="D390" i="17"/>
  <c r="C390" i="17"/>
  <c r="B390" i="17"/>
  <c r="H389" i="17"/>
  <c r="G389" i="17"/>
  <c r="F389" i="17"/>
  <c r="D389" i="17"/>
  <c r="C389" i="17"/>
  <c r="B389" i="17"/>
  <c r="H388" i="17"/>
  <c r="G388" i="17"/>
  <c r="F388" i="17"/>
  <c r="D388" i="17"/>
  <c r="C388" i="17"/>
  <c r="B388" i="17"/>
  <c r="H387" i="17"/>
  <c r="G387" i="17"/>
  <c r="F387" i="17"/>
  <c r="D387" i="17"/>
  <c r="C387" i="17"/>
  <c r="B387" i="17"/>
  <c r="H386" i="17"/>
  <c r="G386" i="17"/>
  <c r="F386" i="17"/>
  <c r="D386" i="17"/>
  <c r="C386" i="17"/>
  <c r="B386" i="17"/>
  <c r="H385" i="17"/>
  <c r="G385" i="17"/>
  <c r="F385" i="17"/>
  <c r="D385" i="17"/>
  <c r="C385" i="17"/>
  <c r="B385" i="17"/>
  <c r="H384" i="17"/>
  <c r="G384" i="17"/>
  <c r="F384" i="17"/>
  <c r="D384" i="17"/>
  <c r="C384" i="17"/>
  <c r="B384" i="17"/>
  <c r="H383" i="17"/>
  <c r="G383" i="17"/>
  <c r="F383" i="17"/>
  <c r="D383" i="17"/>
  <c r="C383" i="17"/>
  <c r="B383" i="17"/>
  <c r="H382" i="17"/>
  <c r="G382" i="17"/>
  <c r="F382" i="17"/>
  <c r="D382" i="17"/>
  <c r="C382" i="17"/>
  <c r="B382" i="17"/>
  <c r="H381" i="17"/>
  <c r="G381" i="17"/>
  <c r="F381" i="17"/>
  <c r="D381" i="17"/>
  <c r="C381" i="17"/>
  <c r="B381" i="17"/>
  <c r="H380" i="17"/>
  <c r="G380" i="17"/>
  <c r="F380" i="17"/>
  <c r="D380" i="17"/>
  <c r="C380" i="17"/>
  <c r="B380" i="17"/>
  <c r="H379" i="17"/>
  <c r="G379" i="17"/>
  <c r="F379" i="17"/>
  <c r="D379" i="17"/>
  <c r="C379" i="17"/>
  <c r="B379" i="17"/>
  <c r="H378" i="17"/>
  <c r="G378" i="17"/>
  <c r="F378" i="17"/>
  <c r="D378" i="17"/>
  <c r="C378" i="17"/>
  <c r="B378" i="17"/>
  <c r="H377" i="17"/>
  <c r="G377" i="17"/>
  <c r="F377" i="17"/>
  <c r="D377" i="17"/>
  <c r="C377" i="17"/>
  <c r="B377" i="17"/>
  <c r="H376" i="17"/>
  <c r="G376" i="17"/>
  <c r="F376" i="17"/>
  <c r="D376" i="17"/>
  <c r="C376" i="17"/>
  <c r="B376" i="17"/>
  <c r="H375" i="17"/>
  <c r="G375" i="17"/>
  <c r="F375" i="17"/>
  <c r="D375" i="17"/>
  <c r="C375" i="17"/>
  <c r="B375" i="17"/>
  <c r="H374" i="17"/>
  <c r="G374" i="17"/>
  <c r="F374" i="17"/>
  <c r="D374" i="17"/>
  <c r="C374" i="17"/>
  <c r="B374" i="17"/>
  <c r="H373" i="17"/>
  <c r="G373" i="17"/>
  <c r="F373" i="17"/>
  <c r="D373" i="17"/>
  <c r="C373" i="17"/>
  <c r="B373" i="17"/>
  <c r="H372" i="17"/>
  <c r="G372" i="17"/>
  <c r="F372" i="17"/>
  <c r="D372" i="17"/>
  <c r="C372" i="17"/>
  <c r="B372" i="17"/>
  <c r="H371" i="17"/>
  <c r="G371" i="17"/>
  <c r="F371" i="17"/>
  <c r="D371" i="17"/>
  <c r="C371" i="17"/>
  <c r="B371" i="17"/>
  <c r="H370" i="17"/>
  <c r="G370" i="17"/>
  <c r="F370" i="17"/>
  <c r="D370" i="17"/>
  <c r="C370" i="17"/>
  <c r="B370" i="17"/>
  <c r="H369" i="17"/>
  <c r="G369" i="17"/>
  <c r="F369" i="17"/>
  <c r="D369" i="17"/>
  <c r="C369" i="17"/>
  <c r="B369" i="17"/>
  <c r="H368" i="17"/>
  <c r="G368" i="17"/>
  <c r="F368" i="17"/>
  <c r="D368" i="17"/>
  <c r="C368" i="17"/>
  <c r="B368" i="17"/>
  <c r="H367" i="17"/>
  <c r="G367" i="17"/>
  <c r="F367" i="17"/>
  <c r="D367" i="17"/>
  <c r="C367" i="17"/>
  <c r="B367" i="17"/>
  <c r="H366" i="17"/>
  <c r="G366" i="17"/>
  <c r="F366" i="17"/>
  <c r="D366" i="17"/>
  <c r="C366" i="17"/>
  <c r="B366" i="17"/>
  <c r="H365" i="17"/>
  <c r="G365" i="17"/>
  <c r="F365" i="17"/>
  <c r="D365" i="17"/>
  <c r="C365" i="17"/>
  <c r="B365" i="17"/>
  <c r="H364" i="17"/>
  <c r="G364" i="17"/>
  <c r="F364" i="17"/>
  <c r="D364" i="17"/>
  <c r="C364" i="17"/>
  <c r="B364" i="17"/>
  <c r="H363" i="17"/>
  <c r="G363" i="17"/>
  <c r="F363" i="17"/>
  <c r="D363" i="17"/>
  <c r="C363" i="17"/>
  <c r="B363" i="17"/>
  <c r="H362" i="17"/>
  <c r="G362" i="17"/>
  <c r="F362" i="17"/>
  <c r="D362" i="17"/>
  <c r="C362" i="17"/>
  <c r="B362" i="17"/>
  <c r="H361" i="17"/>
  <c r="G361" i="17"/>
  <c r="F361" i="17"/>
  <c r="D361" i="17"/>
  <c r="C361" i="17"/>
  <c r="B361" i="17"/>
  <c r="H360" i="17"/>
  <c r="G360" i="17"/>
  <c r="F360" i="17"/>
  <c r="D360" i="17"/>
  <c r="C360" i="17"/>
  <c r="B360" i="17"/>
  <c r="H359" i="17"/>
  <c r="G359" i="17"/>
  <c r="F359" i="17"/>
  <c r="D359" i="17"/>
  <c r="C359" i="17"/>
  <c r="B359" i="17"/>
  <c r="H358" i="17"/>
  <c r="G358" i="17"/>
  <c r="F358" i="17"/>
  <c r="D358" i="17"/>
  <c r="C358" i="17"/>
  <c r="B358" i="17"/>
  <c r="H357" i="17"/>
  <c r="G357" i="17"/>
  <c r="F357" i="17"/>
  <c r="D357" i="17"/>
  <c r="C357" i="17"/>
  <c r="B357" i="17"/>
  <c r="H356" i="17"/>
  <c r="G356" i="17"/>
  <c r="F356" i="17"/>
  <c r="D356" i="17"/>
  <c r="C356" i="17"/>
  <c r="B356" i="17"/>
  <c r="H355" i="17"/>
  <c r="G355" i="17"/>
  <c r="F355" i="17"/>
  <c r="D355" i="17"/>
  <c r="C355" i="17"/>
  <c r="B355" i="17"/>
  <c r="H354" i="17"/>
  <c r="G354" i="17"/>
  <c r="F354" i="17"/>
  <c r="D354" i="17"/>
  <c r="C354" i="17"/>
  <c r="B354" i="17"/>
  <c r="H353" i="17"/>
  <c r="G353" i="17"/>
  <c r="F353" i="17"/>
  <c r="D353" i="17"/>
  <c r="C353" i="17"/>
  <c r="B353" i="17"/>
  <c r="H352" i="17"/>
  <c r="G352" i="17"/>
  <c r="F352" i="17"/>
  <c r="D352" i="17"/>
  <c r="C352" i="17"/>
  <c r="B352" i="17"/>
  <c r="H351" i="17"/>
  <c r="G351" i="17"/>
  <c r="F351" i="17"/>
  <c r="D351" i="17"/>
  <c r="C351" i="17"/>
  <c r="B351" i="17"/>
  <c r="H350" i="17"/>
  <c r="G350" i="17"/>
  <c r="F350" i="17"/>
  <c r="D350" i="17"/>
  <c r="C350" i="17"/>
  <c r="B350" i="17"/>
  <c r="H349" i="17"/>
  <c r="G349" i="17"/>
  <c r="F349" i="17"/>
  <c r="D349" i="17"/>
  <c r="C349" i="17"/>
  <c r="B349" i="17"/>
  <c r="H348" i="17"/>
  <c r="G348" i="17"/>
  <c r="F348" i="17"/>
  <c r="D348" i="17"/>
  <c r="C348" i="17"/>
  <c r="B348" i="17"/>
  <c r="H347" i="17"/>
  <c r="G347" i="17"/>
  <c r="F347" i="17"/>
  <c r="D347" i="17"/>
  <c r="C347" i="17"/>
  <c r="B347" i="17"/>
  <c r="H346" i="17"/>
  <c r="G346" i="17"/>
  <c r="F346" i="17"/>
  <c r="D346" i="17"/>
  <c r="C346" i="17"/>
  <c r="B346" i="17"/>
  <c r="H345" i="17"/>
  <c r="G345" i="17"/>
  <c r="F345" i="17"/>
  <c r="D345" i="17"/>
  <c r="C345" i="17"/>
  <c r="B345" i="17"/>
  <c r="H344" i="17"/>
  <c r="G344" i="17"/>
  <c r="F344" i="17"/>
  <c r="D344" i="17"/>
  <c r="C344" i="17"/>
  <c r="B344" i="17"/>
  <c r="H343" i="17"/>
  <c r="G343" i="17"/>
  <c r="F343" i="17"/>
  <c r="D343" i="17"/>
  <c r="C343" i="17"/>
  <c r="B343" i="17"/>
  <c r="H342" i="17"/>
  <c r="G342" i="17"/>
  <c r="F342" i="17"/>
  <c r="D342" i="17"/>
  <c r="C342" i="17"/>
  <c r="B342" i="17"/>
  <c r="H341" i="17"/>
  <c r="G341" i="17"/>
  <c r="F341" i="17"/>
  <c r="D341" i="17"/>
  <c r="C341" i="17"/>
  <c r="B341" i="17"/>
  <c r="H340" i="17"/>
  <c r="G340" i="17"/>
  <c r="F340" i="17"/>
  <c r="D340" i="17"/>
  <c r="C340" i="17"/>
  <c r="B340" i="17"/>
  <c r="H339" i="17"/>
  <c r="G339" i="17"/>
  <c r="F339" i="17"/>
  <c r="D339" i="17"/>
  <c r="C339" i="17"/>
  <c r="B339" i="17"/>
  <c r="H338" i="17"/>
  <c r="G338" i="17"/>
  <c r="F338" i="17"/>
  <c r="D338" i="17"/>
  <c r="C338" i="17"/>
  <c r="B338" i="17"/>
  <c r="H337" i="17"/>
  <c r="G337" i="17"/>
  <c r="F337" i="17"/>
  <c r="D337" i="17"/>
  <c r="C337" i="17"/>
  <c r="B337" i="17"/>
  <c r="H336" i="17"/>
  <c r="G336" i="17"/>
  <c r="F336" i="17"/>
  <c r="D336" i="17"/>
  <c r="C336" i="17"/>
  <c r="B336" i="17"/>
  <c r="H335" i="17"/>
  <c r="G335" i="17"/>
  <c r="F335" i="17"/>
  <c r="D335" i="17"/>
  <c r="C335" i="17"/>
  <c r="B335" i="17"/>
  <c r="H334" i="17"/>
  <c r="G334" i="17"/>
  <c r="F334" i="17"/>
  <c r="D334" i="17"/>
  <c r="C334" i="17"/>
  <c r="B334" i="17"/>
  <c r="H333" i="17"/>
  <c r="G333" i="17"/>
  <c r="F333" i="17"/>
  <c r="D333" i="17"/>
  <c r="C333" i="17"/>
  <c r="B333" i="17"/>
  <c r="H332" i="17"/>
  <c r="G332" i="17"/>
  <c r="F332" i="17"/>
  <c r="D332" i="17"/>
  <c r="C332" i="17"/>
  <c r="B332" i="17"/>
  <c r="H331" i="17"/>
  <c r="G331" i="17"/>
  <c r="F331" i="17"/>
  <c r="D331" i="17"/>
  <c r="C331" i="17"/>
  <c r="B331" i="17"/>
  <c r="H330" i="17"/>
  <c r="G330" i="17"/>
  <c r="F330" i="17"/>
  <c r="D330" i="17"/>
  <c r="C330" i="17"/>
  <c r="B330" i="17"/>
  <c r="H329" i="17"/>
  <c r="G329" i="17"/>
  <c r="F329" i="17"/>
  <c r="D329" i="17"/>
  <c r="C329" i="17"/>
  <c r="B329" i="17"/>
  <c r="H328" i="17"/>
  <c r="G328" i="17"/>
  <c r="F328" i="17"/>
  <c r="D328" i="17"/>
  <c r="C328" i="17"/>
  <c r="B328" i="17"/>
  <c r="H327" i="17"/>
  <c r="G327" i="17"/>
  <c r="F327" i="17"/>
  <c r="D327" i="17"/>
  <c r="C327" i="17"/>
  <c r="B327" i="17"/>
  <c r="H326" i="17"/>
  <c r="G326" i="17"/>
  <c r="F326" i="17"/>
  <c r="D326" i="17"/>
  <c r="C326" i="17"/>
  <c r="B326" i="17"/>
  <c r="H325" i="17"/>
  <c r="G325" i="17"/>
  <c r="F325" i="17"/>
  <c r="D325" i="17"/>
  <c r="C325" i="17"/>
  <c r="B325" i="17"/>
  <c r="H324" i="17"/>
  <c r="G324" i="17"/>
  <c r="F324" i="17"/>
  <c r="D324" i="17"/>
  <c r="C324" i="17"/>
  <c r="B324" i="17"/>
  <c r="H323" i="17"/>
  <c r="G323" i="17"/>
  <c r="F323" i="17"/>
  <c r="D323" i="17"/>
  <c r="C323" i="17"/>
  <c r="B323" i="17"/>
  <c r="H322" i="17"/>
  <c r="G322" i="17"/>
  <c r="F322" i="17"/>
  <c r="D322" i="17"/>
  <c r="C322" i="17"/>
  <c r="B322" i="17"/>
  <c r="H321" i="17"/>
  <c r="G321" i="17"/>
  <c r="F321" i="17"/>
  <c r="D321" i="17"/>
  <c r="C321" i="17"/>
  <c r="B321" i="17"/>
  <c r="H320" i="17"/>
  <c r="G320" i="17"/>
  <c r="F320" i="17"/>
  <c r="D320" i="17"/>
  <c r="C320" i="17"/>
  <c r="B320" i="17"/>
  <c r="H319" i="17"/>
  <c r="G319" i="17"/>
  <c r="F319" i="17"/>
  <c r="D319" i="17"/>
  <c r="C319" i="17"/>
  <c r="B319" i="17"/>
  <c r="H318" i="17"/>
  <c r="G318" i="17"/>
  <c r="F318" i="17"/>
  <c r="D318" i="17"/>
  <c r="C318" i="17"/>
  <c r="B318" i="17"/>
  <c r="H317" i="17"/>
  <c r="G317" i="17"/>
  <c r="F317" i="17"/>
  <c r="D317" i="17"/>
  <c r="C317" i="17"/>
  <c r="B317" i="17"/>
  <c r="H316" i="17"/>
  <c r="G316" i="17"/>
  <c r="F316" i="17"/>
  <c r="D316" i="17"/>
  <c r="C316" i="17"/>
  <c r="B316" i="17"/>
  <c r="H315" i="17"/>
  <c r="G315" i="17"/>
  <c r="F315" i="17"/>
  <c r="D315" i="17"/>
  <c r="C315" i="17"/>
  <c r="B315" i="17"/>
  <c r="H314" i="17"/>
  <c r="G314" i="17"/>
  <c r="F314" i="17"/>
  <c r="D314" i="17"/>
  <c r="C314" i="17"/>
  <c r="B314" i="17"/>
  <c r="H313" i="17"/>
  <c r="G313" i="17"/>
  <c r="F313" i="17"/>
  <c r="D313" i="17"/>
  <c r="C313" i="17"/>
  <c r="B313" i="17"/>
  <c r="H312" i="17"/>
  <c r="G312" i="17"/>
  <c r="F312" i="17"/>
  <c r="D312" i="17"/>
  <c r="C312" i="17"/>
  <c r="B312" i="17"/>
  <c r="H311" i="17"/>
  <c r="G311" i="17"/>
  <c r="F311" i="17"/>
  <c r="D311" i="17"/>
  <c r="C311" i="17"/>
  <c r="B311" i="17"/>
  <c r="H310" i="17"/>
  <c r="G310" i="17"/>
  <c r="F310" i="17"/>
  <c r="D310" i="17"/>
  <c r="C310" i="17"/>
  <c r="B310" i="17"/>
  <c r="H309" i="17"/>
  <c r="G309" i="17"/>
  <c r="F309" i="17"/>
  <c r="D309" i="17"/>
  <c r="C309" i="17"/>
  <c r="B309" i="17"/>
  <c r="H308" i="17"/>
  <c r="G308" i="17"/>
  <c r="F308" i="17"/>
  <c r="D308" i="17"/>
  <c r="C308" i="17"/>
  <c r="B308" i="17"/>
  <c r="H307" i="17"/>
  <c r="G307" i="17"/>
  <c r="F307" i="17"/>
  <c r="D307" i="17"/>
  <c r="C307" i="17"/>
  <c r="B307" i="17"/>
  <c r="H306" i="17"/>
  <c r="G306" i="17"/>
  <c r="F306" i="17"/>
  <c r="D306" i="17"/>
  <c r="C306" i="17"/>
  <c r="B306" i="17"/>
  <c r="H305" i="17"/>
  <c r="G305" i="17"/>
  <c r="F305" i="17"/>
  <c r="D305" i="17"/>
  <c r="C305" i="17"/>
  <c r="B305" i="17"/>
  <c r="H304" i="17"/>
  <c r="G304" i="17"/>
  <c r="F304" i="17"/>
  <c r="D304" i="17"/>
  <c r="C304" i="17"/>
  <c r="B304" i="17"/>
  <c r="H303" i="17"/>
  <c r="G303" i="17"/>
  <c r="F303" i="17"/>
  <c r="D303" i="17"/>
  <c r="C303" i="17"/>
  <c r="B303" i="17"/>
  <c r="H302" i="17"/>
  <c r="G302" i="17"/>
  <c r="F302" i="17"/>
  <c r="D302" i="17"/>
  <c r="C302" i="17"/>
  <c r="B302" i="17"/>
  <c r="H301" i="17"/>
  <c r="G301" i="17"/>
  <c r="F301" i="17"/>
  <c r="D301" i="17"/>
  <c r="C301" i="17"/>
  <c r="B301" i="17"/>
  <c r="H300" i="17"/>
  <c r="G300" i="17"/>
  <c r="F300" i="17"/>
  <c r="D300" i="17"/>
  <c r="C300" i="17"/>
  <c r="B300" i="17"/>
  <c r="H299" i="17"/>
  <c r="G299" i="17"/>
  <c r="F299" i="17"/>
  <c r="D299" i="17"/>
  <c r="C299" i="17"/>
  <c r="B299" i="17"/>
  <c r="H298" i="17"/>
  <c r="G298" i="17"/>
  <c r="F298" i="17"/>
  <c r="D298" i="17"/>
  <c r="C298" i="17"/>
  <c r="B298" i="17"/>
  <c r="H297" i="17"/>
  <c r="G297" i="17"/>
  <c r="F297" i="17"/>
  <c r="D297" i="17"/>
  <c r="C297" i="17"/>
  <c r="B297" i="17"/>
  <c r="H296" i="17"/>
  <c r="G296" i="17"/>
  <c r="F296" i="17"/>
  <c r="D296" i="17"/>
  <c r="C296" i="17"/>
  <c r="B296" i="17"/>
  <c r="H295" i="17"/>
  <c r="G295" i="17"/>
  <c r="F295" i="17"/>
  <c r="D295" i="17"/>
  <c r="C295" i="17"/>
  <c r="B295" i="17"/>
  <c r="H294" i="17"/>
  <c r="G294" i="17"/>
  <c r="F294" i="17"/>
  <c r="D294" i="17"/>
  <c r="C294" i="17"/>
  <c r="B294" i="17"/>
  <c r="H293" i="17"/>
  <c r="G293" i="17"/>
  <c r="F293" i="17"/>
  <c r="D293" i="17"/>
  <c r="C293" i="17"/>
  <c r="B293" i="17"/>
  <c r="H292" i="17"/>
  <c r="G292" i="17"/>
  <c r="F292" i="17"/>
  <c r="D292" i="17"/>
  <c r="C292" i="17"/>
  <c r="B292" i="17"/>
  <c r="H291" i="17"/>
  <c r="G291" i="17"/>
  <c r="F291" i="17"/>
  <c r="D291" i="17"/>
  <c r="C291" i="17"/>
  <c r="B291" i="17"/>
  <c r="H290" i="17"/>
  <c r="G290" i="17"/>
  <c r="F290" i="17"/>
  <c r="D290" i="17"/>
  <c r="C290" i="17"/>
  <c r="B290" i="17"/>
  <c r="H289" i="17"/>
  <c r="G289" i="17"/>
  <c r="F289" i="17"/>
  <c r="D289" i="17"/>
  <c r="C289" i="17"/>
  <c r="B289" i="17"/>
  <c r="H288" i="17"/>
  <c r="G288" i="17"/>
  <c r="F288" i="17"/>
  <c r="D288" i="17"/>
  <c r="C288" i="17"/>
  <c r="B288" i="17"/>
  <c r="H287" i="17"/>
  <c r="G287" i="17"/>
  <c r="F287" i="17"/>
  <c r="D287" i="17"/>
  <c r="C287" i="17"/>
  <c r="B287" i="17"/>
  <c r="H286" i="17"/>
  <c r="G286" i="17"/>
  <c r="F286" i="17"/>
  <c r="D286" i="17"/>
  <c r="C286" i="17"/>
  <c r="B286" i="17"/>
  <c r="H285" i="17"/>
  <c r="G285" i="17"/>
  <c r="F285" i="17"/>
  <c r="D285" i="17"/>
  <c r="C285" i="17"/>
  <c r="B285" i="17"/>
  <c r="H284" i="17"/>
  <c r="G284" i="17"/>
  <c r="F284" i="17"/>
  <c r="D284" i="17"/>
  <c r="C284" i="17"/>
  <c r="B284" i="17"/>
  <c r="H283" i="17"/>
  <c r="G283" i="17"/>
  <c r="F283" i="17"/>
  <c r="D283" i="17"/>
  <c r="C283" i="17"/>
  <c r="B283" i="17"/>
  <c r="H282" i="17"/>
  <c r="G282" i="17"/>
  <c r="F282" i="17"/>
  <c r="D282" i="17"/>
  <c r="C282" i="17"/>
  <c r="B282" i="17"/>
  <c r="H281" i="17"/>
  <c r="G281" i="17"/>
  <c r="F281" i="17"/>
  <c r="D281" i="17"/>
  <c r="C281" i="17"/>
  <c r="B281" i="17"/>
  <c r="H280" i="17"/>
  <c r="G280" i="17"/>
  <c r="F280" i="17"/>
  <c r="D280" i="17"/>
  <c r="C280" i="17"/>
  <c r="B280" i="17"/>
  <c r="H279" i="17"/>
  <c r="G279" i="17"/>
  <c r="F279" i="17"/>
  <c r="D279" i="17"/>
  <c r="C279" i="17"/>
  <c r="B279" i="17"/>
  <c r="H278" i="17"/>
  <c r="G278" i="17"/>
  <c r="F278" i="17"/>
  <c r="D278" i="17"/>
  <c r="C278" i="17"/>
  <c r="B278" i="17"/>
  <c r="H277" i="17"/>
  <c r="G277" i="17"/>
  <c r="F277" i="17"/>
  <c r="D277" i="17"/>
  <c r="C277" i="17"/>
  <c r="B277" i="17"/>
  <c r="H276" i="17"/>
  <c r="G276" i="17"/>
  <c r="F276" i="17"/>
  <c r="D276" i="17"/>
  <c r="C276" i="17"/>
  <c r="B276" i="17"/>
  <c r="H275" i="17"/>
  <c r="G275" i="17"/>
  <c r="F275" i="17"/>
  <c r="D275" i="17"/>
  <c r="C275" i="17"/>
  <c r="B275" i="17"/>
  <c r="H274" i="17"/>
  <c r="G274" i="17"/>
  <c r="F274" i="17"/>
  <c r="D274" i="17"/>
  <c r="C274" i="17"/>
  <c r="B274" i="17"/>
  <c r="H273" i="17"/>
  <c r="G273" i="17"/>
  <c r="F273" i="17"/>
  <c r="D273" i="17"/>
  <c r="C273" i="17"/>
  <c r="B273" i="17"/>
  <c r="H272" i="17"/>
  <c r="G272" i="17"/>
  <c r="F272" i="17"/>
  <c r="D272" i="17"/>
  <c r="C272" i="17"/>
  <c r="B272" i="17"/>
  <c r="H271" i="17"/>
  <c r="G271" i="17"/>
  <c r="F271" i="17"/>
  <c r="D271" i="17"/>
  <c r="C271" i="17"/>
  <c r="B271" i="17"/>
  <c r="H270" i="17"/>
  <c r="G270" i="17"/>
  <c r="F270" i="17"/>
  <c r="D270" i="17"/>
  <c r="C270" i="17"/>
  <c r="B270" i="17"/>
  <c r="H269" i="17"/>
  <c r="G269" i="17"/>
  <c r="F269" i="17"/>
  <c r="D269" i="17"/>
  <c r="C269" i="17"/>
  <c r="B269" i="17"/>
  <c r="H268" i="17"/>
  <c r="G268" i="17"/>
  <c r="F268" i="17"/>
  <c r="D268" i="17"/>
  <c r="C268" i="17"/>
  <c r="B268" i="17"/>
  <c r="H267" i="17"/>
  <c r="G267" i="17"/>
  <c r="F267" i="17"/>
  <c r="D267" i="17"/>
  <c r="C267" i="17"/>
  <c r="B267" i="17"/>
  <c r="H266" i="17"/>
  <c r="G266" i="17"/>
  <c r="F266" i="17"/>
  <c r="D266" i="17"/>
  <c r="C266" i="17"/>
  <c r="B266" i="17"/>
  <c r="H265" i="17"/>
  <c r="G265" i="17"/>
  <c r="F265" i="17"/>
  <c r="D265" i="17"/>
  <c r="C265" i="17"/>
  <c r="B265" i="17"/>
  <c r="H264" i="17"/>
  <c r="G264" i="17"/>
  <c r="F264" i="17"/>
  <c r="D264" i="17"/>
  <c r="C264" i="17"/>
  <c r="B264" i="17"/>
  <c r="H263" i="17"/>
  <c r="G263" i="17"/>
  <c r="F263" i="17"/>
  <c r="D263" i="17"/>
  <c r="C263" i="17"/>
  <c r="B263" i="17"/>
  <c r="H262" i="17"/>
  <c r="G262" i="17"/>
  <c r="F262" i="17"/>
  <c r="D262" i="17"/>
  <c r="C262" i="17"/>
  <c r="B262" i="17"/>
  <c r="H261" i="17"/>
  <c r="G261" i="17"/>
  <c r="F261" i="17"/>
  <c r="D261" i="17"/>
  <c r="C261" i="17"/>
  <c r="B261" i="17"/>
  <c r="H260" i="17"/>
  <c r="G260" i="17"/>
  <c r="F260" i="17"/>
  <c r="D260" i="17"/>
  <c r="C260" i="17"/>
  <c r="B260" i="17"/>
  <c r="H259" i="17"/>
  <c r="G259" i="17"/>
  <c r="F259" i="17"/>
  <c r="D259" i="17"/>
  <c r="C259" i="17"/>
  <c r="B259" i="17"/>
  <c r="H258" i="17"/>
  <c r="G258" i="17"/>
  <c r="F258" i="17"/>
  <c r="D258" i="17"/>
  <c r="C258" i="17"/>
  <c r="B258" i="17"/>
  <c r="H257" i="17"/>
  <c r="G257" i="17"/>
  <c r="F257" i="17"/>
  <c r="D257" i="17"/>
  <c r="C257" i="17"/>
  <c r="B257" i="17"/>
  <c r="H256" i="17"/>
  <c r="G256" i="17"/>
  <c r="F256" i="17"/>
  <c r="D256" i="17"/>
  <c r="C256" i="17"/>
  <c r="B256" i="17"/>
  <c r="H255" i="17"/>
  <c r="G255" i="17"/>
  <c r="F255" i="17"/>
  <c r="D255" i="17"/>
  <c r="C255" i="17"/>
  <c r="B255" i="17"/>
  <c r="H254" i="17"/>
  <c r="G254" i="17"/>
  <c r="F254" i="17"/>
  <c r="D254" i="17"/>
  <c r="C254" i="17"/>
  <c r="B254" i="17"/>
  <c r="H253" i="17"/>
  <c r="G253" i="17"/>
  <c r="F253" i="17"/>
  <c r="D253" i="17"/>
  <c r="C253" i="17"/>
  <c r="B253" i="17"/>
  <c r="H252" i="17"/>
  <c r="G252" i="17"/>
  <c r="F252" i="17"/>
  <c r="D252" i="17"/>
  <c r="C252" i="17"/>
  <c r="B252" i="17"/>
  <c r="H251" i="17"/>
  <c r="G251" i="17"/>
  <c r="F251" i="17"/>
  <c r="D251" i="17"/>
  <c r="C251" i="17"/>
  <c r="B251" i="17"/>
  <c r="H250" i="17"/>
  <c r="G250" i="17"/>
  <c r="F250" i="17"/>
  <c r="D250" i="17"/>
  <c r="C250" i="17"/>
  <c r="B250" i="17"/>
  <c r="H249" i="17"/>
  <c r="G249" i="17"/>
  <c r="F249" i="17"/>
  <c r="D249" i="17"/>
  <c r="C249" i="17"/>
  <c r="B249" i="17"/>
  <c r="H248" i="17"/>
  <c r="G248" i="17"/>
  <c r="F248" i="17"/>
  <c r="D248" i="17"/>
  <c r="C248" i="17"/>
  <c r="B248" i="17"/>
  <c r="H247" i="17"/>
  <c r="G247" i="17"/>
  <c r="F247" i="17"/>
  <c r="D247" i="17"/>
  <c r="C247" i="17"/>
  <c r="B247" i="17"/>
  <c r="H246" i="17"/>
  <c r="G246" i="17"/>
  <c r="F246" i="17"/>
  <c r="D246" i="17"/>
  <c r="C246" i="17"/>
  <c r="B246" i="17"/>
  <c r="H245" i="17"/>
  <c r="G245" i="17"/>
  <c r="F245" i="17"/>
  <c r="D245" i="17"/>
  <c r="C245" i="17"/>
  <c r="B245" i="17"/>
  <c r="H244" i="17"/>
  <c r="G244" i="17"/>
  <c r="F244" i="17"/>
  <c r="D244" i="17"/>
  <c r="C244" i="17"/>
  <c r="B244" i="17"/>
  <c r="H243" i="17"/>
  <c r="G243" i="17"/>
  <c r="F243" i="17"/>
  <c r="D243" i="17"/>
  <c r="C243" i="17"/>
  <c r="B243" i="17"/>
  <c r="H242" i="17"/>
  <c r="G242" i="17"/>
  <c r="F242" i="17"/>
  <c r="D242" i="17"/>
  <c r="C242" i="17"/>
  <c r="B242" i="17"/>
  <c r="H241" i="17"/>
  <c r="G241" i="17"/>
  <c r="F241" i="17"/>
  <c r="D241" i="17"/>
  <c r="C241" i="17"/>
  <c r="B241" i="17"/>
  <c r="H240" i="17"/>
  <c r="G240" i="17"/>
  <c r="F240" i="17"/>
  <c r="D240" i="17"/>
  <c r="C240" i="17"/>
  <c r="B240" i="17"/>
  <c r="H239" i="17"/>
  <c r="G239" i="17"/>
  <c r="F239" i="17"/>
  <c r="D239" i="17"/>
  <c r="C239" i="17"/>
  <c r="B239" i="17"/>
  <c r="H238" i="17"/>
  <c r="G238" i="17"/>
  <c r="F238" i="17"/>
  <c r="D238" i="17"/>
  <c r="C238" i="17"/>
  <c r="B238" i="17"/>
  <c r="H237" i="17"/>
  <c r="G237" i="17"/>
  <c r="F237" i="17"/>
  <c r="D237" i="17"/>
  <c r="C237" i="17"/>
  <c r="B237" i="17"/>
  <c r="H236" i="17"/>
  <c r="G236" i="17"/>
  <c r="F236" i="17"/>
  <c r="D236" i="17"/>
  <c r="C236" i="17"/>
  <c r="B236" i="17"/>
  <c r="H235" i="17"/>
  <c r="G235" i="17"/>
  <c r="F235" i="17"/>
  <c r="D235" i="17"/>
  <c r="C235" i="17"/>
  <c r="B235" i="17"/>
  <c r="H234" i="17"/>
  <c r="G234" i="17"/>
  <c r="F234" i="17"/>
  <c r="D234" i="17"/>
  <c r="C234" i="17"/>
  <c r="B234" i="17"/>
  <c r="H233" i="17"/>
  <c r="G233" i="17"/>
  <c r="F233" i="17"/>
  <c r="D233" i="17"/>
  <c r="C233" i="17"/>
  <c r="B233" i="17"/>
  <c r="H232" i="17"/>
  <c r="G232" i="17"/>
  <c r="F232" i="17"/>
  <c r="D232" i="17"/>
  <c r="C232" i="17"/>
  <c r="B232" i="17"/>
  <c r="H231" i="17"/>
  <c r="G231" i="17"/>
  <c r="F231" i="17"/>
  <c r="D231" i="17"/>
  <c r="C231" i="17"/>
  <c r="B231" i="17"/>
  <c r="H230" i="17"/>
  <c r="G230" i="17"/>
  <c r="F230" i="17"/>
  <c r="D230" i="17"/>
  <c r="C230" i="17"/>
  <c r="B230" i="17"/>
  <c r="H229" i="17"/>
  <c r="G229" i="17"/>
  <c r="F229" i="17"/>
  <c r="D229" i="17"/>
  <c r="C229" i="17"/>
  <c r="B229" i="17"/>
  <c r="H228" i="17"/>
  <c r="G228" i="17"/>
  <c r="F228" i="17"/>
  <c r="D228" i="17"/>
  <c r="C228" i="17"/>
  <c r="B228" i="17"/>
  <c r="H227" i="17"/>
  <c r="G227" i="17"/>
  <c r="F227" i="17"/>
  <c r="D227" i="17"/>
  <c r="C227" i="17"/>
  <c r="B227" i="17"/>
  <c r="H226" i="17"/>
  <c r="G226" i="17"/>
  <c r="F226" i="17"/>
  <c r="D226" i="17"/>
  <c r="C226" i="17"/>
  <c r="B226" i="17"/>
  <c r="H225" i="17"/>
  <c r="G225" i="17"/>
  <c r="F225" i="17"/>
  <c r="D225" i="17"/>
  <c r="C225" i="17"/>
  <c r="B225" i="17"/>
  <c r="H224" i="17"/>
  <c r="G224" i="17"/>
  <c r="F224" i="17"/>
  <c r="D224" i="17"/>
  <c r="C224" i="17"/>
  <c r="B224" i="17"/>
  <c r="H223" i="17"/>
  <c r="G223" i="17"/>
  <c r="F223" i="17"/>
  <c r="D223" i="17"/>
  <c r="C223" i="17"/>
  <c r="B223" i="17"/>
  <c r="H222" i="17"/>
  <c r="G222" i="17"/>
  <c r="F222" i="17"/>
  <c r="D222" i="17"/>
  <c r="C222" i="17"/>
  <c r="B222" i="17"/>
  <c r="H221" i="17"/>
  <c r="G221" i="17"/>
  <c r="F221" i="17"/>
  <c r="D221" i="17"/>
  <c r="C221" i="17"/>
  <c r="B221" i="17"/>
  <c r="H220" i="17"/>
  <c r="G220" i="17"/>
  <c r="F220" i="17"/>
  <c r="D220" i="17"/>
  <c r="C220" i="17"/>
  <c r="B220" i="17"/>
  <c r="H219" i="17"/>
  <c r="G219" i="17"/>
  <c r="F219" i="17"/>
  <c r="D219" i="17"/>
  <c r="C219" i="17"/>
  <c r="B219" i="17"/>
  <c r="H218" i="17"/>
  <c r="G218" i="17"/>
  <c r="F218" i="17"/>
  <c r="D218" i="17"/>
  <c r="C218" i="17"/>
  <c r="B218" i="17"/>
  <c r="H217" i="17"/>
  <c r="G217" i="17"/>
  <c r="F217" i="17"/>
  <c r="D217" i="17"/>
  <c r="C217" i="17"/>
  <c r="B217" i="17"/>
  <c r="H216" i="17"/>
  <c r="G216" i="17"/>
  <c r="F216" i="17"/>
  <c r="D216" i="17"/>
  <c r="C216" i="17"/>
  <c r="B216" i="17"/>
  <c r="H215" i="17"/>
  <c r="G215" i="17"/>
  <c r="F215" i="17"/>
  <c r="D215" i="17"/>
  <c r="C215" i="17"/>
  <c r="B215" i="17"/>
  <c r="H214" i="17"/>
  <c r="G214" i="17"/>
  <c r="F214" i="17"/>
  <c r="D214" i="17"/>
  <c r="C214" i="17"/>
  <c r="B214" i="17"/>
  <c r="H213" i="17"/>
  <c r="G213" i="17"/>
  <c r="F213" i="17"/>
  <c r="D213" i="17"/>
  <c r="C213" i="17"/>
  <c r="B213" i="17"/>
  <c r="H212" i="17"/>
  <c r="G212" i="17"/>
  <c r="F212" i="17"/>
  <c r="D212" i="17"/>
  <c r="C212" i="17"/>
  <c r="B212" i="17"/>
  <c r="H211" i="17"/>
  <c r="G211" i="17"/>
  <c r="F211" i="17"/>
  <c r="D211" i="17"/>
  <c r="C211" i="17"/>
  <c r="B211" i="17"/>
  <c r="H210" i="17"/>
  <c r="G210" i="17"/>
  <c r="F210" i="17"/>
  <c r="D210" i="17"/>
  <c r="C210" i="17"/>
  <c r="B210" i="17"/>
  <c r="H209" i="17"/>
  <c r="G209" i="17"/>
  <c r="F209" i="17"/>
  <c r="D209" i="17"/>
  <c r="C209" i="17"/>
  <c r="B209" i="17"/>
  <c r="H208" i="17"/>
  <c r="G208" i="17"/>
  <c r="F208" i="17"/>
  <c r="D208" i="17"/>
  <c r="C208" i="17"/>
  <c r="B208" i="17"/>
  <c r="H207" i="17"/>
  <c r="G207" i="17"/>
  <c r="F207" i="17"/>
  <c r="D207" i="17"/>
  <c r="C207" i="17"/>
  <c r="B207" i="17"/>
  <c r="H206" i="17"/>
  <c r="G206" i="17"/>
  <c r="F206" i="17"/>
  <c r="D206" i="17"/>
  <c r="C206" i="17"/>
  <c r="B206" i="17"/>
  <c r="H205" i="17"/>
  <c r="G205" i="17"/>
  <c r="F205" i="17"/>
  <c r="D205" i="17"/>
  <c r="C205" i="17"/>
  <c r="B205" i="17"/>
  <c r="H204" i="17"/>
  <c r="G204" i="17"/>
  <c r="F204" i="17"/>
  <c r="D204" i="17"/>
  <c r="C204" i="17"/>
  <c r="B204" i="17"/>
  <c r="H203" i="17"/>
  <c r="G203" i="17"/>
  <c r="F203" i="17"/>
  <c r="D203" i="17"/>
  <c r="C203" i="17"/>
  <c r="B203" i="17"/>
  <c r="H202" i="17"/>
  <c r="G202" i="17"/>
  <c r="F202" i="17"/>
  <c r="D202" i="17"/>
  <c r="C202" i="17"/>
  <c r="B202" i="17"/>
  <c r="H201" i="17"/>
  <c r="G201" i="17"/>
  <c r="F201" i="17"/>
  <c r="D201" i="17"/>
  <c r="C201" i="17"/>
  <c r="B201" i="17"/>
  <c r="H200" i="17"/>
  <c r="G200" i="17"/>
  <c r="F200" i="17"/>
  <c r="D200" i="17"/>
  <c r="C200" i="17"/>
  <c r="B200" i="17"/>
  <c r="H199" i="17"/>
  <c r="G199" i="17"/>
  <c r="F199" i="17"/>
  <c r="D199" i="17"/>
  <c r="C199" i="17"/>
  <c r="B199" i="17"/>
  <c r="H198" i="17"/>
  <c r="G198" i="17"/>
  <c r="F198" i="17"/>
  <c r="D198" i="17"/>
  <c r="C198" i="17"/>
  <c r="B198" i="17"/>
  <c r="H197" i="17"/>
  <c r="G197" i="17"/>
  <c r="F197" i="17"/>
  <c r="D197" i="17"/>
  <c r="C197" i="17"/>
  <c r="B197" i="17"/>
  <c r="H196" i="17"/>
  <c r="G196" i="17"/>
  <c r="F196" i="17"/>
  <c r="D196" i="17"/>
  <c r="C196" i="17"/>
  <c r="B196" i="17"/>
  <c r="H195" i="17"/>
  <c r="G195" i="17"/>
  <c r="F195" i="17"/>
  <c r="D195" i="17"/>
  <c r="C195" i="17"/>
  <c r="B195" i="17"/>
  <c r="H194" i="17"/>
  <c r="G194" i="17"/>
  <c r="F194" i="17"/>
  <c r="D194" i="17"/>
  <c r="C194" i="17"/>
  <c r="B194" i="17"/>
  <c r="H193" i="17"/>
  <c r="G193" i="17"/>
  <c r="F193" i="17"/>
  <c r="D193" i="17"/>
  <c r="C193" i="17"/>
  <c r="B193" i="17"/>
  <c r="H192" i="17"/>
  <c r="G192" i="17"/>
  <c r="F192" i="17"/>
  <c r="D192" i="17"/>
  <c r="C192" i="17"/>
  <c r="B192" i="17"/>
  <c r="H191" i="17"/>
  <c r="G191" i="17"/>
  <c r="F191" i="17"/>
  <c r="D191" i="17"/>
  <c r="C191" i="17"/>
  <c r="B191" i="17"/>
  <c r="H190" i="17"/>
  <c r="G190" i="17"/>
  <c r="F190" i="17"/>
  <c r="D190" i="17"/>
  <c r="C190" i="17"/>
  <c r="B190" i="17"/>
  <c r="H189" i="17"/>
  <c r="G189" i="17"/>
  <c r="F189" i="17"/>
  <c r="D189" i="17"/>
  <c r="C189" i="17"/>
  <c r="B189" i="17"/>
  <c r="H188" i="17"/>
  <c r="G188" i="17"/>
  <c r="F188" i="17"/>
  <c r="D188" i="17"/>
  <c r="C188" i="17"/>
  <c r="B188" i="17"/>
  <c r="H187" i="17"/>
  <c r="G187" i="17"/>
  <c r="F187" i="17"/>
  <c r="D187" i="17"/>
  <c r="C187" i="17"/>
  <c r="B187" i="17"/>
  <c r="H186" i="17"/>
  <c r="G186" i="17"/>
  <c r="F186" i="17"/>
  <c r="D186" i="17"/>
  <c r="C186" i="17"/>
  <c r="B186" i="17"/>
  <c r="H185" i="17"/>
  <c r="G185" i="17"/>
  <c r="F185" i="17"/>
  <c r="D185" i="17"/>
  <c r="C185" i="17"/>
  <c r="B185" i="17"/>
  <c r="H184" i="17"/>
  <c r="G184" i="17"/>
  <c r="F184" i="17"/>
  <c r="D184" i="17"/>
  <c r="C184" i="17"/>
  <c r="B184" i="17"/>
  <c r="H183" i="17"/>
  <c r="G183" i="17"/>
  <c r="F183" i="17"/>
  <c r="D183" i="17"/>
  <c r="C183" i="17"/>
  <c r="B183" i="17"/>
  <c r="H182" i="17"/>
  <c r="G182" i="17"/>
  <c r="F182" i="17"/>
  <c r="D182" i="17"/>
  <c r="C182" i="17"/>
  <c r="B182" i="17"/>
  <c r="H181" i="17"/>
  <c r="G181" i="17"/>
  <c r="F181" i="17"/>
  <c r="D181" i="17"/>
  <c r="C181" i="17"/>
  <c r="B181" i="17"/>
  <c r="H180" i="17"/>
  <c r="G180" i="17"/>
  <c r="F180" i="17"/>
  <c r="D180" i="17"/>
  <c r="C180" i="17"/>
  <c r="B180" i="17"/>
  <c r="H179" i="17"/>
  <c r="G179" i="17"/>
  <c r="F179" i="17"/>
  <c r="D179" i="17"/>
  <c r="C179" i="17"/>
  <c r="B179" i="17"/>
  <c r="H178" i="17"/>
  <c r="G178" i="17"/>
  <c r="F178" i="17"/>
  <c r="D178" i="17"/>
  <c r="C178" i="17"/>
  <c r="B178" i="17"/>
  <c r="H177" i="17"/>
  <c r="G177" i="17"/>
  <c r="F177" i="17"/>
  <c r="D177" i="17"/>
  <c r="C177" i="17"/>
  <c r="B177" i="17"/>
  <c r="H176" i="17"/>
  <c r="G176" i="17"/>
  <c r="F176" i="17"/>
  <c r="D176" i="17"/>
  <c r="C176" i="17"/>
  <c r="B176" i="17"/>
  <c r="H175" i="17"/>
  <c r="G175" i="17"/>
  <c r="F175" i="17"/>
  <c r="D175" i="17"/>
  <c r="C175" i="17"/>
  <c r="B175" i="17"/>
  <c r="H174" i="17"/>
  <c r="G174" i="17"/>
  <c r="F174" i="17"/>
  <c r="D174" i="17"/>
  <c r="C174" i="17"/>
  <c r="B174" i="17"/>
  <c r="H173" i="17"/>
  <c r="G173" i="17"/>
  <c r="F173" i="17"/>
  <c r="D173" i="17"/>
  <c r="C173" i="17"/>
  <c r="B173" i="17"/>
  <c r="H172" i="17"/>
  <c r="G172" i="17"/>
  <c r="F172" i="17"/>
  <c r="D172" i="17"/>
  <c r="C172" i="17"/>
  <c r="B172" i="17"/>
  <c r="H171" i="17"/>
  <c r="G171" i="17"/>
  <c r="F171" i="17"/>
  <c r="D171" i="17"/>
  <c r="C171" i="17"/>
  <c r="B171" i="17"/>
  <c r="H170" i="17"/>
  <c r="G170" i="17"/>
  <c r="F170" i="17"/>
  <c r="D170" i="17"/>
  <c r="C170" i="17"/>
  <c r="B170" i="17"/>
  <c r="H169" i="17"/>
  <c r="G169" i="17"/>
  <c r="F169" i="17"/>
  <c r="D169" i="17"/>
  <c r="C169" i="17"/>
  <c r="B169" i="17"/>
  <c r="H168" i="17"/>
  <c r="G168" i="17"/>
  <c r="F168" i="17"/>
  <c r="D168" i="17"/>
  <c r="C168" i="17"/>
  <c r="B168" i="17"/>
  <c r="H167" i="17"/>
  <c r="G167" i="17"/>
  <c r="F167" i="17"/>
  <c r="D167" i="17"/>
  <c r="C167" i="17"/>
  <c r="B167" i="17"/>
  <c r="H166" i="17"/>
  <c r="G166" i="17"/>
  <c r="F166" i="17"/>
  <c r="D166" i="17"/>
  <c r="C166" i="17"/>
  <c r="B166" i="17"/>
  <c r="H165" i="17"/>
  <c r="G165" i="17"/>
  <c r="F165" i="17"/>
  <c r="D165" i="17"/>
  <c r="C165" i="17"/>
  <c r="B165" i="17"/>
  <c r="H164" i="17"/>
  <c r="G164" i="17"/>
  <c r="F164" i="17"/>
  <c r="D164" i="17"/>
  <c r="C164" i="17"/>
  <c r="B164" i="17"/>
  <c r="H163" i="17"/>
  <c r="G163" i="17"/>
  <c r="F163" i="17"/>
  <c r="D163" i="17"/>
  <c r="C163" i="17"/>
  <c r="B163" i="17"/>
  <c r="H162" i="17"/>
  <c r="G162" i="17"/>
  <c r="F162" i="17"/>
  <c r="D162" i="17"/>
  <c r="C162" i="17"/>
  <c r="B162" i="17"/>
  <c r="H161" i="17"/>
  <c r="G161" i="17"/>
  <c r="F161" i="17"/>
  <c r="D161" i="17"/>
  <c r="C161" i="17"/>
  <c r="B161" i="17"/>
  <c r="H160" i="17"/>
  <c r="G160" i="17"/>
  <c r="F160" i="17"/>
  <c r="D160" i="17"/>
  <c r="C160" i="17"/>
  <c r="B160" i="17"/>
  <c r="H159" i="17"/>
  <c r="G159" i="17"/>
  <c r="F159" i="17"/>
  <c r="D159" i="17"/>
  <c r="C159" i="17"/>
  <c r="B159" i="17"/>
  <c r="H158" i="17"/>
  <c r="G158" i="17"/>
  <c r="F158" i="17"/>
  <c r="D158" i="17"/>
  <c r="C158" i="17"/>
  <c r="B158" i="17"/>
  <c r="H157" i="17"/>
  <c r="G157" i="17"/>
  <c r="F157" i="17"/>
  <c r="D157" i="17"/>
  <c r="C157" i="17"/>
  <c r="B157" i="17"/>
  <c r="H156" i="17"/>
  <c r="G156" i="17"/>
  <c r="F156" i="17"/>
  <c r="D156" i="17"/>
  <c r="C156" i="17"/>
  <c r="B156" i="17"/>
  <c r="H155" i="17"/>
  <c r="G155" i="17"/>
  <c r="F155" i="17"/>
  <c r="D155" i="17"/>
  <c r="C155" i="17"/>
  <c r="B155" i="17"/>
  <c r="H154" i="17"/>
  <c r="G154" i="17"/>
  <c r="F154" i="17"/>
  <c r="D154" i="17"/>
  <c r="C154" i="17"/>
  <c r="B154" i="17"/>
  <c r="H153" i="17"/>
  <c r="G153" i="17"/>
  <c r="F153" i="17"/>
  <c r="D153" i="17"/>
  <c r="C153" i="17"/>
  <c r="B153" i="17"/>
  <c r="H152" i="17"/>
  <c r="G152" i="17"/>
  <c r="F152" i="17"/>
  <c r="D152" i="17"/>
  <c r="C152" i="17"/>
  <c r="B152" i="17"/>
  <c r="H151" i="17"/>
  <c r="G151" i="17"/>
  <c r="F151" i="17"/>
  <c r="D151" i="17"/>
  <c r="C151" i="17"/>
  <c r="B151" i="17"/>
  <c r="H150" i="17"/>
  <c r="G150" i="17"/>
  <c r="F150" i="17"/>
  <c r="D150" i="17"/>
  <c r="C150" i="17"/>
  <c r="B150" i="17"/>
  <c r="H149" i="17"/>
  <c r="G149" i="17"/>
  <c r="F149" i="17"/>
  <c r="D149" i="17"/>
  <c r="C149" i="17"/>
  <c r="B149" i="17"/>
  <c r="H148" i="17"/>
  <c r="G148" i="17"/>
  <c r="F148" i="17"/>
  <c r="D148" i="17"/>
  <c r="C148" i="17"/>
  <c r="B148" i="17"/>
  <c r="H147" i="17"/>
  <c r="G147" i="17"/>
  <c r="F147" i="17"/>
  <c r="D147" i="17"/>
  <c r="C147" i="17"/>
  <c r="B147" i="17"/>
  <c r="H146" i="17"/>
  <c r="G146" i="17"/>
  <c r="F146" i="17"/>
  <c r="D146" i="17"/>
  <c r="C146" i="17"/>
  <c r="B146" i="17"/>
  <c r="H145" i="17"/>
  <c r="G145" i="17"/>
  <c r="F145" i="17"/>
  <c r="D145" i="17"/>
  <c r="C145" i="17"/>
  <c r="B145" i="17"/>
  <c r="H144" i="17"/>
  <c r="G144" i="17"/>
  <c r="F144" i="17"/>
  <c r="D144" i="17"/>
  <c r="C144" i="17"/>
  <c r="B144" i="17"/>
  <c r="H143" i="17"/>
  <c r="G143" i="17"/>
  <c r="F143" i="17"/>
  <c r="D143" i="17"/>
  <c r="C143" i="17"/>
  <c r="B143" i="17"/>
  <c r="H142" i="17"/>
  <c r="G142" i="17"/>
  <c r="F142" i="17"/>
  <c r="D142" i="17"/>
  <c r="C142" i="17"/>
  <c r="B142" i="17"/>
  <c r="H141" i="17"/>
  <c r="G141" i="17"/>
  <c r="F141" i="17"/>
  <c r="D141" i="17"/>
  <c r="C141" i="17"/>
  <c r="B141" i="17"/>
  <c r="H140" i="17"/>
  <c r="G140" i="17"/>
  <c r="F140" i="17"/>
  <c r="D140" i="17"/>
  <c r="C140" i="17"/>
  <c r="B140" i="17"/>
  <c r="H139" i="17"/>
  <c r="G139" i="17"/>
  <c r="F139" i="17"/>
  <c r="D139" i="17"/>
  <c r="C139" i="17"/>
  <c r="B139" i="17"/>
  <c r="H138" i="17"/>
  <c r="G138" i="17"/>
  <c r="F138" i="17"/>
  <c r="D138" i="17"/>
  <c r="C138" i="17"/>
  <c r="B138" i="17"/>
  <c r="H137" i="17"/>
  <c r="G137" i="17"/>
  <c r="F137" i="17"/>
  <c r="D137" i="17"/>
  <c r="C137" i="17"/>
  <c r="B137" i="17"/>
  <c r="H136" i="17"/>
  <c r="G136" i="17"/>
  <c r="F136" i="17"/>
  <c r="D136" i="17"/>
  <c r="C136" i="17"/>
  <c r="B136" i="17"/>
  <c r="H135" i="17"/>
  <c r="G135" i="17"/>
  <c r="F135" i="17"/>
  <c r="D135" i="17"/>
  <c r="C135" i="17"/>
  <c r="B135" i="17"/>
  <c r="H134" i="17"/>
  <c r="G134" i="17"/>
  <c r="F134" i="17"/>
  <c r="D134" i="17"/>
  <c r="C134" i="17"/>
  <c r="B134" i="17"/>
  <c r="H133" i="17"/>
  <c r="G133" i="17"/>
  <c r="F133" i="17"/>
  <c r="D133" i="17"/>
  <c r="C133" i="17"/>
  <c r="B133" i="17"/>
  <c r="H132" i="17"/>
  <c r="G132" i="17"/>
  <c r="F132" i="17"/>
  <c r="D132" i="17"/>
  <c r="C132" i="17"/>
  <c r="B132" i="17"/>
  <c r="H131" i="17"/>
  <c r="G131" i="17"/>
  <c r="F131" i="17"/>
  <c r="D131" i="17"/>
  <c r="C131" i="17"/>
  <c r="B131" i="17"/>
  <c r="H130" i="17"/>
  <c r="G130" i="17"/>
  <c r="F130" i="17"/>
  <c r="D130" i="17"/>
  <c r="C130" i="17"/>
  <c r="B130" i="17"/>
  <c r="H129" i="17"/>
  <c r="G129" i="17"/>
  <c r="F129" i="17"/>
  <c r="D129" i="17"/>
  <c r="C129" i="17"/>
  <c r="B129" i="17"/>
  <c r="H128" i="17"/>
  <c r="G128" i="17"/>
  <c r="F128" i="17"/>
  <c r="D128" i="17"/>
  <c r="C128" i="17"/>
  <c r="B128" i="17"/>
  <c r="H127" i="17"/>
  <c r="G127" i="17"/>
  <c r="F127" i="17"/>
  <c r="D127" i="17"/>
  <c r="C127" i="17"/>
  <c r="B127" i="17"/>
  <c r="H126" i="17"/>
  <c r="G126" i="17"/>
  <c r="F126" i="17"/>
  <c r="D126" i="17"/>
  <c r="C126" i="17"/>
  <c r="B126" i="17"/>
  <c r="H125" i="17"/>
  <c r="G125" i="17"/>
  <c r="F125" i="17"/>
  <c r="D125" i="17"/>
  <c r="C125" i="17"/>
  <c r="B125" i="17"/>
  <c r="H124" i="17"/>
  <c r="G124" i="17"/>
  <c r="F124" i="17"/>
  <c r="D124" i="17"/>
  <c r="C124" i="17"/>
  <c r="B124" i="17"/>
  <c r="H123" i="17"/>
  <c r="G123" i="17"/>
  <c r="F123" i="17"/>
  <c r="D123" i="17"/>
  <c r="C123" i="17"/>
  <c r="B123" i="17"/>
  <c r="H122" i="17"/>
  <c r="G122" i="17"/>
  <c r="F122" i="17"/>
  <c r="D122" i="17"/>
  <c r="C122" i="17"/>
  <c r="B122" i="17"/>
  <c r="H121" i="17"/>
  <c r="G121" i="17"/>
  <c r="F121" i="17"/>
  <c r="D121" i="17"/>
  <c r="C121" i="17"/>
  <c r="B121" i="17"/>
  <c r="H120" i="17"/>
  <c r="G120" i="17"/>
  <c r="F120" i="17"/>
  <c r="D120" i="17"/>
  <c r="C120" i="17"/>
  <c r="B120" i="17"/>
  <c r="H119" i="17"/>
  <c r="G119" i="17"/>
  <c r="F119" i="17"/>
  <c r="D119" i="17"/>
  <c r="C119" i="17"/>
  <c r="B119" i="17"/>
  <c r="H118" i="17"/>
  <c r="G118" i="17"/>
  <c r="F118" i="17"/>
  <c r="D118" i="17"/>
  <c r="C118" i="17"/>
  <c r="B118" i="17"/>
  <c r="H117" i="17"/>
  <c r="G117" i="17"/>
  <c r="F117" i="17"/>
  <c r="D117" i="17"/>
  <c r="C117" i="17"/>
  <c r="B117" i="17"/>
  <c r="H116" i="17"/>
  <c r="G116" i="17"/>
  <c r="F116" i="17"/>
  <c r="D116" i="17"/>
  <c r="C116" i="17"/>
  <c r="B116" i="17"/>
  <c r="H115" i="17"/>
  <c r="G115" i="17"/>
  <c r="F115" i="17"/>
  <c r="D115" i="17"/>
  <c r="C115" i="17"/>
  <c r="B115" i="17"/>
  <c r="H114" i="17"/>
  <c r="G114" i="17"/>
  <c r="F114" i="17"/>
  <c r="D114" i="17"/>
  <c r="C114" i="17"/>
  <c r="B114" i="17"/>
  <c r="H113" i="17"/>
  <c r="G113" i="17"/>
  <c r="F113" i="17"/>
  <c r="D113" i="17"/>
  <c r="C113" i="17"/>
  <c r="B113" i="17"/>
  <c r="H112" i="17"/>
  <c r="G112" i="17"/>
  <c r="F112" i="17"/>
  <c r="D112" i="17"/>
  <c r="C112" i="17"/>
  <c r="B112" i="17"/>
  <c r="H111" i="17"/>
  <c r="G111" i="17"/>
  <c r="F111" i="17"/>
  <c r="D111" i="17"/>
  <c r="C111" i="17"/>
  <c r="B111" i="17"/>
  <c r="H110" i="17"/>
  <c r="G110" i="17"/>
  <c r="F110" i="17"/>
  <c r="D110" i="17"/>
  <c r="C110" i="17"/>
  <c r="B110" i="17"/>
  <c r="H109" i="17"/>
  <c r="G109" i="17"/>
  <c r="F109" i="17"/>
  <c r="D109" i="17"/>
  <c r="C109" i="17"/>
  <c r="B109" i="17"/>
  <c r="H108" i="17"/>
  <c r="G108" i="17"/>
  <c r="F108" i="17"/>
  <c r="D108" i="17"/>
  <c r="C108" i="17"/>
  <c r="B108" i="17"/>
  <c r="H107" i="17"/>
  <c r="G107" i="17"/>
  <c r="F107" i="17"/>
  <c r="D107" i="17"/>
  <c r="C107" i="17"/>
  <c r="B107" i="17"/>
  <c r="H106" i="17"/>
  <c r="G106" i="17"/>
  <c r="F106" i="17"/>
  <c r="D106" i="17"/>
  <c r="C106" i="17"/>
  <c r="B106" i="17"/>
  <c r="H105" i="17"/>
  <c r="G105" i="17"/>
  <c r="F105" i="17"/>
  <c r="D105" i="17"/>
  <c r="C105" i="17"/>
  <c r="B105" i="17"/>
  <c r="H104" i="17"/>
  <c r="G104" i="17"/>
  <c r="F104" i="17"/>
  <c r="D104" i="17"/>
  <c r="C104" i="17"/>
  <c r="B104" i="17"/>
  <c r="H103" i="17"/>
  <c r="G103" i="17"/>
  <c r="F103" i="17"/>
  <c r="D103" i="17"/>
  <c r="C103" i="17"/>
  <c r="B103" i="17"/>
  <c r="H102" i="17"/>
  <c r="G102" i="17"/>
  <c r="F102" i="17"/>
  <c r="D102" i="17"/>
  <c r="C102" i="17"/>
  <c r="B102" i="17"/>
  <c r="H101" i="17"/>
  <c r="G101" i="17"/>
  <c r="F101" i="17"/>
  <c r="D101" i="17"/>
  <c r="C101" i="17"/>
  <c r="B101" i="17"/>
  <c r="H100" i="17"/>
  <c r="G100" i="17"/>
  <c r="F100" i="17"/>
  <c r="D100" i="17"/>
  <c r="C100" i="17"/>
  <c r="B100" i="17"/>
  <c r="H99" i="17"/>
  <c r="G99" i="17"/>
  <c r="F99" i="17"/>
  <c r="D99" i="17"/>
  <c r="C99" i="17"/>
  <c r="B99" i="17"/>
  <c r="H98" i="17"/>
  <c r="G98" i="17"/>
  <c r="F98" i="17"/>
  <c r="D98" i="17"/>
  <c r="C98" i="17"/>
  <c r="B98" i="17"/>
  <c r="H97" i="17"/>
  <c r="G97" i="17"/>
  <c r="F97" i="17"/>
  <c r="D97" i="17"/>
  <c r="C97" i="17"/>
  <c r="B97" i="17"/>
  <c r="H96" i="17"/>
  <c r="G96" i="17"/>
  <c r="F96" i="17"/>
  <c r="D96" i="17"/>
  <c r="C96" i="17"/>
  <c r="B96" i="17"/>
  <c r="H95" i="17"/>
  <c r="G95" i="17"/>
  <c r="F95" i="17"/>
  <c r="D95" i="17"/>
  <c r="C95" i="17"/>
  <c r="B95" i="17"/>
  <c r="H94" i="17"/>
  <c r="G94" i="17"/>
  <c r="F94" i="17"/>
  <c r="D94" i="17"/>
  <c r="C94" i="17"/>
  <c r="B94" i="17"/>
  <c r="H93" i="17"/>
  <c r="G93" i="17"/>
  <c r="F93" i="17"/>
  <c r="D93" i="17"/>
  <c r="C93" i="17"/>
  <c r="B93" i="17"/>
  <c r="H92" i="17"/>
  <c r="G92" i="17"/>
  <c r="F92" i="17"/>
  <c r="D92" i="17"/>
  <c r="C92" i="17"/>
  <c r="B92" i="17"/>
  <c r="H91" i="17"/>
  <c r="G91" i="17"/>
  <c r="F91" i="17"/>
  <c r="D91" i="17"/>
  <c r="C91" i="17"/>
  <c r="B91" i="17"/>
  <c r="H90" i="17"/>
  <c r="G90" i="17"/>
  <c r="F90" i="17"/>
  <c r="D90" i="17"/>
  <c r="C90" i="17"/>
  <c r="B90" i="17"/>
  <c r="H89" i="17"/>
  <c r="G89" i="17"/>
  <c r="F89" i="17"/>
  <c r="D89" i="17"/>
  <c r="C89" i="17"/>
  <c r="B89" i="17"/>
  <c r="H88" i="17"/>
  <c r="G88" i="17"/>
  <c r="F88" i="17"/>
  <c r="D88" i="17"/>
  <c r="C88" i="17"/>
  <c r="B88" i="17"/>
  <c r="H87" i="17"/>
  <c r="G87" i="17"/>
  <c r="F87" i="17"/>
  <c r="D87" i="17"/>
  <c r="C87" i="17"/>
  <c r="B87" i="17"/>
  <c r="H86" i="17"/>
  <c r="G86" i="17"/>
  <c r="F86" i="17"/>
  <c r="D86" i="17"/>
  <c r="C86" i="17"/>
  <c r="B86" i="17"/>
  <c r="H85" i="17"/>
  <c r="G85" i="17"/>
  <c r="F85" i="17"/>
  <c r="D85" i="17"/>
  <c r="C85" i="17"/>
  <c r="B85" i="17"/>
  <c r="H84" i="17"/>
  <c r="G84" i="17"/>
  <c r="F84" i="17"/>
  <c r="D84" i="17"/>
  <c r="C84" i="17"/>
  <c r="B84" i="17"/>
  <c r="H83" i="17"/>
  <c r="G83" i="17"/>
  <c r="F83" i="17"/>
  <c r="D83" i="17"/>
  <c r="C83" i="17"/>
  <c r="B83" i="17"/>
  <c r="H82" i="17"/>
  <c r="G82" i="17"/>
  <c r="F82" i="17"/>
  <c r="D82" i="17"/>
  <c r="C82" i="17"/>
  <c r="B82" i="17"/>
  <c r="H81" i="17"/>
  <c r="G81" i="17"/>
  <c r="F81" i="17"/>
  <c r="D81" i="17"/>
  <c r="C81" i="17"/>
  <c r="B81" i="17"/>
  <c r="H80" i="17"/>
  <c r="G80" i="17"/>
  <c r="F80" i="17"/>
  <c r="D80" i="17"/>
  <c r="C80" i="17"/>
  <c r="B80" i="17"/>
  <c r="H79" i="17"/>
  <c r="G79" i="17"/>
  <c r="F79" i="17"/>
  <c r="D79" i="17"/>
  <c r="C79" i="17"/>
  <c r="B79" i="17"/>
  <c r="H78" i="17"/>
  <c r="G78" i="17"/>
  <c r="F78" i="17"/>
  <c r="D78" i="17"/>
  <c r="C78" i="17"/>
  <c r="B78" i="17"/>
  <c r="H77" i="17"/>
  <c r="G77" i="17"/>
  <c r="F77" i="17"/>
  <c r="D77" i="17"/>
  <c r="C77" i="17"/>
  <c r="B77" i="17"/>
  <c r="H76" i="17"/>
  <c r="G76" i="17"/>
  <c r="F76" i="17"/>
  <c r="D76" i="17"/>
  <c r="C76" i="17"/>
  <c r="B76" i="17"/>
  <c r="H75" i="17"/>
  <c r="G75" i="17"/>
  <c r="F75" i="17"/>
  <c r="D75" i="17"/>
  <c r="C75" i="17"/>
  <c r="B75" i="17"/>
  <c r="H74" i="17"/>
  <c r="G74" i="17"/>
  <c r="F74" i="17"/>
  <c r="D74" i="17"/>
  <c r="C74" i="17"/>
  <c r="B74" i="17"/>
  <c r="H73" i="17"/>
  <c r="G73" i="17"/>
  <c r="F73" i="17"/>
  <c r="D73" i="17"/>
  <c r="C73" i="17"/>
  <c r="B73" i="17"/>
  <c r="H72" i="17"/>
  <c r="G72" i="17"/>
  <c r="F72" i="17"/>
  <c r="D72" i="17"/>
  <c r="C72" i="17"/>
  <c r="B72" i="17"/>
  <c r="H71" i="17"/>
  <c r="G71" i="17"/>
  <c r="F71" i="17"/>
  <c r="D71" i="17"/>
  <c r="C71" i="17"/>
  <c r="B71" i="17"/>
  <c r="H70" i="17"/>
  <c r="G70" i="17"/>
  <c r="F70" i="17"/>
  <c r="D70" i="17"/>
  <c r="C70" i="17"/>
  <c r="B70" i="17"/>
  <c r="H69" i="17"/>
  <c r="G69" i="17"/>
  <c r="F69" i="17"/>
  <c r="D69" i="17"/>
  <c r="C69" i="17"/>
  <c r="B69" i="17"/>
  <c r="H68" i="17"/>
  <c r="G68" i="17"/>
  <c r="F68" i="17"/>
  <c r="D68" i="17"/>
  <c r="C68" i="17"/>
  <c r="B68" i="17"/>
  <c r="H67" i="17"/>
  <c r="G67" i="17"/>
  <c r="F67" i="17"/>
  <c r="D67" i="17"/>
  <c r="C67" i="17"/>
  <c r="B67" i="17"/>
  <c r="H66" i="17"/>
  <c r="G66" i="17"/>
  <c r="F66" i="17"/>
  <c r="D66" i="17"/>
  <c r="C66" i="17"/>
  <c r="B66" i="17"/>
  <c r="H65" i="17"/>
  <c r="G65" i="17"/>
  <c r="F65" i="17"/>
  <c r="D65" i="17"/>
  <c r="C65" i="17"/>
  <c r="B65" i="17"/>
  <c r="H64" i="17"/>
  <c r="G64" i="17"/>
  <c r="F64" i="17"/>
  <c r="D64" i="17"/>
  <c r="C64" i="17"/>
  <c r="B64" i="17"/>
  <c r="H63" i="17"/>
  <c r="G63" i="17"/>
  <c r="F63" i="17"/>
  <c r="D63" i="17"/>
  <c r="C63" i="17"/>
  <c r="B63" i="17"/>
  <c r="H62" i="17"/>
  <c r="G62" i="17"/>
  <c r="F62" i="17"/>
  <c r="D62" i="17"/>
  <c r="C62" i="17"/>
  <c r="B62" i="17"/>
  <c r="H61" i="17"/>
  <c r="G61" i="17"/>
  <c r="F61" i="17"/>
  <c r="D61" i="17"/>
  <c r="C61" i="17"/>
  <c r="B61" i="17"/>
  <c r="H60" i="17"/>
  <c r="G60" i="17"/>
  <c r="F60" i="17"/>
  <c r="D60" i="17"/>
  <c r="C60" i="17"/>
  <c r="B60" i="17"/>
  <c r="H59" i="17"/>
  <c r="G59" i="17"/>
  <c r="F59" i="17"/>
  <c r="D59" i="17"/>
  <c r="C59" i="17"/>
  <c r="B59" i="17"/>
  <c r="H58" i="17"/>
  <c r="G58" i="17"/>
  <c r="F58" i="17"/>
  <c r="D58" i="17"/>
  <c r="C58" i="17"/>
  <c r="B58" i="17"/>
  <c r="H57" i="17"/>
  <c r="G57" i="17"/>
  <c r="F57" i="17"/>
  <c r="D57" i="17"/>
  <c r="C57" i="17"/>
  <c r="B57" i="17"/>
  <c r="H56" i="17"/>
  <c r="G56" i="17"/>
  <c r="F56" i="17"/>
  <c r="D56" i="17"/>
  <c r="C56" i="17"/>
  <c r="B56" i="17"/>
  <c r="H55" i="17"/>
  <c r="G55" i="17"/>
  <c r="F55" i="17"/>
  <c r="D55" i="17"/>
  <c r="C55" i="17"/>
  <c r="B55" i="17"/>
  <c r="H54" i="17"/>
  <c r="G54" i="17"/>
  <c r="F54" i="17"/>
  <c r="D54" i="17"/>
  <c r="C54" i="17"/>
  <c r="B54" i="17"/>
  <c r="H53" i="17"/>
  <c r="G53" i="17"/>
  <c r="F53" i="17"/>
  <c r="D53" i="17"/>
  <c r="C53" i="17"/>
  <c r="B53" i="17"/>
  <c r="H52" i="17"/>
  <c r="G52" i="17"/>
  <c r="F52" i="17"/>
  <c r="D52" i="17"/>
  <c r="C52" i="17"/>
  <c r="B52" i="17"/>
  <c r="H51" i="17"/>
  <c r="G51" i="17"/>
  <c r="F51" i="17"/>
  <c r="D51" i="17"/>
  <c r="C51" i="17"/>
  <c r="B51" i="17"/>
  <c r="H50" i="17"/>
  <c r="G50" i="17"/>
  <c r="F50" i="17"/>
  <c r="D50" i="17"/>
  <c r="C50" i="17"/>
  <c r="B50" i="17"/>
  <c r="H49" i="17"/>
  <c r="G49" i="17"/>
  <c r="F49" i="17"/>
  <c r="D49" i="17"/>
  <c r="C49" i="17"/>
  <c r="B49" i="17"/>
  <c r="H48" i="17"/>
  <c r="G48" i="17"/>
  <c r="F48" i="17"/>
  <c r="D48" i="17"/>
  <c r="C48" i="17"/>
  <c r="B48" i="17"/>
  <c r="H47" i="17"/>
  <c r="G47" i="17"/>
  <c r="F47" i="17"/>
  <c r="D47" i="17"/>
  <c r="C47" i="17"/>
  <c r="B47" i="17"/>
  <c r="H46" i="17"/>
  <c r="G46" i="17"/>
  <c r="F46" i="17"/>
  <c r="D46" i="17"/>
  <c r="C46" i="17"/>
  <c r="B46" i="17"/>
  <c r="H45" i="17"/>
  <c r="G45" i="17"/>
  <c r="F45" i="17"/>
  <c r="D45" i="17"/>
  <c r="C45" i="17"/>
  <c r="B45" i="17"/>
  <c r="H44" i="17"/>
  <c r="G44" i="17"/>
  <c r="F44" i="17"/>
  <c r="D44" i="17"/>
  <c r="C44" i="17"/>
  <c r="B44" i="17"/>
  <c r="H43" i="17"/>
  <c r="G43" i="17"/>
  <c r="F43" i="17"/>
  <c r="D43" i="17"/>
  <c r="C43" i="17"/>
  <c r="B43" i="17"/>
  <c r="H42" i="17"/>
  <c r="G42" i="17"/>
  <c r="F42" i="17"/>
  <c r="D42" i="17"/>
  <c r="C42" i="17"/>
  <c r="B42" i="17"/>
  <c r="H41" i="17"/>
  <c r="G41" i="17"/>
  <c r="F41" i="17"/>
  <c r="D41" i="17"/>
  <c r="C41" i="17"/>
  <c r="B41" i="17"/>
  <c r="H40" i="17"/>
  <c r="G40" i="17"/>
  <c r="F40" i="17"/>
  <c r="D40" i="17"/>
  <c r="C40" i="17"/>
  <c r="B40" i="17"/>
  <c r="Z7" i="17"/>
  <c r="B72" i="16"/>
  <c r="C23" i="16"/>
  <c r="B23" i="16"/>
  <c r="C22" i="16"/>
  <c r="B22" i="16"/>
  <c r="C21" i="16"/>
  <c r="B21" i="16"/>
  <c r="C20" i="16"/>
  <c r="B20" i="16"/>
  <c r="C19" i="16"/>
  <c r="B19" i="16"/>
  <c r="C18" i="16"/>
  <c r="B18" i="16"/>
  <c r="C17" i="16"/>
  <c r="B17" i="16"/>
  <c r="G19" i="15"/>
  <c r="F19" i="15"/>
  <c r="E19" i="15"/>
  <c r="D19" i="15"/>
  <c r="F16" i="15"/>
  <c r="BC53" i="14"/>
  <c r="BB53" i="14"/>
  <c r="BA53" i="14"/>
  <c r="AZ53" i="14"/>
  <c r="AY53" i="14"/>
  <c r="AX53" i="14"/>
  <c r="AW53" i="14"/>
  <c r="AV53" i="14"/>
  <c r="AU53" i="14"/>
  <c r="AT53" i="14"/>
  <c r="AS53" i="14"/>
  <c r="AR53" i="14"/>
  <c r="AQ53" i="14"/>
  <c r="AP53" i="14"/>
  <c r="AO53" i="14"/>
  <c r="AN53" i="14"/>
  <c r="AM53" i="14"/>
  <c r="AL53" i="14"/>
  <c r="AK53" i="14"/>
  <c r="AJ53" i="14"/>
  <c r="AI53" i="14"/>
  <c r="AH53" i="14"/>
  <c r="AG53" i="14"/>
  <c r="AF53" i="14"/>
  <c r="AE53" i="14"/>
  <c r="AD53" i="14"/>
  <c r="AC53" i="14"/>
  <c r="AB53" i="14"/>
  <c r="AA53" i="14"/>
  <c r="Z53" i="14"/>
  <c r="Y53" i="14"/>
  <c r="X53" i="14"/>
  <c r="W53" i="14"/>
  <c r="V53" i="14"/>
  <c r="U53" i="14"/>
  <c r="T53" i="14"/>
  <c r="S53" i="14"/>
  <c r="R53" i="14"/>
  <c r="Q53" i="14"/>
  <c r="J44" i="14"/>
  <c r="H44" i="14"/>
  <c r="D44" i="14"/>
  <c r="H12" i="14"/>
  <c r="E12" i="14"/>
  <c r="O11" i="14"/>
  <c r="N11" i="14"/>
  <c r="M11" i="14"/>
  <c r="L11" i="14"/>
  <c r="J11" i="14"/>
  <c r="J10" i="14"/>
  <c r="E10" i="14"/>
  <c r="O6" i="14"/>
  <c r="N6" i="14"/>
  <c r="M6" i="14"/>
  <c r="L6" i="14"/>
  <c r="K6" i="14"/>
  <c r="K11" i="14" s="1"/>
  <c r="J6" i="14"/>
  <c r="I6" i="14"/>
  <c r="H6" i="14"/>
  <c r="G6" i="14"/>
  <c r="G10" i="14" s="1"/>
  <c r="F6" i="14"/>
  <c r="F10" i="14" s="1"/>
  <c r="E6" i="14"/>
  <c r="D6" i="14"/>
  <c r="D12" i="14" s="1"/>
  <c r="C6" i="14"/>
  <c r="G7" i="15" s="1"/>
  <c r="N5" i="14"/>
  <c r="N8" i="14" s="1"/>
  <c r="L5" i="14"/>
  <c r="L8" i="14" s="1"/>
  <c r="F29" i="13"/>
  <c r="E29" i="13"/>
  <c r="D29" i="13"/>
  <c r="C29" i="13"/>
  <c r="E19" i="13"/>
  <c r="D19" i="13"/>
  <c r="B7" i="17" s="1"/>
  <c r="E11" i="13"/>
  <c r="D11" i="13"/>
  <c r="F11" i="13" s="1"/>
  <c r="C11" i="13"/>
  <c r="F9" i="13"/>
  <c r="E9" i="13"/>
  <c r="D9" i="13"/>
  <c r="C9" i="13"/>
  <c r="C19" i="13" s="1"/>
  <c r="C8" i="13"/>
  <c r="E7" i="13"/>
  <c r="E8" i="13" s="1"/>
  <c r="D7" i="13"/>
  <c r="C7" i="13"/>
  <c r="F6" i="13"/>
  <c r="E6" i="13"/>
  <c r="I16" i="17" s="1"/>
  <c r="D6" i="13"/>
  <c r="C6" i="13"/>
  <c r="H16" i="17" s="1"/>
  <c r="D16" i="17" s="1"/>
  <c r="B17" i="12"/>
  <c r="C78" i="11"/>
  <c r="R19" i="11" s="1"/>
  <c r="U19" i="11" s="1"/>
  <c r="W19" i="11" s="1"/>
  <c r="X19" i="11" s="1"/>
  <c r="C74" i="11"/>
  <c r="D63" i="11"/>
  <c r="C39" i="11"/>
  <c r="M38" i="11"/>
  <c r="L38" i="11"/>
  <c r="K38" i="11"/>
  <c r="M37" i="11"/>
  <c r="L37" i="11"/>
  <c r="K37" i="11"/>
  <c r="M36" i="11"/>
  <c r="L36" i="11"/>
  <c r="K36" i="11"/>
  <c r="C36" i="11"/>
  <c r="M33" i="11"/>
  <c r="K33" i="11"/>
  <c r="G33" i="11"/>
  <c r="F33" i="11"/>
  <c r="B33" i="11"/>
  <c r="M32" i="11"/>
  <c r="K32" i="11"/>
  <c r="H32" i="11"/>
  <c r="I32" i="11" s="1"/>
  <c r="G32" i="11"/>
  <c r="F32" i="11"/>
  <c r="D32" i="11"/>
  <c r="C32" i="11"/>
  <c r="E32" i="11" s="1"/>
  <c r="B32" i="11"/>
  <c r="M31" i="11"/>
  <c r="K31" i="11"/>
  <c r="G31" i="11"/>
  <c r="F31" i="11"/>
  <c r="D31" i="11"/>
  <c r="C31" i="11"/>
  <c r="E31" i="11" s="1"/>
  <c r="H31" i="11" s="1"/>
  <c r="B31" i="11"/>
  <c r="M30" i="11"/>
  <c r="K30" i="11"/>
  <c r="G30" i="11"/>
  <c r="F30" i="11"/>
  <c r="D30" i="11"/>
  <c r="C30" i="11"/>
  <c r="E30" i="11" s="1"/>
  <c r="H30" i="11" s="1"/>
  <c r="B30" i="11"/>
  <c r="M29" i="11"/>
  <c r="K29" i="11"/>
  <c r="G29" i="11"/>
  <c r="F29" i="11"/>
  <c r="D29" i="11"/>
  <c r="C29" i="11"/>
  <c r="E29" i="11" s="1"/>
  <c r="B29" i="11"/>
  <c r="M28" i="11"/>
  <c r="K28" i="11"/>
  <c r="G28" i="11"/>
  <c r="F28" i="11"/>
  <c r="D28" i="11"/>
  <c r="C28" i="11"/>
  <c r="E28" i="11" s="1"/>
  <c r="H28" i="11" s="1"/>
  <c r="B28" i="11"/>
  <c r="M27" i="11"/>
  <c r="K27" i="11"/>
  <c r="G27" i="11"/>
  <c r="F27" i="11"/>
  <c r="D27" i="11"/>
  <c r="C27" i="11"/>
  <c r="B27" i="11"/>
  <c r="Z25" i="11"/>
  <c r="V25" i="11"/>
  <c r="U25" i="11"/>
  <c r="S25" i="11"/>
  <c r="O25" i="11"/>
  <c r="G25" i="11"/>
  <c r="F25" i="11"/>
  <c r="D25" i="11"/>
  <c r="C25" i="11"/>
  <c r="E25" i="11" s="1"/>
  <c r="T25" i="11" s="1"/>
  <c r="Z24" i="11"/>
  <c r="V24" i="11"/>
  <c r="U24" i="11"/>
  <c r="S24" i="11"/>
  <c r="O24" i="11"/>
  <c r="G24" i="11"/>
  <c r="F24" i="11"/>
  <c r="D24" i="11"/>
  <c r="C24" i="11"/>
  <c r="E24" i="11" s="1"/>
  <c r="T24" i="11" s="1"/>
  <c r="Z23" i="11"/>
  <c r="V23" i="11"/>
  <c r="U23" i="11"/>
  <c r="S23" i="11"/>
  <c r="O23" i="11"/>
  <c r="G23" i="11"/>
  <c r="F23" i="11"/>
  <c r="D23" i="11"/>
  <c r="C23" i="11"/>
  <c r="E23" i="11" s="1"/>
  <c r="Z22" i="11"/>
  <c r="V22" i="11"/>
  <c r="U22" i="11"/>
  <c r="S22" i="11"/>
  <c r="O22" i="11"/>
  <c r="G22" i="11"/>
  <c r="F22" i="11"/>
  <c r="D22" i="11"/>
  <c r="E22" i="11" s="1"/>
  <c r="T22" i="11" s="1"/>
  <c r="C22" i="11"/>
  <c r="Z21" i="11"/>
  <c r="V21" i="11"/>
  <c r="U21" i="11"/>
  <c r="T21" i="11"/>
  <c r="S21" i="11"/>
  <c r="O21" i="11"/>
  <c r="G21" i="11"/>
  <c r="F21" i="11"/>
  <c r="D21" i="11"/>
  <c r="C21" i="11"/>
  <c r="E21" i="11" s="1"/>
  <c r="Z20" i="11"/>
  <c r="V20" i="11"/>
  <c r="S20" i="11"/>
  <c r="O20" i="11"/>
  <c r="H20" i="11"/>
  <c r="G20" i="11"/>
  <c r="F20" i="11"/>
  <c r="D20" i="11"/>
  <c r="E20" i="11" s="1"/>
  <c r="T20" i="11" s="1"/>
  <c r="C20" i="11"/>
  <c r="Z19" i="11"/>
  <c r="V19" i="11"/>
  <c r="S19" i="11"/>
  <c r="Q19" i="11"/>
  <c r="O19" i="11"/>
  <c r="I19" i="11"/>
  <c r="H19" i="11"/>
  <c r="G19" i="11"/>
  <c r="F19" i="11"/>
  <c r="D19" i="11"/>
  <c r="E19" i="11" s="1"/>
  <c r="T19" i="11" s="1"/>
  <c r="C19" i="11"/>
  <c r="Z18" i="11"/>
  <c r="V18" i="11"/>
  <c r="U18" i="11"/>
  <c r="S18" i="11"/>
  <c r="R18" i="11"/>
  <c r="O18" i="11"/>
  <c r="H18" i="11"/>
  <c r="G18" i="11"/>
  <c r="F18" i="11"/>
  <c r="Z17" i="11"/>
  <c r="V17" i="11"/>
  <c r="U17" i="11"/>
  <c r="S17" i="11"/>
  <c r="O17" i="11"/>
  <c r="G17" i="11"/>
  <c r="F17" i="11"/>
  <c r="Z16" i="11"/>
  <c r="V16" i="11"/>
  <c r="U16" i="11"/>
  <c r="T16" i="11"/>
  <c r="H16" i="11" s="1"/>
  <c r="S16" i="11"/>
  <c r="O16" i="11"/>
  <c r="G16" i="11"/>
  <c r="F16" i="11"/>
  <c r="E16" i="11"/>
  <c r="D16" i="11"/>
  <c r="C16" i="11"/>
  <c r="Z15" i="11"/>
  <c r="V15" i="11"/>
  <c r="U15" i="11"/>
  <c r="S15" i="11"/>
  <c r="Q15" i="11"/>
  <c r="O15" i="11"/>
  <c r="H15" i="11"/>
  <c r="W15" i="11" s="1"/>
  <c r="G15" i="11"/>
  <c r="F15" i="11"/>
  <c r="Z14" i="11"/>
  <c r="V14" i="11"/>
  <c r="S14" i="11"/>
  <c r="Q14" i="11"/>
  <c r="O14" i="11"/>
  <c r="G14" i="11"/>
  <c r="F14" i="11"/>
  <c r="D14" i="11"/>
  <c r="E14" i="11" s="1"/>
  <c r="T14" i="11" s="1"/>
  <c r="Z13" i="11"/>
  <c r="V13" i="11"/>
  <c r="S13" i="11"/>
  <c r="O13" i="11"/>
  <c r="G13" i="11"/>
  <c r="F13" i="11"/>
  <c r="D13" i="11"/>
  <c r="C13" i="11"/>
  <c r="E13" i="11" s="1"/>
  <c r="T13" i="11" s="1"/>
  <c r="H13" i="11" s="1"/>
  <c r="Z12" i="11"/>
  <c r="V12" i="11"/>
  <c r="S12" i="11"/>
  <c r="O12" i="11"/>
  <c r="G12" i="11"/>
  <c r="F12" i="11"/>
  <c r="D12" i="11"/>
  <c r="C12" i="11"/>
  <c r="E12" i="11" s="1"/>
  <c r="Z11" i="11"/>
  <c r="V11" i="11"/>
  <c r="U11" i="11"/>
  <c r="S11" i="11"/>
  <c r="O11" i="11"/>
  <c r="G11" i="11"/>
  <c r="F11" i="11"/>
  <c r="C11" i="11"/>
  <c r="Z10" i="11"/>
  <c r="V10" i="11"/>
  <c r="U10" i="11"/>
  <c r="S10" i="11"/>
  <c r="O10" i="11"/>
  <c r="G10" i="11"/>
  <c r="F10" i="11"/>
  <c r="Z9" i="11"/>
  <c r="V9" i="11"/>
  <c r="U9" i="11"/>
  <c r="S9" i="11"/>
  <c r="O9" i="11"/>
  <c r="G9" i="11"/>
  <c r="F9" i="11"/>
  <c r="Z8" i="11"/>
  <c r="V8" i="11"/>
  <c r="U8" i="11"/>
  <c r="S8" i="11"/>
  <c r="O8" i="11"/>
  <c r="G8" i="11"/>
  <c r="F8" i="11"/>
  <c r="D8" i="11"/>
  <c r="C54" i="10"/>
  <c r="C52" i="10"/>
  <c r="C51" i="10"/>
  <c r="C36" i="10"/>
  <c r="C35" i="10"/>
  <c r="C38" i="11" s="1"/>
  <c r="C34" i="10"/>
  <c r="C33" i="10"/>
  <c r="H29" i="10"/>
  <c r="E29" i="10"/>
  <c r="E28" i="10"/>
  <c r="E27" i="10"/>
  <c r="E26" i="10"/>
  <c r="H26" i="10" s="1"/>
  <c r="E25" i="10"/>
  <c r="E24" i="10"/>
  <c r="H24" i="10" s="1"/>
  <c r="I24" i="10" s="1"/>
  <c r="E22" i="10"/>
  <c r="H21" i="10"/>
  <c r="I21" i="10" s="1"/>
  <c r="E21" i="10"/>
  <c r="E20" i="10"/>
  <c r="H20" i="10" s="1"/>
  <c r="E19" i="10"/>
  <c r="H19" i="10" s="1"/>
  <c r="I19" i="10" s="1"/>
  <c r="E18" i="10"/>
  <c r="E17" i="10"/>
  <c r="E16" i="10"/>
  <c r="E15" i="10"/>
  <c r="D17" i="11" s="1"/>
  <c r="E17" i="11" s="1"/>
  <c r="E14" i="10"/>
  <c r="H14" i="10" s="1"/>
  <c r="E13" i="10"/>
  <c r="D15" i="11" s="1"/>
  <c r="E15" i="11" s="1"/>
  <c r="E12" i="10"/>
  <c r="H12" i="10" s="1"/>
  <c r="E11" i="10"/>
  <c r="H11" i="10" s="1"/>
  <c r="A34" i="9"/>
  <c r="B33" i="9"/>
  <c r="A33" i="9"/>
  <c r="B32" i="9"/>
  <c r="A32" i="9"/>
  <c r="B31" i="9"/>
  <c r="A31" i="9"/>
  <c r="B30" i="9"/>
  <c r="A30" i="9"/>
  <c r="A29" i="9"/>
  <c r="A28" i="9"/>
  <c r="A27" i="9"/>
  <c r="A26" i="9"/>
  <c r="B16" i="9"/>
  <c r="B42" i="9" s="1"/>
  <c r="A12" i="9"/>
  <c r="A11" i="9"/>
  <c r="A10" i="9"/>
  <c r="A9" i="9"/>
  <c r="A8" i="9"/>
  <c r="A7" i="9"/>
  <c r="B26" i="8"/>
  <c r="J17" i="8"/>
  <c r="B15" i="8"/>
  <c r="J18" i="8" s="1"/>
  <c r="B30" i="8" s="1"/>
  <c r="C37" i="7"/>
  <c r="B12" i="7"/>
  <c r="C35" i="7" s="1"/>
  <c r="D10" i="7"/>
  <c r="E10" i="7" s="1"/>
  <c r="C10" i="7"/>
  <c r="D8" i="7"/>
  <c r="C8" i="7"/>
  <c r="D29" i="5"/>
  <c r="D27" i="5"/>
  <c r="D26" i="5"/>
  <c r="O13" i="5"/>
  <c r="F13" i="5"/>
  <c r="O12" i="5"/>
  <c r="O11" i="5"/>
  <c r="O10" i="5"/>
  <c r="O9" i="5"/>
  <c r="O8" i="5"/>
  <c r="O5" i="5"/>
  <c r="O42" i="4"/>
  <c r="N42" i="4"/>
  <c r="J42" i="4"/>
  <c r="G42" i="4"/>
  <c r="O41" i="4"/>
  <c r="N41" i="4"/>
  <c r="J41" i="4"/>
  <c r="G41" i="4"/>
  <c r="O40" i="4"/>
  <c r="N40" i="4"/>
  <c r="J40" i="4"/>
  <c r="C13" i="5" s="1"/>
  <c r="G40" i="4"/>
  <c r="O38" i="4"/>
  <c r="N38" i="4"/>
  <c r="G38" i="4"/>
  <c r="J38" i="4" s="1"/>
  <c r="O37" i="4"/>
  <c r="N37" i="4"/>
  <c r="J37" i="4"/>
  <c r="G37" i="4"/>
  <c r="O36" i="4"/>
  <c r="N36" i="4"/>
  <c r="J36" i="4"/>
  <c r="G36" i="4"/>
  <c r="O35" i="4"/>
  <c r="N35" i="4"/>
  <c r="J35" i="4"/>
  <c r="G35" i="4"/>
  <c r="O34" i="4"/>
  <c r="N34" i="4"/>
  <c r="G34" i="4"/>
  <c r="J34" i="4" s="1"/>
  <c r="O33" i="4"/>
  <c r="N33" i="4"/>
  <c r="G33" i="4"/>
  <c r="J33" i="4" s="1"/>
  <c r="O32" i="4"/>
  <c r="N32" i="4"/>
  <c r="G32" i="4"/>
  <c r="J32" i="4" s="1"/>
  <c r="O31" i="4"/>
  <c r="N31" i="4"/>
  <c r="G31" i="4"/>
  <c r="J31" i="4" s="1"/>
  <c r="F12" i="5" s="1"/>
  <c r="O30" i="4"/>
  <c r="N30" i="4"/>
  <c r="J30" i="4"/>
  <c r="G30" i="4"/>
  <c r="O29" i="4"/>
  <c r="N29" i="4"/>
  <c r="J29" i="4"/>
  <c r="G29" i="4"/>
  <c r="O28" i="4"/>
  <c r="N28" i="4"/>
  <c r="G28" i="4"/>
  <c r="J28" i="4" s="1"/>
  <c r="O27" i="4"/>
  <c r="N27" i="4"/>
  <c r="G27" i="4"/>
  <c r="J27" i="4" s="1"/>
  <c r="O25" i="4"/>
  <c r="N25" i="4"/>
  <c r="G25" i="4"/>
  <c r="J25" i="4" s="1"/>
  <c r="F11" i="5" s="1"/>
  <c r="O24" i="4"/>
  <c r="N24" i="4"/>
  <c r="J24" i="4"/>
  <c r="G24" i="4"/>
  <c r="O22" i="4"/>
  <c r="N22" i="4"/>
  <c r="J22" i="4"/>
  <c r="G22" i="4"/>
  <c r="O21" i="4"/>
  <c r="N21" i="4"/>
  <c r="G21" i="4"/>
  <c r="J21" i="4" s="1"/>
  <c r="O20" i="4"/>
  <c r="N20" i="4"/>
  <c r="G20" i="4"/>
  <c r="J20" i="4" s="1"/>
  <c r="O19" i="4"/>
  <c r="N19" i="4"/>
  <c r="G19" i="4"/>
  <c r="J19" i="4" s="1"/>
  <c r="O18" i="4"/>
  <c r="N18" i="4"/>
  <c r="G18" i="4"/>
  <c r="J18" i="4" s="1"/>
  <c r="O17" i="4"/>
  <c r="N17" i="4"/>
  <c r="J17" i="4"/>
  <c r="G17" i="4"/>
  <c r="O16" i="4"/>
  <c r="N16" i="4"/>
  <c r="J16" i="4"/>
  <c r="G16" i="4"/>
  <c r="O15" i="4"/>
  <c r="N15" i="4"/>
  <c r="G15" i="4"/>
  <c r="J15" i="4" s="1"/>
  <c r="O14" i="4"/>
  <c r="N14" i="4"/>
  <c r="G14" i="4"/>
  <c r="J14" i="4" s="1"/>
  <c r="O13" i="4"/>
  <c r="N13" i="4"/>
  <c r="G13" i="4"/>
  <c r="J13" i="4" s="1"/>
  <c r="O11" i="4"/>
  <c r="N11" i="4"/>
  <c r="G11" i="4"/>
  <c r="J11" i="4" s="1"/>
  <c r="F9" i="5" s="1"/>
  <c r="O9" i="4"/>
  <c r="N9" i="4"/>
  <c r="J9" i="4"/>
  <c r="F8" i="5" s="1"/>
  <c r="G9" i="4"/>
  <c r="O8" i="4"/>
  <c r="N8" i="4"/>
  <c r="G8" i="4"/>
  <c r="J8" i="4" s="1"/>
  <c r="D8" i="5" s="1"/>
  <c r="P8" i="5" s="1"/>
  <c r="H103" i="3"/>
  <c r="H102" i="3"/>
  <c r="H101" i="3"/>
  <c r="H100" i="3"/>
  <c r="H99" i="3"/>
  <c r="H98" i="3"/>
  <c r="H97" i="3"/>
  <c r="H96" i="3"/>
  <c r="H95" i="3"/>
  <c r="H94" i="3"/>
  <c r="H93" i="3"/>
  <c r="B61" i="14" s="1"/>
  <c r="H92" i="3"/>
  <c r="B48" i="2" s="1"/>
  <c r="H90" i="3"/>
  <c r="B39" i="15" s="1"/>
  <c r="H89" i="3"/>
  <c r="B38" i="15" s="1"/>
  <c r="H88" i="3"/>
  <c r="B24" i="12" s="1"/>
  <c r="C24" i="12" s="1"/>
  <c r="H87" i="3"/>
  <c r="H86" i="3"/>
  <c r="H85" i="3"/>
  <c r="H84" i="3"/>
  <c r="B65" i="14" s="1"/>
  <c r="H83" i="3"/>
  <c r="H82" i="3"/>
  <c r="B8" i="12" s="1"/>
  <c r="H81" i="3"/>
  <c r="H80" i="3"/>
  <c r="H79" i="3"/>
  <c r="C30" i="10" s="1"/>
  <c r="H78" i="3"/>
  <c r="C35" i="11" s="1"/>
  <c r="H77" i="3"/>
  <c r="C50" i="10" s="1"/>
  <c r="H75" i="3"/>
  <c r="B17" i="9" s="1"/>
  <c r="B43" i="9" s="1"/>
  <c r="H74" i="3"/>
  <c r="H73" i="3"/>
  <c r="H72" i="3"/>
  <c r="B12" i="9" s="1"/>
  <c r="H71" i="3"/>
  <c r="B11" i="9" s="1"/>
  <c r="H70" i="3"/>
  <c r="B10" i="9" s="1"/>
  <c r="H69" i="3"/>
  <c r="B9" i="9" s="1"/>
  <c r="H68" i="3"/>
  <c r="B8" i="9" s="1"/>
  <c r="H67" i="3"/>
  <c r="B7" i="9" s="1"/>
  <c r="B13" i="9" s="1"/>
  <c r="H65" i="3"/>
  <c r="I8" i="8" s="1"/>
  <c r="H64" i="3"/>
  <c r="B28" i="8" s="1"/>
  <c r="H63" i="3"/>
  <c r="B27" i="8" s="1"/>
  <c r="H62" i="3"/>
  <c r="D9" i="8" s="1"/>
  <c r="H61" i="3"/>
  <c r="H59" i="3"/>
  <c r="B34" i="9" s="1"/>
  <c r="H58" i="3"/>
  <c r="H57" i="3"/>
  <c r="H56" i="3"/>
  <c r="H55" i="3"/>
  <c r="H54" i="3"/>
  <c r="B29" i="9" s="1"/>
  <c r="H53" i="3"/>
  <c r="B28" i="9" s="1"/>
  <c r="H52" i="3"/>
  <c r="B27" i="9" s="1"/>
  <c r="H51" i="3"/>
  <c r="H50" i="3"/>
  <c r="H49" i="3"/>
  <c r="B26" i="9" s="1"/>
  <c r="H47" i="3"/>
  <c r="H46" i="3"/>
  <c r="H45" i="3"/>
  <c r="H44" i="3"/>
  <c r="E21" i="7" s="1"/>
  <c r="H43" i="3"/>
  <c r="F9" i="7" s="1"/>
  <c r="H42" i="3"/>
  <c r="D13" i="7" s="1"/>
  <c r="H41" i="3"/>
  <c r="C13" i="7" s="1"/>
  <c r="E13" i="7" s="1"/>
  <c r="H40" i="3"/>
  <c r="D11" i="7" s="1"/>
  <c r="H39" i="3"/>
  <c r="C11" i="7" s="1"/>
  <c r="H38" i="3"/>
  <c r="H37" i="3"/>
  <c r="H36" i="3"/>
  <c r="D9" i="7" s="1"/>
  <c r="H35" i="3"/>
  <c r="C9" i="7" s="1"/>
  <c r="H34" i="3"/>
  <c r="H33" i="3"/>
  <c r="H31" i="3"/>
  <c r="H30" i="3"/>
  <c r="H29" i="3"/>
  <c r="I44" i="14" s="1"/>
  <c r="H28" i="3"/>
  <c r="B63" i="14" s="1"/>
  <c r="H27" i="3"/>
  <c r="H26" i="3"/>
  <c r="G26" i="3"/>
  <c r="E28" i="13" s="1"/>
  <c r="F26" i="3"/>
  <c r="D28" i="13" s="1"/>
  <c r="F28" i="13" s="1"/>
  <c r="E26" i="3"/>
  <c r="C28" i="13" s="1"/>
  <c r="H24" i="3"/>
  <c r="H23" i="3"/>
  <c r="H22" i="3"/>
  <c r="H21" i="3"/>
  <c r="H20" i="3"/>
  <c r="H18" i="3"/>
  <c r="H16" i="10" s="1"/>
  <c r="H17" i="3"/>
  <c r="N20" i="6" s="1"/>
  <c r="H16" i="3"/>
  <c r="B66" i="14" s="1"/>
  <c r="H15" i="3"/>
  <c r="H14" i="3"/>
  <c r="J12" i="14" s="1"/>
  <c r="H13" i="3"/>
  <c r="O10" i="14" s="1"/>
  <c r="H12" i="3"/>
  <c r="H11" i="3"/>
  <c r="H10" i="3"/>
  <c r="I4" i="3"/>
  <c r="B6" i="2" s="1"/>
  <c r="E4" i="3"/>
  <c r="B21" i="2"/>
  <c r="B9" i="2"/>
  <c r="C9" i="2" s="1"/>
  <c r="B5" i="2"/>
  <c r="C59" i="6"/>
  <c r="C58" i="6"/>
  <c r="C37" i="6"/>
  <c r="G27" i="6"/>
  <c r="N26" i="6"/>
  <c r="K26" i="6"/>
  <c r="I26" i="6"/>
  <c r="H26" i="6"/>
  <c r="F26" i="6"/>
  <c r="M26" i="6" s="1"/>
  <c r="L24" i="6" s="1"/>
  <c r="E26" i="6"/>
  <c r="N25" i="6"/>
  <c r="K25" i="6"/>
  <c r="I25" i="6"/>
  <c r="H25" i="6"/>
  <c r="F25" i="6"/>
  <c r="M25" i="6" s="1"/>
  <c r="E25" i="6"/>
  <c r="N24" i="6"/>
  <c r="M24" i="6"/>
  <c r="K24" i="6"/>
  <c r="I24" i="6"/>
  <c r="H24" i="6"/>
  <c r="F24" i="6"/>
  <c r="E24" i="6"/>
  <c r="N23" i="6"/>
  <c r="K23" i="6"/>
  <c r="I23" i="6"/>
  <c r="H23" i="6"/>
  <c r="F23" i="6"/>
  <c r="M23" i="6" s="1"/>
  <c r="E23" i="6"/>
  <c r="N22" i="6"/>
  <c r="K22" i="6"/>
  <c r="I22" i="6"/>
  <c r="H22" i="6"/>
  <c r="J11" i="6" s="1"/>
  <c r="F22" i="6"/>
  <c r="M22" i="6" s="1"/>
  <c r="E22" i="6"/>
  <c r="N21" i="6"/>
  <c r="M21" i="6"/>
  <c r="K21" i="6"/>
  <c r="I21" i="6"/>
  <c r="H21" i="6"/>
  <c r="J21" i="6" s="1"/>
  <c r="F21" i="6"/>
  <c r="E21" i="6"/>
  <c r="K20" i="6"/>
  <c r="I20" i="6"/>
  <c r="H20" i="6"/>
  <c r="J20" i="6" s="1"/>
  <c r="F20" i="6"/>
  <c r="M20" i="6" s="1"/>
  <c r="E20" i="6"/>
  <c r="N19" i="6"/>
  <c r="M19" i="6"/>
  <c r="K19" i="6"/>
  <c r="I19" i="6"/>
  <c r="H19" i="6"/>
  <c r="F19" i="6"/>
  <c r="E19" i="6"/>
  <c r="N18" i="6"/>
  <c r="K18" i="6"/>
  <c r="I18" i="6"/>
  <c r="H18" i="6"/>
  <c r="F18" i="6"/>
  <c r="E18" i="6"/>
  <c r="N17" i="6"/>
  <c r="K17" i="6"/>
  <c r="I17" i="6"/>
  <c r="H17" i="6"/>
  <c r="J17" i="6" s="1"/>
  <c r="F17" i="6"/>
  <c r="M17" i="6" s="1"/>
  <c r="E17" i="6"/>
  <c r="N16" i="6"/>
  <c r="M16" i="6"/>
  <c r="K16" i="6"/>
  <c r="I16" i="6"/>
  <c r="H16" i="6"/>
  <c r="F16" i="6"/>
  <c r="E16" i="6"/>
  <c r="N15" i="6"/>
  <c r="K15" i="6"/>
  <c r="I15" i="6"/>
  <c r="H15" i="6"/>
  <c r="F15" i="6"/>
  <c r="M15" i="6" s="1"/>
  <c r="E15" i="6"/>
  <c r="N14" i="6"/>
  <c r="K14" i="6"/>
  <c r="I14" i="6"/>
  <c r="H14" i="6"/>
  <c r="J14" i="6" s="1"/>
  <c r="F14" i="6"/>
  <c r="E14" i="6"/>
  <c r="N13" i="6"/>
  <c r="K13" i="6"/>
  <c r="I13" i="6"/>
  <c r="H13" i="6"/>
  <c r="J13" i="6" s="1"/>
  <c r="F13" i="6"/>
  <c r="E13" i="6"/>
  <c r="N12" i="6"/>
  <c r="K12" i="6"/>
  <c r="I12" i="6"/>
  <c r="H12" i="6"/>
  <c r="J12" i="6" s="1"/>
  <c r="F12" i="6"/>
  <c r="E12" i="6"/>
  <c r="N11" i="6"/>
  <c r="M11" i="6"/>
  <c r="K11" i="6"/>
  <c r="I11" i="6"/>
  <c r="H11" i="6"/>
  <c r="F11" i="6"/>
  <c r="E11" i="6"/>
  <c r="N10" i="6"/>
  <c r="K10" i="6"/>
  <c r="I10" i="6"/>
  <c r="H10" i="6"/>
  <c r="J10" i="6" s="1"/>
  <c r="F10" i="6"/>
  <c r="M10" i="6" s="1"/>
  <c r="E10" i="6"/>
  <c r="N9" i="6"/>
  <c r="K9" i="6"/>
  <c r="I9" i="6"/>
  <c r="H9" i="6"/>
  <c r="J7" i="6" s="1"/>
  <c r="F9" i="6"/>
  <c r="M9" i="6" s="1"/>
  <c r="E9" i="6"/>
  <c r="N8" i="6"/>
  <c r="K8" i="6"/>
  <c r="I8" i="6"/>
  <c r="H8" i="6"/>
  <c r="F8" i="6"/>
  <c r="E8" i="6"/>
  <c r="N7" i="6"/>
  <c r="K7" i="6"/>
  <c r="I7" i="6"/>
  <c r="H7" i="6"/>
  <c r="H27" i="6" s="1"/>
  <c r="F7" i="6"/>
  <c r="E7" i="6"/>
  <c r="Y20" i="11" l="1"/>
  <c r="AA20" i="11"/>
  <c r="F10" i="5"/>
  <c r="C10" i="5"/>
  <c r="C9" i="5" s="1"/>
  <c r="G25" i="3" s="1"/>
  <c r="E27" i="13" s="1"/>
  <c r="E10" i="5"/>
  <c r="E9" i="5" s="1"/>
  <c r="E25" i="3" s="1"/>
  <c r="C27" i="13" s="1"/>
  <c r="D10" i="5"/>
  <c r="P10" i="5" s="1"/>
  <c r="K16" i="14"/>
  <c r="L12" i="6"/>
  <c r="L21" i="6"/>
  <c r="L23" i="6"/>
  <c r="I14" i="10"/>
  <c r="AA25" i="11"/>
  <c r="H25" i="11"/>
  <c r="Y25" i="11"/>
  <c r="B37" i="6"/>
  <c r="B36" i="6"/>
  <c r="B35" i="6"/>
  <c r="B34" i="6"/>
  <c r="E30" i="6"/>
  <c r="B33" i="6"/>
  <c r="H24" i="11"/>
  <c r="Y24" i="11"/>
  <c r="AA24" i="11"/>
  <c r="E20" i="7"/>
  <c r="C38" i="7"/>
  <c r="AA14" i="11"/>
  <c r="Y14" i="11"/>
  <c r="U14" i="11"/>
  <c r="H14" i="11"/>
  <c r="I20" i="10"/>
  <c r="I16" i="10"/>
  <c r="I13" i="11"/>
  <c r="I26" i="10"/>
  <c r="I28" i="11"/>
  <c r="L15" i="6"/>
  <c r="L19" i="6"/>
  <c r="I30" i="11"/>
  <c r="F9" i="8"/>
  <c r="E9" i="8"/>
  <c r="H22" i="11"/>
  <c r="AA22" i="11"/>
  <c r="Y22" i="11"/>
  <c r="Y19" i="11"/>
  <c r="AA19" i="11"/>
  <c r="E12" i="5"/>
  <c r="G11" i="7"/>
  <c r="E11" i="7"/>
  <c r="D17" i="13"/>
  <c r="F17" i="13" s="1"/>
  <c r="D10" i="13"/>
  <c r="C8" i="10"/>
  <c r="C5" i="7"/>
  <c r="G16" i="15"/>
  <c r="C123" i="11"/>
  <c r="E17" i="15"/>
  <c r="E29" i="15" s="1"/>
  <c r="F32" i="15" s="1"/>
  <c r="L25" i="6"/>
  <c r="B60" i="14"/>
  <c r="N7" i="14"/>
  <c r="N9" i="14" s="1"/>
  <c r="K7" i="14"/>
  <c r="H7" i="14"/>
  <c r="G7" i="14"/>
  <c r="G16" i="14" s="1"/>
  <c r="F7" i="14"/>
  <c r="F16" i="14" s="1"/>
  <c r="E7" i="14"/>
  <c r="E9" i="14" s="1"/>
  <c r="D7" i="14"/>
  <c r="C7" i="14"/>
  <c r="J7" i="14"/>
  <c r="J9" i="14" s="1"/>
  <c r="E13" i="5"/>
  <c r="D13" i="5"/>
  <c r="P13" i="5" s="1"/>
  <c r="T15" i="11"/>
  <c r="X15" i="11" s="1"/>
  <c r="I12" i="14"/>
  <c r="I10" i="14"/>
  <c r="D8" i="13"/>
  <c r="F8" i="13" s="1"/>
  <c r="J9" i="6"/>
  <c r="C12" i="7"/>
  <c r="C36" i="7" s="1"/>
  <c r="M14" i="6"/>
  <c r="L22" i="6"/>
  <c r="J25" i="6"/>
  <c r="AA16" i="11"/>
  <c r="W20" i="11"/>
  <c r="X20" i="11" s="1"/>
  <c r="D10" i="14"/>
  <c r="D16" i="14" s="1"/>
  <c r="H16" i="14"/>
  <c r="I12" i="10"/>
  <c r="I20" i="11"/>
  <c r="C33" i="6"/>
  <c r="B25" i="8"/>
  <c r="H22" i="10"/>
  <c r="B16" i="12"/>
  <c r="B36" i="12" s="1"/>
  <c r="J19" i="6"/>
  <c r="AA21" i="11"/>
  <c r="Y21" i="11"/>
  <c r="Y16" i="11"/>
  <c r="I15" i="11"/>
  <c r="E26" i="13"/>
  <c r="O16" i="14"/>
  <c r="I29" i="10"/>
  <c r="J22" i="6"/>
  <c r="I9" i="8"/>
  <c r="C26" i="13"/>
  <c r="M7" i="6"/>
  <c r="J18" i="6"/>
  <c r="O5" i="14"/>
  <c r="O8" i="14" s="1"/>
  <c r="K5" i="14"/>
  <c r="K8" i="14" s="1"/>
  <c r="J5" i="14"/>
  <c r="J8" i="14" s="1"/>
  <c r="I5" i="14"/>
  <c r="I8" i="14" s="1"/>
  <c r="H5" i="14"/>
  <c r="H8" i="14" s="1"/>
  <c r="G5" i="14"/>
  <c r="G8" i="14" s="1"/>
  <c r="F5" i="14"/>
  <c r="F8" i="14" s="1"/>
  <c r="E5" i="14"/>
  <c r="E8" i="14" s="1"/>
  <c r="D5" i="14"/>
  <c r="D8" i="14" s="1"/>
  <c r="C5" i="14"/>
  <c r="C8" i="14" s="1"/>
  <c r="M5" i="14"/>
  <c r="M8" i="14" s="1"/>
  <c r="G8" i="7"/>
  <c r="E8" i="7"/>
  <c r="C37" i="11"/>
  <c r="J15" i="6"/>
  <c r="I31" i="11"/>
  <c r="C35" i="6"/>
  <c r="T17" i="11"/>
  <c r="H25" i="10"/>
  <c r="F8" i="15"/>
  <c r="B18" i="9"/>
  <c r="W18" i="11"/>
  <c r="I18" i="11"/>
  <c r="M12" i="6"/>
  <c r="L9" i="6" s="1"/>
  <c r="L10" i="6"/>
  <c r="M13" i="6"/>
  <c r="L16" i="6" s="1"/>
  <c r="L13" i="6"/>
  <c r="L26" i="6"/>
  <c r="C33" i="11"/>
  <c r="H15" i="10"/>
  <c r="T12" i="11"/>
  <c r="H29" i="11"/>
  <c r="I7" i="14"/>
  <c r="I9" i="14" s="1"/>
  <c r="C12" i="14"/>
  <c r="F11" i="15"/>
  <c r="M8" i="6"/>
  <c r="M18" i="6"/>
  <c r="L18" i="6" s="1"/>
  <c r="C8" i="5"/>
  <c r="B40" i="9"/>
  <c r="L1039" i="17"/>
  <c r="L1017" i="17"/>
  <c r="L1006" i="17"/>
  <c r="L995" i="17"/>
  <c r="L984" i="17"/>
  <c r="L973" i="17"/>
  <c r="L962" i="17"/>
  <c r="L951" i="17"/>
  <c r="L940" i="17"/>
  <c r="L929" i="17"/>
  <c r="L918" i="17"/>
  <c r="L808" i="17"/>
  <c r="L1034" i="17"/>
  <c r="L981" i="17"/>
  <c r="L976" i="17"/>
  <c r="L913" i="17"/>
  <c r="L853" i="17"/>
  <c r="L1004" i="17"/>
  <c r="L999" i="17"/>
  <c r="L994" i="17"/>
  <c r="L989" i="17"/>
  <c r="L941" i="17"/>
  <c r="L936" i="17"/>
  <c r="L1022" i="17"/>
  <c r="L974" i="17"/>
  <c r="L916" i="17"/>
  <c r="L911" i="17"/>
  <c r="L906" i="17"/>
  <c r="L901" i="17"/>
  <c r="L893" i="17"/>
  <c r="L880" i="17"/>
  <c r="L872" i="17"/>
  <c r="L851" i="17"/>
  <c r="L1038" i="17"/>
  <c r="L1033" i="17"/>
  <c r="L815" i="17"/>
  <c r="L789" i="17"/>
  <c r="L767" i="17"/>
  <c r="L990" i="17"/>
  <c r="L972" i="17"/>
  <c r="L963" i="17"/>
  <c r="L888" i="17"/>
  <c r="L876" i="17"/>
  <c r="L843" i="17"/>
  <c r="L810" i="17"/>
  <c r="L797" i="17"/>
  <c r="L1031" i="17"/>
  <c r="L770" i="17"/>
  <c r="L970" i="17"/>
  <c r="L1013" i="17"/>
  <c r="L968" i="17"/>
  <c r="L945" i="17"/>
  <c r="L934" i="17"/>
  <c r="L927" i="17"/>
  <c r="L909" i="17"/>
  <c r="L900" i="17"/>
  <c r="L846" i="17"/>
  <c r="L1020" i="17"/>
  <c r="L977" i="17"/>
  <c r="L826" i="17"/>
  <c r="L821" i="17"/>
  <c r="L894" i="17"/>
  <c r="L866" i="17"/>
  <c r="L864" i="17"/>
  <c r="L850" i="17"/>
  <c r="L837" i="17"/>
  <c r="L824" i="17"/>
  <c r="L822" i="17"/>
  <c r="L771" i="17"/>
  <c r="L764" i="17"/>
  <c r="L947" i="17"/>
  <c r="L1021" i="17"/>
  <c r="L949" i="17"/>
  <c r="L769" i="17"/>
  <c r="L1025" i="17"/>
  <c r="L1012" i="17"/>
  <c r="L961" i="17"/>
  <c r="L924" i="17"/>
  <c r="L1010" i="17"/>
  <c r="L997" i="17"/>
  <c r="L957" i="17"/>
  <c r="L955" i="17"/>
  <c r="L953" i="17"/>
  <c r="L733" i="17"/>
  <c r="L895" i="17"/>
  <c r="L766" i="17"/>
  <c r="L741" i="17"/>
  <c r="L725" i="17"/>
  <c r="L714" i="17"/>
  <c r="L703" i="17"/>
  <c r="L692" i="17"/>
  <c r="L681" i="17"/>
  <c r="L670" i="17"/>
  <c r="L1014" i="17"/>
  <c r="L944" i="17"/>
  <c r="L775" i="17"/>
  <c r="L983" i="17"/>
  <c r="L899" i="17"/>
  <c r="L875" i="17"/>
  <c r="L873" i="17"/>
  <c r="L871" i="17"/>
  <c r="L807" i="17"/>
  <c r="L773" i="17"/>
  <c r="L762" i="17"/>
  <c r="L744" i="17"/>
  <c r="L1026" i="17"/>
  <c r="L1016" i="17"/>
  <c r="L1018" i="17"/>
  <c r="L987" i="17"/>
  <c r="L935" i="17"/>
  <c r="L933" i="17"/>
  <c r="L919" i="17"/>
  <c r="L879" i="17"/>
  <c r="L799" i="17"/>
  <c r="L782" i="17"/>
  <c r="L760" i="17"/>
  <c r="L747" i="17"/>
  <c r="L1001" i="17"/>
  <c r="L958" i="17"/>
  <c r="L950" i="17"/>
  <c r="L849" i="17"/>
  <c r="L793" i="17"/>
  <c r="L791" i="17"/>
  <c r="L825" i="17"/>
  <c r="L738" i="17"/>
  <c r="L682" i="17"/>
  <c r="L677" i="17"/>
  <c r="L672" i="17"/>
  <c r="L1015" i="17"/>
  <c r="L952" i="17"/>
  <c r="L938" i="17"/>
  <c r="L615" i="17"/>
  <c r="L604" i="17"/>
  <c r="L582" i="17"/>
  <c r="L571" i="17"/>
  <c r="L560" i="17"/>
  <c r="L549" i="17"/>
  <c r="L538" i="17"/>
  <c r="L527" i="17"/>
  <c r="L932" i="17"/>
  <c r="L921" i="17"/>
  <c r="L842" i="17"/>
  <c r="L695" i="17"/>
  <c r="L707" i="17"/>
  <c r="L662" i="17"/>
  <c r="L640" i="17"/>
  <c r="L629" i="17"/>
  <c r="L618" i="17"/>
  <c r="L607" i="17"/>
  <c r="L596" i="17"/>
  <c r="L585" i="17"/>
  <c r="L574" i="17"/>
  <c r="L563" i="17"/>
  <c r="L552" i="17"/>
  <c r="L887" i="17"/>
  <c r="L834" i="17"/>
  <c r="L732" i="17"/>
  <c r="L705" i="17"/>
  <c r="L665" i="17"/>
  <c r="L654" i="17"/>
  <c r="L643" i="17"/>
  <c r="L632" i="17"/>
  <c r="L621" i="17"/>
  <c r="L610" i="17"/>
  <c r="L599" i="17"/>
  <c r="L588" i="17"/>
  <c r="L577" i="17"/>
  <c r="L730" i="17"/>
  <c r="L698" i="17"/>
  <c r="L859" i="17"/>
  <c r="L839" i="17"/>
  <c r="L794" i="17"/>
  <c r="L743" i="17"/>
  <c r="L721" i="17"/>
  <c r="L657" i="17"/>
  <c r="L646" i="17"/>
  <c r="L998" i="17"/>
  <c r="L960" i="17"/>
  <c r="L881" i="17"/>
  <c r="L798" i="17"/>
  <c r="L726" i="17"/>
  <c r="L663" i="17"/>
  <c r="L652" i="17"/>
  <c r="L641" i="17"/>
  <c r="L630" i="17"/>
  <c r="L619" i="17"/>
  <c r="L608" i="17"/>
  <c r="L979" i="17"/>
  <c r="L890" i="17"/>
  <c r="L784" i="17"/>
  <c r="L740" i="17"/>
  <c r="L461" i="17"/>
  <c r="L450" i="17"/>
  <c r="L428" i="17"/>
  <c r="L417" i="17"/>
  <c r="L406" i="17"/>
  <c r="L768" i="17"/>
  <c r="L765" i="17"/>
  <c r="L691" i="17"/>
  <c r="L565" i="17"/>
  <c r="L558" i="17"/>
  <c r="L551" i="17"/>
  <c r="L1019" i="17"/>
  <c r="L508" i="17"/>
  <c r="L497" i="17"/>
  <c r="L475" i="17"/>
  <c r="L464" i="17"/>
  <c r="L453" i="17"/>
  <c r="L991" i="17"/>
  <c r="L988" i="17"/>
  <c r="L925" i="17"/>
  <c r="L828" i="17"/>
  <c r="L752" i="17"/>
  <c r="L704" i="17"/>
  <c r="L684" i="17"/>
  <c r="L671" i="17"/>
  <c r="L635" i="17"/>
  <c r="L591" i="17"/>
  <c r="L584" i="17"/>
  <c r="L570" i="17"/>
  <c r="L556" i="17"/>
  <c r="L786" i="17"/>
  <c r="L718" i="17"/>
  <c r="L711" i="17"/>
  <c r="L686" i="17"/>
  <c r="L656" i="17"/>
  <c r="L598" i="17"/>
  <c r="L660" i="17"/>
  <c r="L658" i="17"/>
  <c r="L631" i="17"/>
  <c r="L613" i="17"/>
  <c r="L554" i="17"/>
  <c r="L547" i="17"/>
  <c r="L930" i="17"/>
  <c r="L861" i="17"/>
  <c r="L737" i="17"/>
  <c r="L720" i="17"/>
  <c r="L713" i="17"/>
  <c r="L633" i="17"/>
  <c r="L715" i="17"/>
  <c r="L701" i="17"/>
  <c r="L647" i="17"/>
  <c r="L587" i="17"/>
  <c r="L580" i="17"/>
  <c r="L573" i="17"/>
  <c r="L559" i="17"/>
  <c r="L545" i="17"/>
  <c r="L1005" i="17"/>
  <c r="L676" i="17"/>
  <c r="L620" i="17"/>
  <c r="L575" i="17"/>
  <c r="L724" i="17"/>
  <c r="L668" i="17"/>
  <c r="L534" i="17"/>
  <c r="L520" i="17"/>
  <c r="L463" i="17"/>
  <c r="L454" i="17"/>
  <c r="L410" i="17"/>
  <c r="L964" i="17"/>
  <c r="L800" i="17"/>
  <c r="L687" i="17"/>
  <c r="L642" i="17"/>
  <c r="L536" i="17"/>
  <c r="L350" i="17"/>
  <c r="L622" i="17"/>
  <c r="L501" i="17"/>
  <c r="L499" i="17"/>
  <c r="L490" i="17"/>
  <c r="L452" i="17"/>
  <c r="L405" i="17"/>
  <c r="L605" i="17"/>
  <c r="L540" i="17"/>
  <c r="L488" i="17"/>
  <c r="L459" i="17"/>
  <c r="L438" i="17"/>
  <c r="L510" i="17"/>
  <c r="L479" i="17"/>
  <c r="L678" i="17"/>
  <c r="L512" i="17"/>
  <c r="L477" i="17"/>
  <c r="L443" i="17"/>
  <c r="L431" i="17"/>
  <c r="L796" i="17"/>
  <c r="L634" i="17"/>
  <c r="L595" i="17"/>
  <c r="L495" i="17"/>
  <c r="L468" i="17"/>
  <c r="L436" i="17"/>
  <c r="L421" i="17"/>
  <c r="L392" i="17"/>
  <c r="L717" i="17"/>
  <c r="L569" i="17"/>
  <c r="L535" i="17"/>
  <c r="L521" i="17"/>
  <c r="L504" i="17"/>
  <c r="L473" i="17"/>
  <c r="L694" i="17"/>
  <c r="L655" i="17"/>
  <c r="L594" i="17"/>
  <c r="L272" i="17"/>
  <c r="L261" i="17"/>
  <c r="L239" i="17"/>
  <c r="L228" i="17"/>
  <c r="L217" i="17"/>
  <c r="L206" i="17"/>
  <c r="L195" i="17"/>
  <c r="L184" i="17"/>
  <c r="L173" i="17"/>
  <c r="L162" i="17"/>
  <c r="L151" i="17"/>
  <c r="L140" i="17"/>
  <c r="L316" i="17"/>
  <c r="L614" i="17"/>
  <c r="L415" i="17"/>
  <c r="L357" i="17"/>
  <c r="L345" i="17"/>
  <c r="L324" i="17"/>
  <c r="L308" i="17"/>
  <c r="L297" i="17"/>
  <c r="L286" i="17"/>
  <c r="L275" i="17"/>
  <c r="L264" i="17"/>
  <c r="L253" i="17"/>
  <c r="L500" i="17"/>
  <c r="L493" i="17"/>
  <c r="L460" i="17"/>
  <c r="L400" i="17"/>
  <c r="L398" i="17"/>
  <c r="L396" i="17"/>
  <c r="L332" i="17"/>
  <c r="L722" i="17"/>
  <c r="L628" i="17"/>
  <c r="L529" i="17"/>
  <c r="L507" i="17"/>
  <c r="L390" i="17"/>
  <c r="L256" i="17"/>
  <c r="L245" i="17"/>
  <c r="L223" i="17"/>
  <c r="L212" i="17"/>
  <c r="L982" i="17"/>
  <c r="L776" i="17"/>
  <c r="L474" i="17"/>
  <c r="L455" i="17"/>
  <c r="L446" i="17"/>
  <c r="L430" i="17"/>
  <c r="L419" i="17"/>
  <c r="L404" i="17"/>
  <c r="L408" i="17"/>
  <c r="L384" i="17"/>
  <c r="L303" i="17"/>
  <c r="L292" i="17"/>
  <c r="L281" i="17"/>
  <c r="L270" i="17"/>
  <c r="L259" i="17"/>
  <c r="L248" i="17"/>
  <c r="L237" i="17"/>
  <c r="L226" i="17"/>
  <c r="L756" i="17"/>
  <c r="L750" i="17"/>
  <c r="L699" i="17"/>
  <c r="L636" i="17"/>
  <c r="L502" i="17"/>
  <c r="L434" i="17"/>
  <c r="L353" i="17"/>
  <c r="L348" i="17"/>
  <c r="L343" i="17"/>
  <c r="L330" i="17"/>
  <c r="L306" i="17"/>
  <c r="L295" i="17"/>
  <c r="L284" i="17"/>
  <c r="L578" i="17"/>
  <c r="L210" i="17"/>
  <c r="L199" i="17"/>
  <c r="L156" i="17"/>
  <c r="L148" i="17"/>
  <c r="L135" i="17"/>
  <c r="L124" i="17"/>
  <c r="L113" i="17"/>
  <c r="L102" i="17"/>
  <c r="L679" i="17"/>
  <c r="L638" i="17"/>
  <c r="L407" i="17"/>
  <c r="L363" i="17"/>
  <c r="L427" i="17"/>
  <c r="L422" i="17"/>
  <c r="L399" i="17"/>
  <c r="L365" i="17"/>
  <c r="L341" i="17"/>
  <c r="L291" i="17"/>
  <c r="L197" i="17"/>
  <c r="L188" i="17"/>
  <c r="L174" i="17"/>
  <c r="L127" i="17"/>
  <c r="L116" i="17"/>
  <c r="L105" i="17"/>
  <c r="L221" i="17"/>
  <c r="L204" i="17"/>
  <c r="L449" i="17"/>
  <c r="L401" i="17"/>
  <c r="L381" i="17"/>
  <c r="L358" i="17"/>
  <c r="L299" i="17"/>
  <c r="L293" i="17"/>
  <c r="L246" i="17"/>
  <c r="L240" i="17"/>
  <c r="L219" i="17"/>
  <c r="L215" i="17"/>
  <c r="L653" i="17"/>
  <c r="L480" i="17"/>
  <c r="L263" i="17"/>
  <c r="L471" i="17"/>
  <c r="L451" i="17"/>
  <c r="L424" i="17"/>
  <c r="L411" i="17"/>
  <c r="L349" i="17"/>
  <c r="L334" i="17"/>
  <c r="L307" i="17"/>
  <c r="L238" i="17"/>
  <c r="L236" i="17"/>
  <c r="L125" i="17"/>
  <c r="L482" i="17"/>
  <c r="L378" i="17"/>
  <c r="L342" i="17"/>
  <c r="L189" i="17"/>
  <c r="L153" i="17"/>
  <c r="L121" i="17"/>
  <c r="L112" i="17"/>
  <c r="L80" i="17"/>
  <c r="L72" i="17"/>
  <c r="L64" i="17"/>
  <c r="L53" i="17"/>
  <c r="L134" i="17"/>
  <c r="L88" i="17"/>
  <c r="L213" i="17"/>
  <c r="L193" i="17"/>
  <c r="L191" i="17"/>
  <c r="L166" i="17"/>
  <c r="L132" i="17"/>
  <c r="L110" i="17"/>
  <c r="L96" i="17"/>
  <c r="L75" i="17"/>
  <c r="L67" i="17"/>
  <c r="L56" i="17"/>
  <c r="L145" i="17"/>
  <c r="L91" i="17"/>
  <c r="L70" i="17"/>
  <c r="L59" i="17"/>
  <c r="L48" i="17"/>
  <c r="L541" i="17"/>
  <c r="L354" i="17"/>
  <c r="L266" i="17"/>
  <c r="L222" i="17"/>
  <c r="L180" i="17"/>
  <c r="L78" i="17"/>
  <c r="L589" i="17"/>
  <c r="L141" i="17"/>
  <c r="L126" i="17"/>
  <c r="L99" i="17"/>
  <c r="L364" i="17"/>
  <c r="L351" i="17"/>
  <c r="L336" i="17"/>
  <c r="L331" i="17"/>
  <c r="L139" i="17"/>
  <c r="L122" i="17"/>
  <c r="L104" i="17"/>
  <c r="L89" i="17"/>
  <c r="L710" i="17"/>
  <c r="L46" i="17"/>
  <c r="L550" i="17"/>
  <c r="L489" i="17"/>
  <c r="L302" i="17"/>
  <c r="L181" i="17"/>
  <c r="L100" i="17"/>
  <c r="L98" i="17"/>
  <c r="L44" i="17"/>
  <c r="L40" i="17"/>
  <c r="L557" i="17"/>
  <c r="L368" i="17"/>
  <c r="L338" i="17"/>
  <c r="L288" i="17"/>
  <c r="L175" i="17"/>
  <c r="L758" i="17"/>
  <c r="L601" i="17"/>
  <c r="L393" i="17"/>
  <c r="L385" i="17"/>
  <c r="L370" i="17"/>
  <c r="L296" i="17"/>
  <c r="L205" i="17"/>
  <c r="L185" i="17"/>
  <c r="L163" i="17"/>
  <c r="L142" i="17"/>
  <c r="L412" i="17"/>
  <c r="L387" i="17"/>
  <c r="L310" i="17"/>
  <c r="L301" i="17"/>
  <c r="L298" i="17"/>
  <c r="L255" i="17"/>
  <c r="L172" i="17"/>
  <c r="L117" i="17"/>
  <c r="L106" i="17"/>
  <c r="L304" i="17"/>
  <c r="L274" i="17"/>
  <c r="L247" i="17"/>
  <c r="L315" i="17"/>
  <c r="L290" i="17"/>
  <c r="L260" i="17"/>
  <c r="L97" i="17"/>
  <c r="L79" i="17"/>
  <c r="L71" i="17"/>
  <c r="L63" i="17"/>
  <c r="L61" i="17"/>
  <c r="L57" i="17"/>
  <c r="L346" i="17"/>
  <c r="L137" i="17"/>
  <c r="L128" i="17"/>
  <c r="L95" i="17"/>
  <c r="L487" i="17"/>
  <c r="L328" i="17"/>
  <c r="L325" i="17"/>
  <c r="L241" i="17"/>
  <c r="L155" i="17"/>
  <c r="L214" i="17"/>
  <c r="L194" i="17"/>
  <c r="L333" i="17"/>
  <c r="L171" i="17"/>
  <c r="L727" i="17"/>
  <c r="L218" i="17"/>
  <c r="L661" i="17"/>
  <c r="L196" i="17"/>
  <c r="L68" i="17"/>
  <c r="L60" i="17"/>
  <c r="L523" i="17"/>
  <c r="L276" i="17"/>
  <c r="L76" i="17"/>
  <c r="L526" i="17"/>
  <c r="L420" i="17"/>
  <c r="L230" i="17"/>
  <c r="L118" i="17"/>
  <c r="L41" i="17"/>
  <c r="L395" i="17"/>
  <c r="L211" i="17"/>
  <c r="L201" i="17"/>
  <c r="L254" i="17"/>
  <c r="L7" i="14"/>
  <c r="L9" i="14" s="1"/>
  <c r="L103" i="17"/>
  <c r="E17" i="13"/>
  <c r="E10" i="13"/>
  <c r="B22" i="12"/>
  <c r="I11" i="8"/>
  <c r="I14" i="8"/>
  <c r="I7" i="8"/>
  <c r="I10" i="8"/>
  <c r="B29" i="8"/>
  <c r="I13" i="8"/>
  <c r="I6" i="8"/>
  <c r="I15" i="8" s="1"/>
  <c r="F11" i="7"/>
  <c r="F8" i="7"/>
  <c r="F10" i="7"/>
  <c r="G10" i="7" s="1"/>
  <c r="L20" i="6"/>
  <c r="J26" i="6"/>
  <c r="C34" i="6"/>
  <c r="M7" i="14"/>
  <c r="D8" i="8"/>
  <c r="D11" i="8"/>
  <c r="D14" i="8"/>
  <c r="D7" i="8"/>
  <c r="D13" i="8"/>
  <c r="D12" i="8"/>
  <c r="F7" i="13"/>
  <c r="C36" i="6"/>
  <c r="Y13" i="11"/>
  <c r="U13" i="11"/>
  <c r="W13" i="11" s="1"/>
  <c r="X13" i="11" s="1"/>
  <c r="AA13" i="11"/>
  <c r="J16" i="6"/>
  <c r="B35" i="12"/>
  <c r="C8" i="12"/>
  <c r="E8" i="5"/>
  <c r="C12" i="5"/>
  <c r="D6" i="8"/>
  <c r="H21" i="11"/>
  <c r="O7" i="14"/>
  <c r="O9" i="14" s="1"/>
  <c r="F12" i="14"/>
  <c r="L86" i="17"/>
  <c r="G18" i="15"/>
  <c r="F7" i="15"/>
  <c r="F18" i="15"/>
  <c r="E7" i="15"/>
  <c r="F14" i="15"/>
  <c r="G10" i="15"/>
  <c r="E10" i="15"/>
  <c r="G6" i="15"/>
  <c r="G17" i="15"/>
  <c r="F6" i="15"/>
  <c r="E11" i="15"/>
  <c r="G15" i="15"/>
  <c r="F10" i="15"/>
  <c r="G5" i="15"/>
  <c r="G21" i="15" s="1"/>
  <c r="F15" i="15"/>
  <c r="F5" i="15"/>
  <c r="F21" i="15" s="1"/>
  <c r="E15" i="15"/>
  <c r="E5" i="15"/>
  <c r="E21" i="15" s="1"/>
  <c r="G9" i="15"/>
  <c r="G25" i="15" s="1"/>
  <c r="G14" i="15"/>
  <c r="F9" i="15"/>
  <c r="E14" i="15"/>
  <c r="E9" i="15"/>
  <c r="G13" i="15"/>
  <c r="F13" i="15"/>
  <c r="E13" i="15"/>
  <c r="G8" i="15"/>
  <c r="E18" i="15"/>
  <c r="F17" i="15"/>
  <c r="F29" i="15" s="1"/>
  <c r="G32" i="15" s="1"/>
  <c r="E8" i="15"/>
  <c r="E16" i="15"/>
  <c r="G11" i="15"/>
  <c r="E6" i="15"/>
  <c r="B22" i="9"/>
  <c r="D10" i="8"/>
  <c r="D26" i="13"/>
  <c r="N16" i="14"/>
  <c r="J8" i="6"/>
  <c r="J24" i="6"/>
  <c r="E9" i="7"/>
  <c r="G9" i="7"/>
  <c r="D12" i="5"/>
  <c r="P12" i="5" s="1"/>
  <c r="I12" i="8"/>
  <c r="H17" i="10"/>
  <c r="I16" i="11"/>
  <c r="D18" i="11"/>
  <c r="E18" i="11" s="1"/>
  <c r="T18" i="11" s="1"/>
  <c r="T23" i="11"/>
  <c r="L114" i="17"/>
  <c r="F19" i="13"/>
  <c r="B7" i="16" s="1"/>
  <c r="W16" i="11"/>
  <c r="X16" i="11" s="1"/>
  <c r="B41" i="9"/>
  <c r="I11" i="10"/>
  <c r="C10" i="14"/>
  <c r="J23" i="6"/>
  <c r="I27" i="6"/>
  <c r="E29" i="6" s="1"/>
  <c r="H13" i="10"/>
  <c r="H28" i="10"/>
  <c r="U20" i="11"/>
  <c r="H48" i="11" s="1"/>
  <c r="D59" i="11" s="1"/>
  <c r="E59" i="11" s="1"/>
  <c r="C124" i="11"/>
  <c r="E11" i="5"/>
  <c r="D11" i="5"/>
  <c r="P11" i="5" s="1"/>
  <c r="C11" i="5"/>
  <c r="H18" i="10"/>
  <c r="H27" i="10"/>
  <c r="E27" i="11"/>
  <c r="H27" i="11" s="1"/>
  <c r="C17" i="13"/>
  <c r="L62" i="17"/>
  <c r="C32" i="10"/>
  <c r="G44" i="14"/>
  <c r="H10" i="14"/>
  <c r="G12" i="14"/>
  <c r="B62" i="14"/>
  <c r="F44" i="14"/>
  <c r="E44" i="14"/>
  <c r="C44" i="14"/>
  <c r="K44" i="14"/>
  <c r="B64" i="14"/>
  <c r="C10" i="13"/>
  <c r="K10" i="14"/>
  <c r="L44" i="14"/>
  <c r="O12" i="14"/>
  <c r="L12" i="14"/>
  <c r="L10" i="14"/>
  <c r="K12" i="14"/>
  <c r="M44" i="14"/>
  <c r="I11" i="14"/>
  <c r="F11" i="14"/>
  <c r="C11" i="14"/>
  <c r="M10" i="14"/>
  <c r="M12" i="14"/>
  <c r="N44" i="14"/>
  <c r="N10" i="14"/>
  <c r="N12" i="14"/>
  <c r="D11" i="14"/>
  <c r="E11" i="14"/>
  <c r="B16" i="17"/>
  <c r="L874" i="17" s="1"/>
  <c r="G11" i="14"/>
  <c r="H11" i="14"/>
  <c r="C51" i="13" l="1"/>
  <c r="E51" i="13"/>
  <c r="I13" i="10"/>
  <c r="N32" i="14"/>
  <c r="K32" i="14"/>
  <c r="C32" i="14"/>
  <c r="M32" i="14"/>
  <c r="E32" i="14"/>
  <c r="G32" i="14"/>
  <c r="O32" i="14"/>
  <c r="H32" i="14"/>
  <c r="F32" i="14"/>
  <c r="D32" i="14"/>
  <c r="L32" i="14"/>
  <c r="I32" i="14"/>
  <c r="J32" i="14"/>
  <c r="I16" i="14"/>
  <c r="C9" i="14"/>
  <c r="L14" i="6"/>
  <c r="F14" i="8"/>
  <c r="E14" i="8"/>
  <c r="L318" i="17"/>
  <c r="L131" i="17"/>
  <c r="L492" i="17"/>
  <c r="L115" i="17"/>
  <c r="L83" i="17"/>
  <c r="L229" i="17"/>
  <c r="L425" i="17"/>
  <c r="L309" i="17"/>
  <c r="L498" i="17"/>
  <c r="L414" i="17"/>
  <c r="L169" i="17"/>
  <c r="L616" i="17"/>
  <c r="L335" i="17"/>
  <c r="L234" i="17"/>
  <c r="L467" i="17"/>
  <c r="L444" i="17"/>
  <c r="L250" i="17"/>
  <c r="L416" i="17"/>
  <c r="L746" i="17"/>
  <c r="L617" i="17"/>
  <c r="L603" i="17"/>
  <c r="L649" i="17"/>
  <c r="L639" i="17"/>
  <c r="L600" i="17"/>
  <c r="L486" i="17"/>
  <c r="L439" i="17"/>
  <c r="L708" i="17"/>
  <c r="L889" i="17"/>
  <c r="L712" i="17"/>
  <c r="L651" i="17"/>
  <c r="L593" i="17"/>
  <c r="L812" i="17"/>
  <c r="L975" i="17"/>
  <c r="L915" i="17"/>
  <c r="L858" i="17"/>
  <c r="L783" i="17"/>
  <c r="L803" i="17"/>
  <c r="L1029" i="17"/>
  <c r="L778" i="17"/>
  <c r="L969" i="17"/>
  <c r="L986" i="17"/>
  <c r="L1028" i="17"/>
  <c r="C16" i="14"/>
  <c r="D9" i="14"/>
  <c r="D15" i="14" s="1"/>
  <c r="D23" i="14" s="1"/>
  <c r="I15" i="10"/>
  <c r="U12" i="11"/>
  <c r="H12" i="11"/>
  <c r="Y12" i="11"/>
  <c r="AA12" i="11"/>
  <c r="N15" i="14"/>
  <c r="N23" i="14" s="1"/>
  <c r="K15" i="14"/>
  <c r="K23" i="14" s="1"/>
  <c r="H15" i="14"/>
  <c r="H23" i="14" s="1"/>
  <c r="O15" i="14"/>
  <c r="O23" i="14" s="1"/>
  <c r="M15" i="14"/>
  <c r="M23" i="14" s="1"/>
  <c r="L15" i="14"/>
  <c r="L23" i="14" s="1"/>
  <c r="J15" i="14"/>
  <c r="J23" i="14" s="1"/>
  <c r="I15" i="14"/>
  <c r="I23" i="14" s="1"/>
  <c r="E15" i="14"/>
  <c r="E23" i="14" s="1"/>
  <c r="C15" i="14"/>
  <c r="C23" i="14" s="1"/>
  <c r="G12" i="7"/>
  <c r="J12" i="7" s="1"/>
  <c r="E18" i="13"/>
  <c r="E16" i="13"/>
  <c r="E12" i="13"/>
  <c r="E13" i="13"/>
  <c r="Y18" i="11"/>
  <c r="AA18" i="11"/>
  <c r="L697" i="17"/>
  <c r="L7" i="6"/>
  <c r="H17" i="17"/>
  <c r="G22" i="15"/>
  <c r="G12" i="15"/>
  <c r="AA15" i="11"/>
  <c r="Y15" i="11"/>
  <c r="X18" i="11"/>
  <c r="I17" i="17"/>
  <c r="L90" i="17"/>
  <c r="L597" i="17"/>
  <c r="L50" i="17"/>
  <c r="L147" i="17"/>
  <c r="L149" i="17"/>
  <c r="L244" i="17"/>
  <c r="L252" i="17"/>
  <c r="L441" i="17"/>
  <c r="L337" i="17"/>
  <c r="L624" i="17"/>
  <c r="L729" i="17"/>
  <c r="L519" i="17"/>
  <c r="L1000" i="17"/>
  <c r="L857" i="17"/>
  <c r="L626" i="17"/>
  <c r="L739" i="17"/>
  <c r="L817" i="17"/>
  <c r="L779" i="17"/>
  <c r="L831" i="17"/>
  <c r="L820" i="17"/>
  <c r="L1027" i="17"/>
  <c r="L819" i="17"/>
  <c r="D33" i="14"/>
  <c r="C33" i="14"/>
  <c r="O33" i="14"/>
  <c r="N33" i="14"/>
  <c r="M33" i="14"/>
  <c r="L33" i="14"/>
  <c r="K33" i="14"/>
  <c r="J33" i="14"/>
  <c r="I33" i="14"/>
  <c r="H33" i="14"/>
  <c r="G33" i="14"/>
  <c r="F33" i="14"/>
  <c r="E33" i="14"/>
  <c r="I18" i="10"/>
  <c r="I17" i="10"/>
  <c r="F23" i="15"/>
  <c r="W21" i="11"/>
  <c r="X21" i="11" s="1"/>
  <c r="I21" i="11"/>
  <c r="L216" i="17"/>
  <c r="L107" i="17"/>
  <c r="L562" i="17"/>
  <c r="L664" i="17"/>
  <c r="L609" i="17"/>
  <c r="L376" i="17"/>
  <c r="L52" i="17"/>
  <c r="L160" i="17"/>
  <c r="L178" i="17"/>
  <c r="L170" i="17"/>
  <c r="L157" i="17"/>
  <c r="L108" i="17"/>
  <c r="L269" i="17"/>
  <c r="L143" i="17"/>
  <c r="L273" i="17"/>
  <c r="L322" i="17"/>
  <c r="L462" i="17"/>
  <c r="L278" i="17"/>
  <c r="L546" i="17"/>
  <c r="L437" i="17"/>
  <c r="L294" i="17"/>
  <c r="L466" i="17"/>
  <c r="L644" i="17"/>
  <c r="L372" i="17"/>
  <c r="L369" i="17"/>
  <c r="L761" i="17"/>
  <c r="L706" i="17"/>
  <c r="L511" i="17"/>
  <c r="L532" i="17"/>
  <c r="L483" i="17"/>
  <c r="L673" i="17"/>
  <c r="L755" i="17"/>
  <c r="L914" i="17"/>
  <c r="L734" i="17"/>
  <c r="L637" i="17"/>
  <c r="L1003" i="17"/>
  <c r="L801" i="17"/>
  <c r="L942" i="17"/>
  <c r="L790" i="17"/>
  <c r="L868" i="17"/>
  <c r="L884" i="17"/>
  <c r="L805" i="17"/>
  <c r="L855" i="17"/>
  <c r="L1032" i="17"/>
  <c r="L830" i="17"/>
  <c r="F24" i="15"/>
  <c r="L16" i="14"/>
  <c r="H9" i="14"/>
  <c r="B35" i="9"/>
  <c r="B47" i="9" s="1"/>
  <c r="C57" i="6"/>
  <c r="E8" i="10"/>
  <c r="C8" i="11"/>
  <c r="E8" i="11" s="1"/>
  <c r="T8" i="11" s="1"/>
  <c r="B38" i="12"/>
  <c r="C22" i="12"/>
  <c r="H23" i="11"/>
  <c r="AA23" i="11"/>
  <c r="Y23" i="11"/>
  <c r="E12" i="15"/>
  <c r="B17" i="2"/>
  <c r="C17" i="2" s="1"/>
  <c r="E22" i="15"/>
  <c r="L192" i="17"/>
  <c r="L361" i="17"/>
  <c r="G9" i="14"/>
  <c r="G15" i="14" s="1"/>
  <c r="G23" i="14" s="1"/>
  <c r="F6" i="8"/>
  <c r="E6" i="8"/>
  <c r="L251" i="17"/>
  <c r="L224" i="17"/>
  <c r="L43" i="17"/>
  <c r="L51" i="17"/>
  <c r="L165" i="17"/>
  <c r="L442" i="17"/>
  <c r="L84" i="17"/>
  <c r="L233" i="17"/>
  <c r="L344" i="17"/>
  <c r="L243" i="17"/>
  <c r="L202" i="17"/>
  <c r="L119" i="17"/>
  <c r="L271" i="17"/>
  <c r="L164" i="17"/>
  <c r="L277" i="17"/>
  <c r="L360" i="17"/>
  <c r="L476" i="17"/>
  <c r="L289" i="17"/>
  <c r="L176" i="17"/>
  <c r="L458" i="17"/>
  <c r="L305" i="17"/>
  <c r="L506" i="17"/>
  <c r="L923" i="17"/>
  <c r="L383" i="17"/>
  <c r="L380" i="17"/>
  <c r="L772" i="17"/>
  <c r="L759" i="17"/>
  <c r="L522" i="17"/>
  <c r="L572" i="17"/>
  <c r="L494" i="17"/>
  <c r="L683" i="17"/>
  <c r="L816" i="17"/>
  <c r="L996" i="17"/>
  <c r="L780" i="17"/>
  <c r="L648" i="17"/>
  <c r="L823" i="17"/>
  <c r="L877" i="17"/>
  <c r="L1011" i="17"/>
  <c r="L811" i="17"/>
  <c r="L870" i="17"/>
  <c r="L891" i="17"/>
  <c r="L833" i="17"/>
  <c r="L862" i="17"/>
  <c r="L1037" i="17"/>
  <c r="L841" i="17"/>
  <c r="K9" i="14"/>
  <c r="W25" i="11"/>
  <c r="X25" i="11" s="1"/>
  <c r="I25" i="11"/>
  <c r="E49" i="13"/>
  <c r="I19" i="17"/>
  <c r="F12" i="8"/>
  <c r="E12" i="8"/>
  <c r="E11" i="8"/>
  <c r="F11" i="8"/>
  <c r="F9" i="14"/>
  <c r="F15" i="14" s="1"/>
  <c r="F23" i="14" s="1"/>
  <c r="M9" i="14"/>
  <c r="M16" i="14"/>
  <c r="L283" i="17"/>
  <c r="L429" i="17"/>
  <c r="L484" i="17"/>
  <c r="L65" i="17"/>
  <c r="L207" i="17"/>
  <c r="L161" i="17"/>
  <c r="L109" i="17"/>
  <c r="L268" i="17"/>
  <c r="L101" i="17"/>
  <c r="L257" i="17"/>
  <c r="L313" i="17"/>
  <c r="L130" i="17"/>
  <c r="L326" i="17"/>
  <c r="L179" i="17"/>
  <c r="L287" i="17"/>
  <c r="L367" i="17"/>
  <c r="L509" i="17"/>
  <c r="L300" i="17"/>
  <c r="L187" i="17"/>
  <c r="L465" i="17"/>
  <c r="L329" i="17"/>
  <c r="L581" i="17"/>
  <c r="L1007" i="17"/>
  <c r="L394" i="17"/>
  <c r="L391" i="17"/>
  <c r="L836" i="17"/>
  <c r="L883" i="17"/>
  <c r="L537" i="17"/>
  <c r="L602" i="17"/>
  <c r="L505" i="17"/>
  <c r="L688" i="17"/>
  <c r="L844" i="17"/>
  <c r="L675" i="17"/>
  <c r="L787" i="17"/>
  <c r="L659" i="17"/>
  <c r="L829" i="17"/>
  <c r="L903" i="17"/>
  <c r="L749" i="17"/>
  <c r="L813" i="17"/>
  <c r="L878" i="17"/>
  <c r="L943" i="17"/>
  <c r="L838" i="17"/>
  <c r="L869" i="17"/>
  <c r="L795" i="17"/>
  <c r="L852" i="17"/>
  <c r="L8" i="6"/>
  <c r="H41" i="10"/>
  <c r="I25" i="10"/>
  <c r="I22" i="10"/>
  <c r="D9" i="5"/>
  <c r="F13" i="8"/>
  <c r="E13" i="8"/>
  <c r="K11" i="7"/>
  <c r="I27" i="10"/>
  <c r="L150" i="17"/>
  <c r="L323" i="17"/>
  <c r="L321" i="17"/>
  <c r="L158" i="17"/>
  <c r="L168" i="17"/>
  <c r="L774" i="17"/>
  <c r="L457" i="17"/>
  <c r="L314" i="17"/>
  <c r="L267" i="17"/>
  <c r="L448" i="17"/>
  <c r="L763" i="17"/>
  <c r="L840" i="17"/>
  <c r="L472" i="17"/>
  <c r="L751" i="17"/>
  <c r="L723" i="17"/>
  <c r="L967" i="17"/>
  <c r="L781" i="17"/>
  <c r="L47" i="17"/>
  <c r="E25" i="15"/>
  <c r="L568" i="17"/>
  <c r="L82" i="17"/>
  <c r="L49" i="17"/>
  <c r="L69" i="17"/>
  <c r="L258" i="17"/>
  <c r="L183" i="17"/>
  <c r="L136" i="17"/>
  <c r="L282" i="17"/>
  <c r="L182" i="17"/>
  <c r="L312" i="17"/>
  <c r="L317" i="17"/>
  <c r="L138" i="17"/>
  <c r="L379" i="17"/>
  <c r="L208" i="17"/>
  <c r="L320" i="17"/>
  <c r="L382" i="17"/>
  <c r="L548" i="17"/>
  <c r="L311" i="17"/>
  <c r="L198" i="17"/>
  <c r="L515" i="17"/>
  <c r="L347" i="17"/>
  <c r="L612" i="17"/>
  <c r="L375" i="17"/>
  <c r="L423" i="17"/>
  <c r="L402" i="17"/>
  <c r="L898" i="17"/>
  <c r="L503" i="17"/>
  <c r="L735" i="17"/>
  <c r="L650" i="17"/>
  <c r="L516" i="17"/>
  <c r="L693" i="17"/>
  <c r="L867" i="17"/>
  <c r="L680" i="17"/>
  <c r="L792" i="17"/>
  <c r="L716" i="17"/>
  <c r="L845" i="17"/>
  <c r="L917" i="17"/>
  <c r="L757" i="17"/>
  <c r="L854" i="17"/>
  <c r="L882" i="17"/>
  <c r="L966" i="17"/>
  <c r="L848" i="17"/>
  <c r="L897" i="17"/>
  <c r="L806" i="17"/>
  <c r="L863" i="17"/>
  <c r="H17" i="11"/>
  <c r="AA17" i="11"/>
  <c r="Y17" i="11"/>
  <c r="W14" i="11"/>
  <c r="X14" i="11" s="1"/>
  <c r="I14" i="11"/>
  <c r="H9" i="8"/>
  <c r="G9" i="8"/>
  <c r="J9" i="8" s="1"/>
  <c r="E10" i="8"/>
  <c r="F10" i="8"/>
  <c r="E23" i="15"/>
  <c r="G24" i="15"/>
  <c r="H44" i="11"/>
  <c r="I27" i="11"/>
  <c r="F8" i="8"/>
  <c r="E8" i="8"/>
  <c r="E16" i="14"/>
  <c r="L1023" i="17"/>
  <c r="C12" i="13"/>
  <c r="C18" i="13"/>
  <c r="C16" i="13"/>
  <c r="C13" i="13"/>
  <c r="J9" i="7"/>
  <c r="G23" i="15"/>
  <c r="B23" i="12"/>
  <c r="B27" i="2" s="1"/>
  <c r="B57" i="2" s="1"/>
  <c r="L55" i="17"/>
  <c r="L200" i="17"/>
  <c r="L359" i="17"/>
  <c r="L280" i="17"/>
  <c r="L456" i="17"/>
  <c r="L374" i="17"/>
  <c r="L146" i="17"/>
  <c r="L409" i="17"/>
  <c r="L225" i="17"/>
  <c r="L432" i="17"/>
  <c r="L327" i="17"/>
  <c r="L319" i="17"/>
  <c r="L209" i="17"/>
  <c r="L564" i="17"/>
  <c r="L352" i="17"/>
  <c r="L731" i="17"/>
  <c r="L386" i="17"/>
  <c r="L433" i="17"/>
  <c r="L440" i="17"/>
  <c r="L939" i="17"/>
  <c r="L514" i="17"/>
  <c r="L937" i="17"/>
  <c r="L702" i="17"/>
  <c r="L539" i="17"/>
  <c r="L719" i="17"/>
  <c r="L533" i="17"/>
  <c r="L685" i="17"/>
  <c r="L804" i="17"/>
  <c r="L736" i="17"/>
  <c r="L905" i="17"/>
  <c r="L931" i="17"/>
  <c r="L777" i="17"/>
  <c r="L971" i="17"/>
  <c r="L886" i="17"/>
  <c r="L993" i="17"/>
  <c r="L902" i="17"/>
  <c r="L904" i="17"/>
  <c r="L814" i="17"/>
  <c r="F22" i="15"/>
  <c r="F12" i="15"/>
  <c r="D49" i="13"/>
  <c r="F49" i="13" s="1"/>
  <c r="B9" i="17"/>
  <c r="D38" i="13"/>
  <c r="F38" i="13" s="1"/>
  <c r="B31" i="8" s="1"/>
  <c r="F26" i="13"/>
  <c r="B9" i="16" s="1"/>
  <c r="C34" i="7"/>
  <c r="I8" i="7"/>
  <c r="I12" i="7" s="1"/>
  <c r="B28" i="2"/>
  <c r="I10" i="7"/>
  <c r="I11" i="7"/>
  <c r="J11" i="7" s="1"/>
  <c r="C5" i="10"/>
  <c r="I9" i="7"/>
  <c r="C5" i="11"/>
  <c r="Q10" i="11" s="1"/>
  <c r="W24" i="11"/>
  <c r="X24" i="11" s="1"/>
  <c r="I24" i="11"/>
  <c r="E12" i="7"/>
  <c r="K8" i="7"/>
  <c r="K12" i="7"/>
  <c r="E24" i="15"/>
  <c r="C56" i="6"/>
  <c r="L94" i="17"/>
  <c r="L123" i="17"/>
  <c r="L54" i="17"/>
  <c r="L111" i="17"/>
  <c r="L235" i="17"/>
  <c r="L232" i="17"/>
  <c r="L517" i="17"/>
  <c r="L265" i="17"/>
  <c r="L74" i="17"/>
  <c r="L73" i="17"/>
  <c r="L623" i="17"/>
  <c r="L152" i="17"/>
  <c r="L339" i="17"/>
  <c r="K9" i="7"/>
  <c r="J10" i="7"/>
  <c r="L249" i="17"/>
  <c r="L389" i="17"/>
  <c r="L85" i="17"/>
  <c r="L77" i="17"/>
  <c r="L144" i="17"/>
  <c r="L120" i="17"/>
  <c r="L154" i="17"/>
  <c r="L478" i="17"/>
  <c r="L528" i="17"/>
  <c r="L485" i="17"/>
  <c r="L403" i="17"/>
  <c r="L159" i="17"/>
  <c r="L513" i="17"/>
  <c r="L227" i="17"/>
  <c r="L356" i="17"/>
  <c r="L553" i="17"/>
  <c r="L355" i="17"/>
  <c r="L340" i="17"/>
  <c r="L220" i="17"/>
  <c r="L611" i="17"/>
  <c r="L377" i="17"/>
  <c r="L754" i="17"/>
  <c r="L397" i="17"/>
  <c r="L445" i="17"/>
  <c r="L447" i="17"/>
  <c r="L561" i="17"/>
  <c r="L525" i="17"/>
  <c r="L579" i="17"/>
  <c r="L742" i="17"/>
  <c r="L606" i="17"/>
  <c r="L728" i="17"/>
  <c r="L544" i="17"/>
  <c r="L690" i="17"/>
  <c r="L832" i="17"/>
  <c r="L785" i="17"/>
  <c r="L912" i="17"/>
  <c r="L985" i="17"/>
  <c r="L788" i="17"/>
  <c r="L1035" i="17"/>
  <c r="L892" i="17"/>
  <c r="L1002" i="17"/>
  <c r="L920" i="17"/>
  <c r="L922" i="17"/>
  <c r="L827" i="17"/>
  <c r="L885" i="17"/>
  <c r="L11" i="6"/>
  <c r="L17" i="6"/>
  <c r="C49" i="13"/>
  <c r="H19" i="17"/>
  <c r="C38" i="13"/>
  <c r="I22" i="11"/>
  <c r="W22" i="11"/>
  <c r="X22" i="11" s="1"/>
  <c r="D18" i="13"/>
  <c r="F18" i="13" s="1"/>
  <c r="F10" i="13"/>
  <c r="D16" i="13"/>
  <c r="D13" i="13"/>
  <c r="D12" i="13"/>
  <c r="F12" i="13" s="1"/>
  <c r="F7" i="8"/>
  <c r="E7" i="8"/>
  <c r="I28" i="10"/>
  <c r="F25" i="15"/>
  <c r="L262" i="17"/>
  <c r="L58" i="17"/>
  <c r="L87" i="17"/>
  <c r="L81" i="17"/>
  <c r="L190" i="17"/>
  <c r="L129" i="17"/>
  <c r="L366" i="17"/>
  <c r="L567" i="17"/>
  <c r="L531" i="17"/>
  <c r="L818" i="17"/>
  <c r="L583" i="17"/>
  <c r="L167" i="17"/>
  <c r="L524" i="17"/>
  <c r="L279" i="17"/>
  <c r="L469" i="17"/>
  <c r="L674" i="17"/>
  <c r="L362" i="17"/>
  <c r="L373" i="17"/>
  <c r="L231" i="17"/>
  <c r="L666" i="17"/>
  <c r="L435" i="17"/>
  <c r="L980" i="17"/>
  <c r="L413" i="17"/>
  <c r="L470" i="17"/>
  <c r="L481" i="17"/>
  <c r="L625" i="17"/>
  <c r="L530" i="17"/>
  <c r="L586" i="17"/>
  <c r="L928" i="17"/>
  <c r="L689" i="17"/>
  <c r="L745" i="17"/>
  <c r="L555" i="17"/>
  <c r="L700" i="17"/>
  <c r="L1030" i="17"/>
  <c r="L802" i="17"/>
  <c r="L926" i="17"/>
  <c r="L946" i="17"/>
  <c r="L809" i="17"/>
  <c r="L965" i="17"/>
  <c r="L908" i="17"/>
  <c r="L1036" i="17"/>
  <c r="L954" i="17"/>
  <c r="L956" i="17"/>
  <c r="L835" i="17"/>
  <c r="L896" i="17"/>
  <c r="L92" i="17"/>
  <c r="L66" i="17"/>
  <c r="L93" i="17"/>
  <c r="L177" i="17"/>
  <c r="L133" i="17"/>
  <c r="L203" i="17"/>
  <c r="L645" i="17"/>
  <c r="L576" i="17"/>
  <c r="L45" i="17"/>
  <c r="L42" i="17"/>
  <c r="L592" i="17"/>
  <c r="L186" i="17"/>
  <c r="L590" i="17"/>
  <c r="L285" i="17"/>
  <c r="L496" i="17"/>
  <c r="L696" i="17"/>
  <c r="L371" i="17"/>
  <c r="L388" i="17"/>
  <c r="L242" i="17"/>
  <c r="L748" i="17"/>
  <c r="L491" i="17"/>
  <c r="L426" i="17"/>
  <c r="L418" i="17"/>
  <c r="L518" i="17"/>
  <c r="L543" i="17"/>
  <c r="L627" i="17"/>
  <c r="L542" i="17"/>
  <c r="L669" i="17"/>
  <c r="L1009" i="17"/>
  <c r="L709" i="17"/>
  <c r="L753" i="17"/>
  <c r="L566" i="17"/>
  <c r="L847" i="17"/>
  <c r="L667" i="17"/>
  <c r="L865" i="17"/>
  <c r="L948" i="17"/>
  <c r="L992" i="17"/>
  <c r="L860" i="17"/>
  <c r="L978" i="17"/>
  <c r="L910" i="17"/>
  <c r="L959" i="17"/>
  <c r="L1008" i="17"/>
  <c r="L1024" i="17"/>
  <c r="L856" i="17"/>
  <c r="L907" i="17"/>
  <c r="I29" i="11"/>
  <c r="J16" i="14"/>
  <c r="K10" i="7"/>
  <c r="E20" i="13" l="1"/>
  <c r="E22" i="13" s="1"/>
  <c r="E23" i="13" s="1"/>
  <c r="E14" i="13"/>
  <c r="E21" i="13"/>
  <c r="D31" i="2"/>
  <c r="C121" i="11"/>
  <c r="H47" i="11"/>
  <c r="O34" i="14"/>
  <c r="D10" i="15" s="1"/>
  <c r="U26" i="11"/>
  <c r="J34" i="14"/>
  <c r="H34" i="14"/>
  <c r="E34" i="14"/>
  <c r="F34" i="14"/>
  <c r="K34" i="14"/>
  <c r="D34" i="14"/>
  <c r="C10" i="15" s="1"/>
  <c r="H10" i="15" s="1"/>
  <c r="N34" i="14"/>
  <c r="E38" i="13"/>
  <c r="H8" i="11"/>
  <c r="AA8" i="11"/>
  <c r="I18" i="17"/>
  <c r="E37" i="13"/>
  <c r="E39" i="13"/>
  <c r="C34" i="14"/>
  <c r="B31" i="2"/>
  <c r="C20" i="13"/>
  <c r="C14" i="13"/>
  <c r="C21" i="13"/>
  <c r="H18" i="17"/>
  <c r="C37" i="13"/>
  <c r="C22" i="13"/>
  <c r="C23" i="13" s="1"/>
  <c r="C39" i="13"/>
  <c r="H8" i="10"/>
  <c r="I34" i="14"/>
  <c r="D17" i="17"/>
  <c r="B17" i="17"/>
  <c r="I12" i="11"/>
  <c r="C122" i="11"/>
  <c r="W12" i="11"/>
  <c r="X12" i="11" s="1"/>
  <c r="I17" i="11"/>
  <c r="W17" i="11"/>
  <c r="X17" i="11" s="1"/>
  <c r="H14" i="8"/>
  <c r="G14" i="8"/>
  <c r="J14" i="8" s="1"/>
  <c r="M34" i="14"/>
  <c r="D19" i="17"/>
  <c r="B19" i="17"/>
  <c r="E16" i="7"/>
  <c r="H30" i="6" s="1"/>
  <c r="I30" i="6" s="1"/>
  <c r="B47" i="2" s="1"/>
  <c r="E14" i="7"/>
  <c r="E19" i="7"/>
  <c r="H13" i="8"/>
  <c r="G13" i="8"/>
  <c r="J13" i="8" s="1"/>
  <c r="J8" i="7"/>
  <c r="E26" i="7" s="1"/>
  <c r="B46" i="2" s="1"/>
  <c r="I23" i="11"/>
  <c r="W23" i="11"/>
  <c r="X23" i="11" s="1"/>
  <c r="P9" i="5"/>
  <c r="F25" i="3"/>
  <c r="D25" i="5"/>
  <c r="H12" i="8"/>
  <c r="J12" i="8" s="1"/>
  <c r="G12" i="8"/>
  <c r="E40" i="13"/>
  <c r="H11" i="8"/>
  <c r="G11" i="8"/>
  <c r="J11" i="8"/>
  <c r="J7" i="8"/>
  <c r="H7" i="8"/>
  <c r="G7" i="8"/>
  <c r="C53" i="10"/>
  <c r="C9" i="10"/>
  <c r="E9" i="10" s="1"/>
  <c r="H8" i="8"/>
  <c r="G8" i="8"/>
  <c r="J8" i="8"/>
  <c r="B5" i="17"/>
  <c r="C31" i="2"/>
  <c r="D21" i="13"/>
  <c r="F21" i="13" s="1"/>
  <c r="D14" i="13"/>
  <c r="F14" i="13" s="1"/>
  <c r="D20" i="13"/>
  <c r="F20" i="13" s="1"/>
  <c r="F13" i="13"/>
  <c r="C40" i="13"/>
  <c r="F16" i="13"/>
  <c r="B6" i="16" s="1"/>
  <c r="B6" i="17"/>
  <c r="D39" i="13"/>
  <c r="F39" i="13" s="1"/>
  <c r="D37" i="13"/>
  <c r="F37" i="13" s="1"/>
  <c r="B45" i="2"/>
  <c r="L34" i="14"/>
  <c r="H10" i="8"/>
  <c r="G10" i="8"/>
  <c r="J10" i="8" s="1"/>
  <c r="F15" i="8"/>
  <c r="H6" i="8"/>
  <c r="G6" i="8"/>
  <c r="G15" i="8" s="1"/>
  <c r="G34" i="14"/>
  <c r="C24" i="13" l="1"/>
  <c r="E24" i="13"/>
  <c r="W8" i="11"/>
  <c r="I8" i="11"/>
  <c r="H15" i="8"/>
  <c r="E14" i="14"/>
  <c r="H14" i="14"/>
  <c r="G14" i="14"/>
  <c r="F14" i="14"/>
  <c r="D14" i="14"/>
  <c r="C14" i="14"/>
  <c r="E22" i="7"/>
  <c r="E23" i="7" s="1"/>
  <c r="J14" i="14"/>
  <c r="I14" i="14"/>
  <c r="N14" i="14"/>
  <c r="O14" i="14"/>
  <c r="L14" i="14"/>
  <c r="M14" i="14"/>
  <c r="K14" i="14"/>
  <c r="M1033" i="17"/>
  <c r="M1022" i="17"/>
  <c r="M1011" i="17"/>
  <c r="M1000" i="17"/>
  <c r="M989" i="17"/>
  <c r="M978" i="17"/>
  <c r="M967" i="17"/>
  <c r="M956" i="17"/>
  <c r="M945" i="17"/>
  <c r="M934" i="17"/>
  <c r="M923" i="17"/>
  <c r="M912" i="17"/>
  <c r="M901" i="17"/>
  <c r="M1039" i="17"/>
  <c r="M1029" i="17"/>
  <c r="M1024" i="17"/>
  <c r="M971" i="17"/>
  <c r="M966" i="17"/>
  <c r="M961" i="17"/>
  <c r="M908" i="17"/>
  <c r="M903" i="17"/>
  <c r="M890" i="17"/>
  <c r="M882" i="17"/>
  <c r="M869" i="17"/>
  <c r="M861" i="17"/>
  <c r="M984" i="17"/>
  <c r="M979" i="17"/>
  <c r="M931" i="17"/>
  <c r="M926" i="17"/>
  <c r="M921" i="17"/>
  <c r="M885" i="17"/>
  <c r="M864" i="17"/>
  <c r="M843" i="17"/>
  <c r="M822" i="17"/>
  <c r="M1017" i="17"/>
  <c r="M1012" i="17"/>
  <c r="M964" i="17"/>
  <c r="M959" i="17"/>
  <c r="M954" i="17"/>
  <c r="M888" i="17"/>
  <c r="M859" i="17"/>
  <c r="M1038" i="17"/>
  <c r="M990" i="17"/>
  <c r="M972" i="17"/>
  <c r="M963" i="17"/>
  <c r="M929" i="17"/>
  <c r="M876" i="17"/>
  <c r="M810" i="17"/>
  <c r="M797" i="17"/>
  <c r="M1031" i="17"/>
  <c r="M1008" i="17"/>
  <c r="M999" i="17"/>
  <c r="M981" i="17"/>
  <c r="M920" i="17"/>
  <c r="M911" i="17"/>
  <c r="M902" i="17"/>
  <c r="M848" i="17"/>
  <c r="M838" i="17"/>
  <c r="M833" i="17"/>
  <c r="M805" i="17"/>
  <c r="M781" i="17"/>
  <c r="M770" i="17"/>
  <c r="M1015" i="17"/>
  <c r="M997" i="17"/>
  <c r="M988" i="17"/>
  <c r="M947" i="17"/>
  <c r="M938" i="17"/>
  <c r="M895" i="17"/>
  <c r="M881" i="17"/>
  <c r="M867" i="17"/>
  <c r="M1013" i="17"/>
  <c r="M968" i="17"/>
  <c r="M1027" i="17"/>
  <c r="M1020" i="17"/>
  <c r="M995" i="17"/>
  <c r="M977" i="17"/>
  <c r="M925" i="17"/>
  <c r="M893" i="17"/>
  <c r="M886" i="17"/>
  <c r="M879" i="17"/>
  <c r="M858" i="17"/>
  <c r="M851" i="17"/>
  <c r="M836" i="17"/>
  <c r="M808" i="17"/>
  <c r="M787" i="17"/>
  <c r="M776" i="17"/>
  <c r="M765" i="17"/>
  <c r="M986" i="17"/>
  <c r="M952" i="17"/>
  <c r="M1018" i="17"/>
  <c r="M950" i="17"/>
  <c r="M932" i="17"/>
  <c r="M914" i="17"/>
  <c r="M905" i="17"/>
  <c r="M898" i="17"/>
  <c r="M816" i="17"/>
  <c r="M811" i="17"/>
  <c r="M798" i="17"/>
  <c r="M1036" i="17"/>
  <c r="M1006" i="17"/>
  <c r="M970" i="17"/>
  <c r="M910" i="17"/>
  <c r="M892" i="17"/>
  <c r="M884" i="17"/>
  <c r="M878" i="17"/>
  <c r="M870" i="17"/>
  <c r="M868" i="17"/>
  <c r="M862" i="17"/>
  <c r="M794" i="17"/>
  <c r="M785" i="17"/>
  <c r="M751" i="17"/>
  <c r="M740" i="17"/>
  <c r="M1019" i="17"/>
  <c r="M993" i="17"/>
  <c r="M991" i="17"/>
  <c r="M904" i="17"/>
  <c r="M846" i="17"/>
  <c r="M835" i="17"/>
  <c r="M818" i="17"/>
  <c r="M1025" i="17"/>
  <c r="M974" i="17"/>
  <c r="M951" i="17"/>
  <c r="M924" i="17"/>
  <c r="M820" i="17"/>
  <c r="M790" i="17"/>
  <c r="M1010" i="17"/>
  <c r="M976" i="17"/>
  <c r="M957" i="17"/>
  <c r="M955" i="17"/>
  <c r="M953" i="17"/>
  <c r="M844" i="17"/>
  <c r="M965" i="17"/>
  <c r="M913" i="17"/>
  <c r="M766" i="17"/>
  <c r="M741" i="17"/>
  <c r="M725" i="17"/>
  <c r="M714" i="17"/>
  <c r="M703" i="17"/>
  <c r="M692" i="17"/>
  <c r="M681" i="17"/>
  <c r="M670" i="17"/>
  <c r="M1014" i="17"/>
  <c r="M1004" i="17"/>
  <c r="M944" i="17"/>
  <c r="M940" i="17"/>
  <c r="M922" i="17"/>
  <c r="M860" i="17"/>
  <c r="M809" i="17"/>
  <c r="M788" i="17"/>
  <c r="M777" i="17"/>
  <c r="M757" i="17"/>
  <c r="M749" i="17"/>
  <c r="M973" i="17"/>
  <c r="M942" i="17"/>
  <c r="M856" i="17"/>
  <c r="M817" i="17"/>
  <c r="M775" i="17"/>
  <c r="M736" i="17"/>
  <c r="M728" i="17"/>
  <c r="M717" i="17"/>
  <c r="M706" i="17"/>
  <c r="M983" i="17"/>
  <c r="M915" i="17"/>
  <c r="M899" i="17"/>
  <c r="M875" i="17"/>
  <c r="M873" i="17"/>
  <c r="M871" i="17"/>
  <c r="M815" i="17"/>
  <c r="M807" i="17"/>
  <c r="M773" i="17"/>
  <c r="M764" i="17"/>
  <c r="M762" i="17"/>
  <c r="M744" i="17"/>
  <c r="M1026" i="17"/>
  <c r="M1021" i="17"/>
  <c r="M1016" i="17"/>
  <c r="M992" i="17"/>
  <c r="M946" i="17"/>
  <c r="M897" i="17"/>
  <c r="M786" i="17"/>
  <c r="M784" i="17"/>
  <c r="M752" i="17"/>
  <c r="M731" i="17"/>
  <c r="M720" i="17"/>
  <c r="M709" i="17"/>
  <c r="M985" i="17"/>
  <c r="M917" i="17"/>
  <c r="M877" i="17"/>
  <c r="M801" i="17"/>
  <c r="M987" i="17"/>
  <c r="M975" i="17"/>
  <c r="M935" i="17"/>
  <c r="M933" i="17"/>
  <c r="M919" i="17"/>
  <c r="M831" i="17"/>
  <c r="M819" i="17"/>
  <c r="M803" i="17"/>
  <c r="M799" i="17"/>
  <c r="M782" i="17"/>
  <c r="M760" i="17"/>
  <c r="M747" i="17"/>
  <c r="M723" i="17"/>
  <c r="M712" i="17"/>
  <c r="M1001" i="17"/>
  <c r="M958" i="17"/>
  <c r="M948" i="17"/>
  <c r="M866" i="17"/>
  <c r="M845" i="17"/>
  <c r="M841" i="17"/>
  <c r="M837" i="17"/>
  <c r="M829" i="17"/>
  <c r="M823" i="17"/>
  <c r="M821" i="17"/>
  <c r="M771" i="17"/>
  <c r="M755" i="17"/>
  <c r="M1028" i="17"/>
  <c r="M980" i="17"/>
  <c r="M847" i="17"/>
  <c r="M839" i="17"/>
  <c r="M825" i="17"/>
  <c r="M780" i="17"/>
  <c r="M769" i="17"/>
  <c r="M928" i="17"/>
  <c r="M814" i="17"/>
  <c r="M767" i="17"/>
  <c r="M758" i="17"/>
  <c r="M927" i="17"/>
  <c r="M865" i="17"/>
  <c r="M802" i="17"/>
  <c r="M716" i="17"/>
  <c r="M659" i="17"/>
  <c r="M648" i="17"/>
  <c r="M637" i="17"/>
  <c r="M626" i="17"/>
  <c r="M615" i="17"/>
  <c r="M604" i="17"/>
  <c r="M593" i="17"/>
  <c r="M582" i="17"/>
  <c r="M571" i="17"/>
  <c r="M560" i="17"/>
  <c r="M549" i="17"/>
  <c r="M538" i="17"/>
  <c r="M527" i="17"/>
  <c r="M918" i="17"/>
  <c r="M906" i="17"/>
  <c r="M842" i="17"/>
  <c r="M778" i="17"/>
  <c r="M695" i="17"/>
  <c r="M667" i="17"/>
  <c r="M1030" i="17"/>
  <c r="M943" i="17"/>
  <c r="M900" i="17"/>
  <c r="M850" i="17"/>
  <c r="M832" i="17"/>
  <c r="M804" i="17"/>
  <c r="M792" i="17"/>
  <c r="M734" i="17"/>
  <c r="M707" i="17"/>
  <c r="M662" i="17"/>
  <c r="M651" i="17"/>
  <c r="M640" i="17"/>
  <c r="M629" i="17"/>
  <c r="M618" i="17"/>
  <c r="M607" i="17"/>
  <c r="M969" i="17"/>
  <c r="M949" i="17"/>
  <c r="M887" i="17"/>
  <c r="M827" i="17"/>
  <c r="M700" i="17"/>
  <c r="M690" i="17"/>
  <c r="M685" i="17"/>
  <c r="M680" i="17"/>
  <c r="M675" i="17"/>
  <c r="M996" i="17"/>
  <c r="M857" i="17"/>
  <c r="M834" i="17"/>
  <c r="M732" i="17"/>
  <c r="M705" i="17"/>
  <c r="M665" i="17"/>
  <c r="M654" i="17"/>
  <c r="M643" i="17"/>
  <c r="M632" i="17"/>
  <c r="M621" i="17"/>
  <c r="M610" i="17"/>
  <c r="M599" i="17"/>
  <c r="M852" i="17"/>
  <c r="M806" i="17"/>
  <c r="M730" i="17"/>
  <c r="M698" i="17"/>
  <c r="M1035" i="17"/>
  <c r="M889" i="17"/>
  <c r="M743" i="17"/>
  <c r="M721" i="17"/>
  <c r="M657" i="17"/>
  <c r="M646" i="17"/>
  <c r="M635" i="17"/>
  <c r="M624" i="17"/>
  <c r="M613" i="17"/>
  <c r="M1023" i="17"/>
  <c r="M1003" i="17"/>
  <c r="M998" i="17"/>
  <c r="M960" i="17"/>
  <c r="M894" i="17"/>
  <c r="M753" i="17"/>
  <c r="M745" i="17"/>
  <c r="M719" i="17"/>
  <c r="M693" i="17"/>
  <c r="M688" i="17"/>
  <c r="M683" i="17"/>
  <c r="M673" i="17"/>
  <c r="M1032" i="17"/>
  <c r="M854" i="17"/>
  <c r="M761" i="17"/>
  <c r="M739" i="17"/>
  <c r="M710" i="17"/>
  <c r="M660" i="17"/>
  <c r="M649" i="17"/>
  <c r="M896" i="17"/>
  <c r="M824" i="17"/>
  <c r="M791" i="17"/>
  <c r="M763" i="17"/>
  <c r="M701" i="17"/>
  <c r="M696" i="17"/>
  <c r="M691" i="17"/>
  <c r="M686" i="17"/>
  <c r="M676" i="17"/>
  <c r="M768" i="17"/>
  <c r="M608" i="17"/>
  <c r="M565" i="17"/>
  <c r="M558" i="17"/>
  <c r="M551" i="17"/>
  <c r="M544" i="17"/>
  <c r="M1009" i="17"/>
  <c r="M742" i="17"/>
  <c r="M733" i="17"/>
  <c r="M702" i="17"/>
  <c r="M650" i="17"/>
  <c r="M602" i="17"/>
  <c r="M572" i="17"/>
  <c r="M532" i="17"/>
  <c r="M519" i="17"/>
  <c r="M508" i="17"/>
  <c r="M497" i="17"/>
  <c r="M486" i="17"/>
  <c r="M475" i="17"/>
  <c r="M464" i="17"/>
  <c r="M453" i="17"/>
  <c r="M442" i="17"/>
  <c r="M431" i="17"/>
  <c r="M420" i="17"/>
  <c r="M828" i="17"/>
  <c r="M704" i="17"/>
  <c r="M684" i="17"/>
  <c r="M682" i="17"/>
  <c r="M669" i="17"/>
  <c r="M652" i="17"/>
  <c r="M586" i="17"/>
  <c r="M579" i="17"/>
  <c r="M937" i="17"/>
  <c r="M874" i="17"/>
  <c r="M735" i="17"/>
  <c r="M577" i="17"/>
  <c r="M537" i="17"/>
  <c r="M522" i="17"/>
  <c r="M511" i="17"/>
  <c r="M500" i="17"/>
  <c r="M489" i="17"/>
  <c r="M478" i="17"/>
  <c r="M467" i="17"/>
  <c r="M456" i="17"/>
  <c r="M445" i="17"/>
  <c r="M434" i="17"/>
  <c r="M994" i="17"/>
  <c r="M840" i="17"/>
  <c r="M795" i="17"/>
  <c r="M671" i="17"/>
  <c r="M600" i="17"/>
  <c r="M591" i="17"/>
  <c r="M584" i="17"/>
  <c r="M570" i="17"/>
  <c r="M563" i="17"/>
  <c r="M556" i="17"/>
  <c r="M718" i="17"/>
  <c r="M711" i="17"/>
  <c r="M656" i="17"/>
  <c r="M598" i="17"/>
  <c r="M542" i="17"/>
  <c r="M530" i="17"/>
  <c r="M525" i="17"/>
  <c r="M514" i="17"/>
  <c r="M503" i="17"/>
  <c r="M492" i="17"/>
  <c r="M481" i="17"/>
  <c r="M470" i="17"/>
  <c r="M459" i="17"/>
  <c r="M448" i="17"/>
  <c r="M962" i="17"/>
  <c r="M883" i="17"/>
  <c r="M880" i="17"/>
  <c r="M855" i="17"/>
  <c r="M849" i="17"/>
  <c r="M759" i="17"/>
  <c r="M697" i="17"/>
  <c r="M658" i="17"/>
  <c r="M639" i="17"/>
  <c r="M631" i="17"/>
  <c r="M554" i="17"/>
  <c r="M547" i="17"/>
  <c r="M930" i="17"/>
  <c r="M812" i="17"/>
  <c r="M789" i="17"/>
  <c r="M737" i="17"/>
  <c r="M713" i="17"/>
  <c r="M641" i="17"/>
  <c r="M633" i="17"/>
  <c r="M627" i="17"/>
  <c r="M625" i="17"/>
  <c r="M561" i="17"/>
  <c r="M800" i="17"/>
  <c r="M699" i="17"/>
  <c r="M623" i="17"/>
  <c r="M617" i="17"/>
  <c r="M609" i="17"/>
  <c r="M589" i="17"/>
  <c r="M575" i="17"/>
  <c r="M568" i="17"/>
  <c r="M540" i="17"/>
  <c r="M535" i="17"/>
  <c r="M936" i="17"/>
  <c r="M746" i="17"/>
  <c r="M666" i="17"/>
  <c r="M605" i="17"/>
  <c r="M594" i="17"/>
  <c r="M941" i="17"/>
  <c r="M907" i="17"/>
  <c r="M863" i="17"/>
  <c r="M724" i="17"/>
  <c r="M668" i="17"/>
  <c r="M647" i="17"/>
  <c r="M603" i="17"/>
  <c r="M559" i="17"/>
  <c r="M534" i="17"/>
  <c r="M520" i="17"/>
  <c r="M483" i="17"/>
  <c r="M463" i="17"/>
  <c r="M454" i="17"/>
  <c r="M410" i="17"/>
  <c r="M729" i="17"/>
  <c r="M687" i="17"/>
  <c r="M642" i="17"/>
  <c r="M545" i="17"/>
  <c r="M536" i="17"/>
  <c r="M518" i="17"/>
  <c r="M433" i="17"/>
  <c r="M423" i="17"/>
  <c r="M394" i="17"/>
  <c r="M383" i="17"/>
  <c r="M372" i="17"/>
  <c r="M361" i="17"/>
  <c r="M350" i="17"/>
  <c r="M339" i="17"/>
  <c r="M328" i="17"/>
  <c r="M317" i="17"/>
  <c r="M622" i="17"/>
  <c r="M501" i="17"/>
  <c r="M499" i="17"/>
  <c r="M490" i="17"/>
  <c r="M472" i="17"/>
  <c r="M452" i="17"/>
  <c r="M405" i="17"/>
  <c r="M813" i="17"/>
  <c r="M738" i="17"/>
  <c r="M516" i="17"/>
  <c r="M488" i="17"/>
  <c r="M438" i="17"/>
  <c r="M428" i="17"/>
  <c r="M418" i="17"/>
  <c r="M413" i="17"/>
  <c r="M397" i="17"/>
  <c r="M386" i="17"/>
  <c r="M375" i="17"/>
  <c r="M364" i="17"/>
  <c r="M353" i="17"/>
  <c r="M1007" i="17"/>
  <c r="M826" i="17"/>
  <c r="M772" i="17"/>
  <c r="M726" i="17"/>
  <c r="M715" i="17"/>
  <c r="M644" i="17"/>
  <c r="M510" i="17"/>
  <c r="M479" i="17"/>
  <c r="M461" i="17"/>
  <c r="M793" i="17"/>
  <c r="M678" i="17"/>
  <c r="M512" i="17"/>
  <c r="M477" i="17"/>
  <c r="M443" i="17"/>
  <c r="M408" i="17"/>
  <c r="M400" i="17"/>
  <c r="M389" i="17"/>
  <c r="M916" i="17"/>
  <c r="M872" i="17"/>
  <c r="M796" i="17"/>
  <c r="M634" i="17"/>
  <c r="M595" i="17"/>
  <c r="M588" i="17"/>
  <c r="M495" i="17"/>
  <c r="M468" i="17"/>
  <c r="M450" i="17"/>
  <c r="M426" i="17"/>
  <c r="M754" i="17"/>
  <c r="M612" i="17"/>
  <c r="M581" i="17"/>
  <c r="M506" i="17"/>
  <c r="M466" i="17"/>
  <c r="M436" i="17"/>
  <c r="M421" i="17"/>
  <c r="M416" i="17"/>
  <c r="M392" i="17"/>
  <c r="M381" i="17"/>
  <c r="M370" i="17"/>
  <c r="M909" i="17"/>
  <c r="M694" i="17"/>
  <c r="M689" i="17"/>
  <c r="M636" i="17"/>
  <c r="M597" i="17"/>
  <c r="M583" i="17"/>
  <c r="M529" i="17"/>
  <c r="M484" i="17"/>
  <c r="M457" i="17"/>
  <c r="M441" i="17"/>
  <c r="M411" i="17"/>
  <c r="M403" i="17"/>
  <c r="M748" i="17"/>
  <c r="M708" i="17"/>
  <c r="M664" i="17"/>
  <c r="M590" i="17"/>
  <c r="M553" i="17"/>
  <c r="M523" i="17"/>
  <c r="M517" i="17"/>
  <c r="M502" i="17"/>
  <c r="M491" i="17"/>
  <c r="M482" i="17"/>
  <c r="M429" i="17"/>
  <c r="M424" i="17"/>
  <c r="M419" i="17"/>
  <c r="M406" i="17"/>
  <c r="M398" i="17"/>
  <c r="M783" i="17"/>
  <c r="M620" i="17"/>
  <c r="M611" i="17"/>
  <c r="M564" i="17"/>
  <c r="M515" i="17"/>
  <c r="M465" i="17"/>
  <c r="M458" i="17"/>
  <c r="M437" i="17"/>
  <c r="M337" i="17"/>
  <c r="M316" i="17"/>
  <c r="M614" i="17"/>
  <c r="M444" i="17"/>
  <c r="M415" i="17"/>
  <c r="M357" i="17"/>
  <c r="M345" i="17"/>
  <c r="M324" i="17"/>
  <c r="M308" i="17"/>
  <c r="M297" i="17"/>
  <c r="M286" i="17"/>
  <c r="M275" i="17"/>
  <c r="M264" i="17"/>
  <c r="M253" i="17"/>
  <c r="M242" i="17"/>
  <c r="M231" i="17"/>
  <c r="M220" i="17"/>
  <c r="M209" i="17"/>
  <c r="M198" i="17"/>
  <c r="M187" i="17"/>
  <c r="M176" i="17"/>
  <c r="M546" i="17"/>
  <c r="M493" i="17"/>
  <c r="M460" i="17"/>
  <c r="M396" i="17"/>
  <c r="M332" i="17"/>
  <c r="M722" i="17"/>
  <c r="M677" i="17"/>
  <c r="M672" i="17"/>
  <c r="M663" i="17"/>
  <c r="M628" i="17"/>
  <c r="M569" i="17"/>
  <c r="M507" i="17"/>
  <c r="M505" i="17"/>
  <c r="M417" i="17"/>
  <c r="M390" i="17"/>
  <c r="M388" i="17"/>
  <c r="M373" i="17"/>
  <c r="M340" i="17"/>
  <c r="M319" i="17"/>
  <c r="M311" i="17"/>
  <c r="M300" i="17"/>
  <c r="M289" i="17"/>
  <c r="M278" i="17"/>
  <c r="M267" i="17"/>
  <c r="M256" i="17"/>
  <c r="M245" i="17"/>
  <c r="M234" i="17"/>
  <c r="M223" i="17"/>
  <c r="M212" i="17"/>
  <c r="M201" i="17"/>
  <c r="M190" i="17"/>
  <c r="M982" i="17"/>
  <c r="M543" i="17"/>
  <c r="M474" i="17"/>
  <c r="M455" i="17"/>
  <c r="M446" i="17"/>
  <c r="M430" i="17"/>
  <c r="M404" i="17"/>
  <c r="M371" i="17"/>
  <c r="M362" i="17"/>
  <c r="M355" i="17"/>
  <c r="M327" i="17"/>
  <c r="M566" i="17"/>
  <c r="M548" i="17"/>
  <c r="M509" i="17"/>
  <c r="M476" i="17"/>
  <c r="M462" i="17"/>
  <c r="M439" i="17"/>
  <c r="M402" i="17"/>
  <c r="M384" i="17"/>
  <c r="M335" i="17"/>
  <c r="M303" i="17"/>
  <c r="M292" i="17"/>
  <c r="M281" i="17"/>
  <c r="M270" i="17"/>
  <c r="M259" i="17"/>
  <c r="M248" i="17"/>
  <c r="M237" i="17"/>
  <c r="M226" i="17"/>
  <c r="M215" i="17"/>
  <c r="M204" i="17"/>
  <c r="M193" i="17"/>
  <c r="M182" i="17"/>
  <c r="M939" i="17"/>
  <c r="M779" i="17"/>
  <c r="M756" i="17"/>
  <c r="M750" i="17"/>
  <c r="M674" i="17"/>
  <c r="M432" i="17"/>
  <c r="M382" i="17"/>
  <c r="M367" i="17"/>
  <c r="M360" i="17"/>
  <c r="M322" i="17"/>
  <c r="M314" i="17"/>
  <c r="M830" i="17"/>
  <c r="M630" i="17"/>
  <c r="M619" i="17"/>
  <c r="M616" i="17"/>
  <c r="M596" i="17"/>
  <c r="M585" i="17"/>
  <c r="M574" i="17"/>
  <c r="M369" i="17"/>
  <c r="M348" i="17"/>
  <c r="M343" i="17"/>
  <c r="M330" i="17"/>
  <c r="M306" i="17"/>
  <c r="M295" i="17"/>
  <c r="M284" i="17"/>
  <c r="M550" i="17"/>
  <c r="M524" i="17"/>
  <c r="M469" i="17"/>
  <c r="M378" i="17"/>
  <c r="M338" i="17"/>
  <c r="M679" i="17"/>
  <c r="M638" i="17"/>
  <c r="M533" i="17"/>
  <c r="M407" i="17"/>
  <c r="M377" i="17"/>
  <c r="M363" i="17"/>
  <c r="M285" i="17"/>
  <c r="M283" i="17"/>
  <c r="M279" i="17"/>
  <c r="M227" i="17"/>
  <c r="M225" i="17"/>
  <c r="M208" i="17"/>
  <c r="M179" i="17"/>
  <c r="M164" i="17"/>
  <c r="M143" i="17"/>
  <c r="M555" i="17"/>
  <c r="M552" i="17"/>
  <c r="M447" i="17"/>
  <c r="M427" i="17"/>
  <c r="M422" i="17"/>
  <c r="M414" i="17"/>
  <c r="M399" i="17"/>
  <c r="M365" i="17"/>
  <c r="M341" i="17"/>
  <c r="M291" i="17"/>
  <c r="M250" i="17"/>
  <c r="M197" i="17"/>
  <c r="M188" i="17"/>
  <c r="M174" i="17"/>
  <c r="M127" i="17"/>
  <c r="M116" i="17"/>
  <c r="M105" i="17"/>
  <c r="M513" i="17"/>
  <c r="M409" i="17"/>
  <c r="M379" i="17"/>
  <c r="M326" i="17"/>
  <c r="M271" i="17"/>
  <c r="M269" i="17"/>
  <c r="M244" i="17"/>
  <c r="M221" i="17"/>
  <c r="M151" i="17"/>
  <c r="M891" i="17"/>
  <c r="M587" i="17"/>
  <c r="M498" i="17"/>
  <c r="M449" i="17"/>
  <c r="M401" i="17"/>
  <c r="M358" i="17"/>
  <c r="M299" i="17"/>
  <c r="M293" i="17"/>
  <c r="M246" i="17"/>
  <c r="M240" i="17"/>
  <c r="M219" i="17"/>
  <c r="M206" i="17"/>
  <c r="M186" i="17"/>
  <c r="M167" i="17"/>
  <c r="M159" i="17"/>
  <c r="M146" i="17"/>
  <c r="M138" i="17"/>
  <c r="M130" i="17"/>
  <c r="M119" i="17"/>
  <c r="M108" i="17"/>
  <c r="M97" i="17"/>
  <c r="M86" i="17"/>
  <c r="M75" i="17"/>
  <c r="M774" i="17"/>
  <c r="M485" i="17"/>
  <c r="M301" i="17"/>
  <c r="M265" i="17"/>
  <c r="M172" i="17"/>
  <c r="M154" i="17"/>
  <c r="M653" i="17"/>
  <c r="M580" i="17"/>
  <c r="M521" i="17"/>
  <c r="M471" i="17"/>
  <c r="M451" i="17"/>
  <c r="M391" i="17"/>
  <c r="M349" i="17"/>
  <c r="M347" i="17"/>
  <c r="M334" i="17"/>
  <c r="M307" i="17"/>
  <c r="M305" i="17"/>
  <c r="M238" i="17"/>
  <c r="M236" i="17"/>
  <c r="M177" i="17"/>
  <c r="M592" i="17"/>
  <c r="M374" i="17"/>
  <c r="M313" i="17"/>
  <c r="M261" i="17"/>
  <c r="M202" i="17"/>
  <c r="M1002" i="17"/>
  <c r="M557" i="17"/>
  <c r="M487" i="17"/>
  <c r="M393" i="17"/>
  <c r="M351" i="17"/>
  <c r="M255" i="17"/>
  <c r="M232" i="17"/>
  <c r="M213" i="17"/>
  <c r="M211" i="17"/>
  <c r="M200" i="17"/>
  <c r="M170" i="17"/>
  <c r="M165" i="17"/>
  <c r="M136" i="17"/>
  <c r="M312" i="17"/>
  <c r="M257" i="17"/>
  <c r="M243" i="17"/>
  <c r="M168" i="17"/>
  <c r="M134" i="17"/>
  <c r="M88" i="17"/>
  <c r="M352" i="17"/>
  <c r="M229" i="17"/>
  <c r="M191" i="17"/>
  <c r="M166" i="17"/>
  <c r="M132" i="17"/>
  <c r="M110" i="17"/>
  <c r="M96" i="17"/>
  <c r="M67" i="17"/>
  <c r="M56" i="17"/>
  <c r="M45" i="17"/>
  <c r="M531" i="17"/>
  <c r="M528" i="17"/>
  <c r="M280" i="17"/>
  <c r="M149" i="17"/>
  <c r="M101" i="17"/>
  <c r="M344" i="17"/>
  <c r="M273" i="17"/>
  <c r="M195" i="17"/>
  <c r="M178" i="17"/>
  <c r="M147" i="17"/>
  <c r="M145" i="17"/>
  <c r="M91" i="17"/>
  <c r="M83" i="17"/>
  <c r="M70" i="17"/>
  <c r="M59" i="17"/>
  <c r="M48" i="17"/>
  <c r="M541" i="17"/>
  <c r="M496" i="17"/>
  <c r="M354" i="17"/>
  <c r="M287" i="17"/>
  <c r="M266" i="17"/>
  <c r="M222" i="17"/>
  <c r="M217" i="17"/>
  <c r="M184" i="17"/>
  <c r="M180" i="17"/>
  <c r="M162" i="17"/>
  <c r="M78" i="17"/>
  <c r="M576" i="17"/>
  <c r="M567" i="17"/>
  <c r="M346" i="17"/>
  <c r="M302" i="17"/>
  <c r="M252" i="17"/>
  <c r="M128" i="17"/>
  <c r="M117" i="17"/>
  <c r="M62" i="17"/>
  <c r="M51" i="17"/>
  <c r="M40" i="17"/>
  <c r="M573" i="17"/>
  <c r="M853" i="17"/>
  <c r="M412" i="17"/>
  <c r="M380" i="17"/>
  <c r="M329" i="17"/>
  <c r="M321" i="17"/>
  <c r="M304" i="17"/>
  <c r="M254" i="17"/>
  <c r="M224" i="17"/>
  <c r="M106" i="17"/>
  <c r="M94" i="17"/>
  <c r="M81" i="17"/>
  <c r="M73" i="17"/>
  <c r="M65" i="17"/>
  <c r="M54" i="17"/>
  <c r="M43" i="17"/>
  <c r="M645" i="17"/>
  <c r="M356" i="17"/>
  <c r="M277" i="17"/>
  <c r="M247" i="17"/>
  <c r="M235" i="17"/>
  <c r="M199" i="17"/>
  <c r="M156" i="17"/>
  <c r="M137" i="17"/>
  <c r="M124" i="17"/>
  <c r="M111" i="17"/>
  <c r="M68" i="17"/>
  <c r="M57" i="17"/>
  <c r="M46" i="17"/>
  <c r="M294" i="17"/>
  <c r="M181" i="17"/>
  <c r="M100" i="17"/>
  <c r="M98" i="17"/>
  <c r="M44" i="17"/>
  <c r="M368" i="17"/>
  <c r="M203" i="17"/>
  <c r="M173" i="17"/>
  <c r="M129" i="17"/>
  <c r="M122" i="17"/>
  <c r="M120" i="17"/>
  <c r="M183" i="17"/>
  <c r="M161" i="17"/>
  <c r="M42" i="17"/>
  <c r="M376" i="17"/>
  <c r="M288" i="17"/>
  <c r="M175" i="17"/>
  <c r="M131" i="17"/>
  <c r="M115" i="17"/>
  <c r="M113" i="17"/>
  <c r="M601" i="17"/>
  <c r="M385" i="17"/>
  <c r="M296" i="17"/>
  <c r="M263" i="17"/>
  <c r="M210" i="17"/>
  <c r="M205" i="17"/>
  <c r="M185" i="17"/>
  <c r="M163" i="17"/>
  <c r="M142" i="17"/>
  <c r="M140" i="17"/>
  <c r="M133" i="17"/>
  <c r="M104" i="17"/>
  <c r="M102" i="17"/>
  <c r="M539" i="17"/>
  <c r="M435" i="17"/>
  <c r="M425" i="17"/>
  <c r="M158" i="17"/>
  <c r="M144" i="17"/>
  <c r="M655" i="17"/>
  <c r="M272" i="17"/>
  <c r="M258" i="17"/>
  <c r="M207" i="17"/>
  <c r="M126" i="17"/>
  <c r="M387" i="17"/>
  <c r="M359" i="17"/>
  <c r="M318" i="17"/>
  <c r="M310" i="17"/>
  <c r="M298" i="17"/>
  <c r="M274" i="17"/>
  <c r="M77" i="17"/>
  <c r="M69" i="17"/>
  <c r="M1005" i="17"/>
  <c r="M504" i="17"/>
  <c r="M494" i="17"/>
  <c r="M323" i="17"/>
  <c r="M315" i="17"/>
  <c r="M290" i="17"/>
  <c r="M282" i="17"/>
  <c r="M260" i="17"/>
  <c r="M228" i="17"/>
  <c r="M135" i="17"/>
  <c r="M89" i="17"/>
  <c r="M79" i="17"/>
  <c r="M71" i="17"/>
  <c r="M63" i="17"/>
  <c r="M61" i="17"/>
  <c r="M1034" i="17"/>
  <c r="M606" i="17"/>
  <c r="M99" i="17"/>
  <c r="M95" i="17"/>
  <c r="M93" i="17"/>
  <c r="M87" i="17"/>
  <c r="M85" i="17"/>
  <c r="M55" i="17"/>
  <c r="M49" i="17"/>
  <c r="M47" i="17"/>
  <c r="M661" i="17"/>
  <c r="M395" i="17"/>
  <c r="M276" i="17"/>
  <c r="M262" i="17"/>
  <c r="M239" i="17"/>
  <c r="M233" i="17"/>
  <c r="M160" i="17"/>
  <c r="M53" i="17"/>
  <c r="M1037" i="17"/>
  <c r="M320" i="17"/>
  <c r="M268" i="17"/>
  <c r="M249" i="17"/>
  <c r="M230" i="17"/>
  <c r="M139" i="17"/>
  <c r="M121" i="17"/>
  <c r="M114" i="17"/>
  <c r="M309" i="17"/>
  <c r="M214" i="17"/>
  <c r="M194" i="17"/>
  <c r="M189" i="17"/>
  <c r="M169" i="17"/>
  <c r="M157" i="17"/>
  <c r="M123" i="17"/>
  <c r="M103" i="17"/>
  <c r="M480" i="17"/>
  <c r="M727" i="17"/>
  <c r="M333" i="17"/>
  <c r="M171" i="17"/>
  <c r="M125" i="17"/>
  <c r="M64" i="17"/>
  <c r="M578" i="17"/>
  <c r="M241" i="17"/>
  <c r="M72" i="17"/>
  <c r="M336" i="17"/>
  <c r="M80" i="17"/>
  <c r="M366" i="17"/>
  <c r="M218" i="17"/>
  <c r="M196" i="17"/>
  <c r="M155" i="17"/>
  <c r="M152" i="17"/>
  <c r="M66" i="17"/>
  <c r="M58" i="17"/>
  <c r="M50" i="17"/>
  <c r="M74" i="17"/>
  <c r="M82" i="17"/>
  <c r="M107" i="17"/>
  <c r="M90" i="17"/>
  <c r="M342" i="17"/>
  <c r="M60" i="17"/>
  <c r="M325" i="17"/>
  <c r="M76" i="17"/>
  <c r="M52" i="17"/>
  <c r="M526" i="17"/>
  <c r="M473" i="17"/>
  <c r="M118" i="17"/>
  <c r="M41" i="17"/>
  <c r="M112" i="17"/>
  <c r="M92" i="17"/>
  <c r="M84" i="17"/>
  <c r="M562" i="17"/>
  <c r="M109" i="17"/>
  <c r="M192" i="17"/>
  <c r="M148" i="17"/>
  <c r="M216" i="17"/>
  <c r="M150" i="17"/>
  <c r="M141" i="17"/>
  <c r="M440" i="17"/>
  <c r="M251" i="17"/>
  <c r="M331" i="17"/>
  <c r="M153" i="17"/>
  <c r="I8" i="10"/>
  <c r="B18" i="17"/>
  <c r="D18" i="17"/>
  <c r="Y8" i="11"/>
  <c r="O1036" i="17"/>
  <c r="O1025" i="17"/>
  <c r="O1014" i="17"/>
  <c r="O1003" i="17"/>
  <c r="O992" i="17"/>
  <c r="O981" i="17"/>
  <c r="O970" i="17"/>
  <c r="O959" i="17"/>
  <c r="O948" i="17"/>
  <c r="O937" i="17"/>
  <c r="O926" i="17"/>
  <c r="O915" i="17"/>
  <c r="O904" i="17"/>
  <c r="O1039" i="17"/>
  <c r="O1009" i="17"/>
  <c r="O1004" i="17"/>
  <c r="O999" i="17"/>
  <c r="O994" i="17"/>
  <c r="O941" i="17"/>
  <c r="O936" i="17"/>
  <c r="O877" i="17"/>
  <c r="O856" i="17"/>
  <c r="O1022" i="17"/>
  <c r="O1017" i="17"/>
  <c r="O1012" i="17"/>
  <c r="O964" i="17"/>
  <c r="O901" i="17"/>
  <c r="O859" i="17"/>
  <c r="O830" i="17"/>
  <c r="O809" i="17"/>
  <c r="O997" i="17"/>
  <c r="O934" i="17"/>
  <c r="O929" i="17"/>
  <c r="O924" i="17"/>
  <c r="O896" i="17"/>
  <c r="O875" i="17"/>
  <c r="O854" i="17"/>
  <c r="O1031" i="17"/>
  <c r="O1015" i="17"/>
  <c r="O988" i="17"/>
  <c r="O947" i="17"/>
  <c r="O938" i="17"/>
  <c r="O911" i="17"/>
  <c r="O895" i="17"/>
  <c r="O888" i="17"/>
  <c r="O881" i="17"/>
  <c r="O833" i="17"/>
  <c r="O1006" i="17"/>
  <c r="O979" i="17"/>
  <c r="O954" i="17"/>
  <c r="O867" i="17"/>
  <c r="O860" i="17"/>
  <c r="O853" i="17"/>
  <c r="O828" i="17"/>
  <c r="O823" i="17"/>
  <c r="O818" i="17"/>
  <c r="O813" i="17"/>
  <c r="O800" i="17"/>
  <c r="O792" i="17"/>
  <c r="O784" i="17"/>
  <c r="O773" i="17"/>
  <c r="O762" i="17"/>
  <c r="O1013" i="17"/>
  <c r="O968" i="17"/>
  <c r="O961" i="17"/>
  <c r="O927" i="17"/>
  <c r="O918" i="17"/>
  <c r="O909" i="17"/>
  <c r="O900" i="17"/>
  <c r="O874" i="17"/>
  <c r="O846" i="17"/>
  <c r="O1027" i="17"/>
  <c r="O1020" i="17"/>
  <c r="O986" i="17"/>
  <c r="O1011" i="17"/>
  <c r="O993" i="17"/>
  <c r="O916" i="17"/>
  <c r="O891" i="17"/>
  <c r="O884" i="17"/>
  <c r="O872" i="17"/>
  <c r="O831" i="17"/>
  <c r="O826" i="17"/>
  <c r="O821" i="17"/>
  <c r="O803" i="17"/>
  <c r="O790" i="17"/>
  <c r="O779" i="17"/>
  <c r="O768" i="17"/>
  <c r="O1018" i="17"/>
  <c r="O1002" i="17"/>
  <c r="O984" i="17"/>
  <c r="O966" i="17"/>
  <c r="O950" i="17"/>
  <c r="O943" i="17"/>
  <c r="O1038" i="17"/>
  <c r="O1016" i="17"/>
  <c r="O991" i="17"/>
  <c r="O982" i="17"/>
  <c r="O973" i="17"/>
  <c r="O930" i="17"/>
  <c r="O849" i="17"/>
  <c r="O844" i="17"/>
  <c r="O839" i="17"/>
  <c r="O834" i="17"/>
  <c r="O806" i="17"/>
  <c r="O1023" i="17"/>
  <c r="O1021" i="17"/>
  <c r="O1019" i="17"/>
  <c r="O914" i="17"/>
  <c r="O912" i="17"/>
  <c r="O890" i="17"/>
  <c r="O805" i="17"/>
  <c r="O783" i="17"/>
  <c r="O776" i="17"/>
  <c r="O769" i="17"/>
  <c r="O754" i="17"/>
  <c r="O743" i="17"/>
  <c r="O732" i="17"/>
  <c r="O972" i="17"/>
  <c r="O949" i="17"/>
  <c r="O848" i="17"/>
  <c r="O820" i="17"/>
  <c r="O995" i="17"/>
  <c r="O976" i="17"/>
  <c r="O957" i="17"/>
  <c r="O922" i="17"/>
  <c r="O812" i="17"/>
  <c r="O978" i="17"/>
  <c r="O965" i="17"/>
  <c r="O963" i="17"/>
  <c r="O842" i="17"/>
  <c r="O1029" i="17"/>
  <c r="O980" i="17"/>
  <c r="O967" i="17"/>
  <c r="O928" i="17"/>
  <c r="O1001" i="17"/>
  <c r="O990" i="17"/>
  <c r="O944" i="17"/>
  <c r="O942" i="17"/>
  <c r="O908" i="17"/>
  <c r="O893" i="17"/>
  <c r="O882" i="17"/>
  <c r="O869" i="17"/>
  <c r="O817" i="17"/>
  <c r="O775" i="17"/>
  <c r="O757" i="17"/>
  <c r="O736" i="17"/>
  <c r="O728" i="17"/>
  <c r="O717" i="17"/>
  <c r="O706" i="17"/>
  <c r="O695" i="17"/>
  <c r="O684" i="17"/>
  <c r="O673" i="17"/>
  <c r="O1024" i="17"/>
  <c r="O983" i="17"/>
  <c r="O873" i="17"/>
  <c r="O871" i="17"/>
  <c r="O815" i="17"/>
  <c r="O807" i="17"/>
  <c r="O764" i="17"/>
  <c r="O744" i="17"/>
  <c r="O1026" i="17"/>
  <c r="O951" i="17"/>
  <c r="O899" i="17"/>
  <c r="O897" i="17"/>
  <c r="O862" i="17"/>
  <c r="O786" i="17"/>
  <c r="O752" i="17"/>
  <c r="O731" i="17"/>
  <c r="O720" i="17"/>
  <c r="O709" i="17"/>
  <c r="O985" i="17"/>
  <c r="O946" i="17"/>
  <c r="O917" i="17"/>
  <c r="O910" i="17"/>
  <c r="O956" i="17"/>
  <c r="O935" i="17"/>
  <c r="O933" i="17"/>
  <c r="O931" i="17"/>
  <c r="O919" i="17"/>
  <c r="O903" i="17"/>
  <c r="O886" i="17"/>
  <c r="O864" i="17"/>
  <c r="O819" i="17"/>
  <c r="O801" i="17"/>
  <c r="O799" i="17"/>
  <c r="O782" i="17"/>
  <c r="O760" i="17"/>
  <c r="O747" i="17"/>
  <c r="O723" i="17"/>
  <c r="O712" i="17"/>
  <c r="O987" i="17"/>
  <c r="O975" i="17"/>
  <c r="O958" i="17"/>
  <c r="O879" i="17"/>
  <c r="O845" i="17"/>
  <c r="O837" i="17"/>
  <c r="O835" i="17"/>
  <c r="O829" i="17"/>
  <c r="O1033" i="17"/>
  <c r="O1028" i="17"/>
  <c r="O1008" i="17"/>
  <c r="O953" i="17"/>
  <c r="O905" i="17"/>
  <c r="O866" i="17"/>
  <c r="O847" i="17"/>
  <c r="O841" i="17"/>
  <c r="O825" i="17"/>
  <c r="O780" i="17"/>
  <c r="O742" i="17"/>
  <c r="O726" i="17"/>
  <c r="O715" i="17"/>
  <c r="O1035" i="17"/>
  <c r="O960" i="17"/>
  <c r="O843" i="17"/>
  <c r="O827" i="17"/>
  <c r="O797" i="17"/>
  <c r="O750" i="17"/>
  <c r="O939" i="17"/>
  <c r="O851" i="17"/>
  <c r="O795" i="17"/>
  <c r="O793" i="17"/>
  <c r="O791" i="17"/>
  <c r="O1010" i="17"/>
  <c r="O1005" i="17"/>
  <c r="O996" i="17"/>
  <c r="O955" i="17"/>
  <c r="O894" i="17"/>
  <c r="O883" i="17"/>
  <c r="O857" i="17"/>
  <c r="O855" i="17"/>
  <c r="O810" i="17"/>
  <c r="O808" i="17"/>
  <c r="O789" i="17"/>
  <c r="O787" i="17"/>
  <c r="O778" i="17"/>
  <c r="O952" i="17"/>
  <c r="O906" i="17"/>
  <c r="O850" i="17"/>
  <c r="O832" i="17"/>
  <c r="O804" i="17"/>
  <c r="O771" i="17"/>
  <c r="O725" i="17"/>
  <c r="O707" i="17"/>
  <c r="O662" i="17"/>
  <c r="O651" i="17"/>
  <c r="O640" i="17"/>
  <c r="O629" i="17"/>
  <c r="O618" i="17"/>
  <c r="O607" i="17"/>
  <c r="O596" i="17"/>
  <c r="O585" i="17"/>
  <c r="O574" i="17"/>
  <c r="O563" i="17"/>
  <c r="O552" i="17"/>
  <c r="O541" i="17"/>
  <c r="O530" i="17"/>
  <c r="O1030" i="17"/>
  <c r="O932" i="17"/>
  <c r="O921" i="17"/>
  <c r="O892" i="17"/>
  <c r="O887" i="17"/>
  <c r="O734" i="17"/>
  <c r="O700" i="17"/>
  <c r="O690" i="17"/>
  <c r="O685" i="17"/>
  <c r="O680" i="17"/>
  <c r="O675" i="17"/>
  <c r="O969" i="17"/>
  <c r="O714" i="17"/>
  <c r="O705" i="17"/>
  <c r="O665" i="17"/>
  <c r="O654" i="17"/>
  <c r="O643" i="17"/>
  <c r="O632" i="17"/>
  <c r="O621" i="17"/>
  <c r="O610" i="17"/>
  <c r="O852" i="17"/>
  <c r="O730" i="17"/>
  <c r="O698" i="17"/>
  <c r="O670" i="17"/>
  <c r="O889" i="17"/>
  <c r="O751" i="17"/>
  <c r="O721" i="17"/>
  <c r="O657" i="17"/>
  <c r="O646" i="17"/>
  <c r="O635" i="17"/>
  <c r="O624" i="17"/>
  <c r="O613" i="17"/>
  <c r="O602" i="17"/>
  <c r="O876" i="17"/>
  <c r="O870" i="17"/>
  <c r="O816" i="17"/>
  <c r="O811" i="17"/>
  <c r="O794" i="17"/>
  <c r="O766" i="17"/>
  <c r="O755" i="17"/>
  <c r="O745" i="17"/>
  <c r="O719" i="17"/>
  <c r="O693" i="17"/>
  <c r="O688" i="17"/>
  <c r="O683" i="17"/>
  <c r="O998" i="17"/>
  <c r="O940" i="17"/>
  <c r="O822" i="17"/>
  <c r="O761" i="17"/>
  <c r="O753" i="17"/>
  <c r="O749" i="17"/>
  <c r="O710" i="17"/>
  <c r="O660" i="17"/>
  <c r="O649" i="17"/>
  <c r="O638" i="17"/>
  <c r="O627" i="17"/>
  <c r="O616" i="17"/>
  <c r="O1032" i="17"/>
  <c r="O836" i="17"/>
  <c r="O796" i="17"/>
  <c r="O759" i="17"/>
  <c r="O739" i="17"/>
  <c r="O703" i="17"/>
  <c r="O678" i="17"/>
  <c r="O668" i="17"/>
  <c r="O923" i="17"/>
  <c r="O741" i="17"/>
  <c r="O708" i="17"/>
  <c r="O663" i="17"/>
  <c r="O652" i="17"/>
  <c r="O641" i="17"/>
  <c r="O977" i="17"/>
  <c r="O861" i="17"/>
  <c r="O774" i="17"/>
  <c r="O724" i="17"/>
  <c r="O681" i="17"/>
  <c r="O671" i="17"/>
  <c r="O666" i="17"/>
  <c r="O765" i="17"/>
  <c r="O704" i="17"/>
  <c r="O682" i="17"/>
  <c r="O669" i="17"/>
  <c r="O604" i="17"/>
  <c r="O586" i="17"/>
  <c r="O579" i="17"/>
  <c r="O925" i="17"/>
  <c r="O716" i="17"/>
  <c r="O667" i="17"/>
  <c r="O593" i="17"/>
  <c r="O537" i="17"/>
  <c r="O522" i="17"/>
  <c r="O511" i="17"/>
  <c r="O500" i="17"/>
  <c r="O489" i="17"/>
  <c r="O478" i="17"/>
  <c r="O467" i="17"/>
  <c r="O456" i="17"/>
  <c r="O445" i="17"/>
  <c r="O434" i="17"/>
  <c r="O423" i="17"/>
  <c r="O840" i="17"/>
  <c r="O798" i="17"/>
  <c r="O735" i="17"/>
  <c r="O584" i="17"/>
  <c r="O577" i="17"/>
  <c r="O570" i="17"/>
  <c r="O556" i="17"/>
  <c r="O718" i="17"/>
  <c r="O711" i="17"/>
  <c r="O656" i="17"/>
  <c r="O600" i="17"/>
  <c r="O598" i="17"/>
  <c r="O591" i="17"/>
  <c r="O549" i="17"/>
  <c r="O542" i="17"/>
  <c r="O525" i="17"/>
  <c r="O514" i="17"/>
  <c r="O503" i="17"/>
  <c r="O492" i="17"/>
  <c r="O481" i="17"/>
  <c r="O470" i="17"/>
  <c r="O459" i="17"/>
  <c r="O448" i="17"/>
  <c r="O437" i="17"/>
  <c r="O781" i="17"/>
  <c r="O697" i="17"/>
  <c r="O686" i="17"/>
  <c r="O658" i="17"/>
  <c r="O639" i="17"/>
  <c r="O631" i="17"/>
  <c r="O554" i="17"/>
  <c r="O962" i="17"/>
  <c r="O902" i="17"/>
  <c r="O880" i="17"/>
  <c r="O770" i="17"/>
  <c r="O713" i="17"/>
  <c r="O625" i="17"/>
  <c r="O561" i="17"/>
  <c r="O547" i="17"/>
  <c r="O517" i="17"/>
  <c r="O506" i="17"/>
  <c r="O495" i="17"/>
  <c r="O484" i="17"/>
  <c r="O473" i="17"/>
  <c r="O462" i="17"/>
  <c r="O451" i="17"/>
  <c r="O1000" i="17"/>
  <c r="O737" i="17"/>
  <c r="O699" i="17"/>
  <c r="O637" i="17"/>
  <c r="O633" i="17"/>
  <c r="O623" i="17"/>
  <c r="O617" i="17"/>
  <c r="O609" i="17"/>
  <c r="O589" i="17"/>
  <c r="O575" i="17"/>
  <c r="O568" i="17"/>
  <c r="O540" i="17"/>
  <c r="O535" i="17"/>
  <c r="O858" i="17"/>
  <c r="O727" i="17"/>
  <c r="O679" i="17"/>
  <c r="O677" i="17"/>
  <c r="O664" i="17"/>
  <c r="O645" i="17"/>
  <c r="O619" i="17"/>
  <c r="O582" i="17"/>
  <c r="O971" i="17"/>
  <c r="O767" i="17"/>
  <c r="O729" i="17"/>
  <c r="O647" i="17"/>
  <c r="O615" i="17"/>
  <c r="O611" i="17"/>
  <c r="O587" i="17"/>
  <c r="O573" i="17"/>
  <c r="O566" i="17"/>
  <c r="O559" i="17"/>
  <c r="O545" i="17"/>
  <c r="O533" i="17"/>
  <c r="O974" i="17"/>
  <c r="O945" i="17"/>
  <c r="O885" i="17"/>
  <c r="O824" i="17"/>
  <c r="O653" i="17"/>
  <c r="O550" i="17"/>
  <c r="O543" i="17"/>
  <c r="O536" i="17"/>
  <c r="O501" i="17"/>
  <c r="O499" i="17"/>
  <c r="O490" i="17"/>
  <c r="O472" i="17"/>
  <c r="O452" i="17"/>
  <c r="O405" i="17"/>
  <c r="O738" i="17"/>
  <c r="O622" i="17"/>
  <c r="O516" i="17"/>
  <c r="O488" i="17"/>
  <c r="O438" i="17"/>
  <c r="O428" i="17"/>
  <c r="O418" i="17"/>
  <c r="O413" i="17"/>
  <c r="O397" i="17"/>
  <c r="O386" i="17"/>
  <c r="O375" i="17"/>
  <c r="O364" i="17"/>
  <c r="O353" i="17"/>
  <c r="O342" i="17"/>
  <c r="O331" i="17"/>
  <c r="O320" i="17"/>
  <c r="O605" i="17"/>
  <c r="O510" i="17"/>
  <c r="O479" i="17"/>
  <c r="O461" i="17"/>
  <c r="O1007" i="17"/>
  <c r="O920" i="17"/>
  <c r="O772" i="17"/>
  <c r="O692" i="17"/>
  <c r="O644" i="17"/>
  <c r="O538" i="17"/>
  <c r="O512" i="17"/>
  <c r="O477" i="17"/>
  <c r="O443" i="17"/>
  <c r="O408" i="17"/>
  <c r="O400" i="17"/>
  <c r="O389" i="17"/>
  <c r="O378" i="17"/>
  <c r="O367" i="17"/>
  <c r="O356" i="17"/>
  <c r="O913" i="17"/>
  <c r="O746" i="17"/>
  <c r="O634" i="17"/>
  <c r="O595" i="17"/>
  <c r="O497" i="17"/>
  <c r="O468" i="17"/>
  <c r="O450" i="17"/>
  <c r="O426" i="17"/>
  <c r="O612" i="17"/>
  <c r="O588" i="17"/>
  <c r="O581" i="17"/>
  <c r="O565" i="17"/>
  <c r="O466" i="17"/>
  <c r="O436" i="17"/>
  <c r="O431" i="17"/>
  <c r="O421" i="17"/>
  <c r="O416" i="17"/>
  <c r="O392" i="17"/>
  <c r="O740" i="17"/>
  <c r="O694" i="17"/>
  <c r="O689" i="17"/>
  <c r="O636" i="17"/>
  <c r="O597" i="17"/>
  <c r="O583" i="17"/>
  <c r="O529" i="17"/>
  <c r="O508" i="17"/>
  <c r="O486" i="17"/>
  <c r="O457" i="17"/>
  <c r="O441" i="17"/>
  <c r="O614" i="17"/>
  <c r="O572" i="17"/>
  <c r="O567" i="17"/>
  <c r="O551" i="17"/>
  <c r="O531" i="17"/>
  <c r="O493" i="17"/>
  <c r="O455" i="17"/>
  <c r="O395" i="17"/>
  <c r="O384" i="17"/>
  <c r="O373" i="17"/>
  <c r="O865" i="17"/>
  <c r="O521" i="17"/>
  <c r="O504" i="17"/>
  <c r="O475" i="17"/>
  <c r="O838" i="17"/>
  <c r="O702" i="17"/>
  <c r="O696" i="17"/>
  <c r="O626" i="17"/>
  <c r="O599" i="17"/>
  <c r="O592" i="17"/>
  <c r="O480" i="17"/>
  <c r="O471" i="17"/>
  <c r="O439" i="17"/>
  <c r="O401" i="17"/>
  <c r="O763" i="17"/>
  <c r="O546" i="17"/>
  <c r="O527" i="17"/>
  <c r="O520" i="17"/>
  <c r="O460" i="17"/>
  <c r="O396" i="17"/>
  <c r="O332" i="17"/>
  <c r="O722" i="17"/>
  <c r="O672" i="17"/>
  <c r="O628" i="17"/>
  <c r="O507" i="17"/>
  <c r="O505" i="17"/>
  <c r="O453" i="17"/>
  <c r="O417" i="17"/>
  <c r="O398" i="17"/>
  <c r="O390" i="17"/>
  <c r="O388" i="17"/>
  <c r="O340" i="17"/>
  <c r="O319" i="17"/>
  <c r="O311" i="17"/>
  <c r="O300" i="17"/>
  <c r="O289" i="17"/>
  <c r="O278" i="17"/>
  <c r="O267" i="17"/>
  <c r="O256" i="17"/>
  <c r="O245" i="17"/>
  <c r="O234" i="17"/>
  <c r="O223" i="17"/>
  <c r="O212" i="17"/>
  <c r="O201" i="17"/>
  <c r="O190" i="17"/>
  <c r="O179" i="17"/>
  <c r="O907" i="17"/>
  <c r="O687" i="17"/>
  <c r="O569" i="17"/>
  <c r="O474" i="17"/>
  <c r="O430" i="17"/>
  <c r="O404" i="17"/>
  <c r="O394" i="17"/>
  <c r="O371" i="17"/>
  <c r="O362" i="17"/>
  <c r="O355" i="17"/>
  <c r="O327" i="17"/>
  <c r="O989" i="17"/>
  <c r="O608" i="17"/>
  <c r="O548" i="17"/>
  <c r="O532" i="17"/>
  <c r="O509" i="17"/>
  <c r="O476" i="17"/>
  <c r="O446" i="17"/>
  <c r="O419" i="17"/>
  <c r="O402" i="17"/>
  <c r="O350" i="17"/>
  <c r="O335" i="17"/>
  <c r="O303" i="17"/>
  <c r="O292" i="17"/>
  <c r="O281" i="17"/>
  <c r="O270" i="17"/>
  <c r="O259" i="17"/>
  <c r="O248" i="17"/>
  <c r="O237" i="17"/>
  <c r="O226" i="17"/>
  <c r="O215" i="17"/>
  <c r="O204" i="17"/>
  <c r="O193" i="17"/>
  <c r="O182" i="17"/>
  <c r="O674" i="17"/>
  <c r="O432" i="17"/>
  <c r="O406" i="17"/>
  <c r="O382" i="17"/>
  <c r="O360" i="17"/>
  <c r="O322" i="17"/>
  <c r="O314" i="17"/>
  <c r="O756" i="17"/>
  <c r="O630" i="17"/>
  <c r="O553" i="17"/>
  <c r="O369" i="17"/>
  <c r="O348" i="17"/>
  <c r="O343" i="17"/>
  <c r="O330" i="17"/>
  <c r="O306" i="17"/>
  <c r="O295" i="17"/>
  <c r="O284" i="17"/>
  <c r="O273" i="17"/>
  <c r="O262" i="17"/>
  <c r="O251" i="17"/>
  <c r="O240" i="17"/>
  <c r="O229" i="17"/>
  <c r="O218" i="17"/>
  <c r="O207" i="17"/>
  <c r="O196" i="17"/>
  <c r="O185" i="17"/>
  <c r="O524" i="17"/>
  <c r="O502" i="17"/>
  <c r="O469" i="17"/>
  <c r="O338" i="17"/>
  <c r="O868" i="17"/>
  <c r="O534" i="17"/>
  <c r="O412" i="17"/>
  <c r="O380" i="17"/>
  <c r="O317" i="17"/>
  <c r="O309" i="17"/>
  <c r="O298" i="17"/>
  <c r="O287" i="17"/>
  <c r="O276" i="17"/>
  <c r="O410" i="17"/>
  <c r="O365" i="17"/>
  <c r="O333" i="17"/>
  <c r="O325" i="17"/>
  <c r="O802" i="17"/>
  <c r="O648" i="17"/>
  <c r="O555" i="17"/>
  <c r="O513" i="17"/>
  <c r="O414" i="17"/>
  <c r="O379" i="17"/>
  <c r="O326" i="17"/>
  <c r="O275" i="17"/>
  <c r="O271" i="17"/>
  <c r="O269" i="17"/>
  <c r="O244" i="17"/>
  <c r="O221" i="17"/>
  <c r="O151" i="17"/>
  <c r="O863" i="17"/>
  <c r="O785" i="17"/>
  <c r="O590" i="17"/>
  <c r="O498" i="17"/>
  <c r="O449" i="17"/>
  <c r="O409" i="17"/>
  <c r="O358" i="17"/>
  <c r="O299" i="17"/>
  <c r="O293" i="17"/>
  <c r="O246" i="17"/>
  <c r="O219" i="17"/>
  <c r="O206" i="17"/>
  <c r="O186" i="17"/>
  <c r="O167" i="17"/>
  <c r="O159" i="17"/>
  <c r="O146" i="17"/>
  <c r="O138" i="17"/>
  <c r="O130" i="17"/>
  <c r="O119" i="17"/>
  <c r="O108" i="17"/>
  <c r="O898" i="17"/>
  <c r="O485" i="17"/>
  <c r="O381" i="17"/>
  <c r="O324" i="17"/>
  <c r="O301" i="17"/>
  <c r="O265" i="17"/>
  <c r="O172" i="17"/>
  <c r="O539" i="17"/>
  <c r="O463" i="17"/>
  <c r="O435" i="17"/>
  <c r="O429" i="17"/>
  <c r="O372" i="17"/>
  <c r="O345" i="17"/>
  <c r="O328" i="17"/>
  <c r="O297" i="17"/>
  <c r="O263" i="17"/>
  <c r="O217" i="17"/>
  <c r="O195" i="17"/>
  <c r="O154" i="17"/>
  <c r="O133" i="17"/>
  <c r="O122" i="17"/>
  <c r="O111" i="17"/>
  <c r="O100" i="17"/>
  <c r="O89" i="17"/>
  <c r="O78" i="17"/>
  <c r="O788" i="17"/>
  <c r="O733" i="17"/>
  <c r="O454" i="17"/>
  <c r="O391" i="17"/>
  <c r="O349" i="17"/>
  <c r="O347" i="17"/>
  <c r="O334" i="17"/>
  <c r="O307" i="17"/>
  <c r="O305" i="17"/>
  <c r="O242" i="17"/>
  <c r="O238" i="17"/>
  <c r="O236" i="17"/>
  <c r="O177" i="17"/>
  <c r="O162" i="17"/>
  <c r="O141" i="17"/>
  <c r="O659" i="17"/>
  <c r="O557" i="17"/>
  <c r="O487" i="17"/>
  <c r="O411" i="17"/>
  <c r="O393" i="17"/>
  <c r="O351" i="17"/>
  <c r="O255" i="17"/>
  <c r="O232" i="17"/>
  <c r="O213" i="17"/>
  <c r="O211" i="17"/>
  <c r="O200" i="17"/>
  <c r="O777" i="17"/>
  <c r="O650" i="17"/>
  <c r="O515" i="17"/>
  <c r="O482" i="17"/>
  <c r="O403" i="17"/>
  <c r="O376" i="17"/>
  <c r="O315" i="17"/>
  <c r="O257" i="17"/>
  <c r="O230" i="17"/>
  <c r="O191" i="17"/>
  <c r="O526" i="17"/>
  <c r="O518" i="17"/>
  <c r="O465" i="17"/>
  <c r="O440" i="17"/>
  <c r="O336" i="17"/>
  <c r="O280" i="17"/>
  <c r="O189" i="17"/>
  <c r="O152" i="17"/>
  <c r="O285" i="17"/>
  <c r="O202" i="17"/>
  <c r="O149" i="17"/>
  <c r="O101" i="17"/>
  <c r="O75" i="17"/>
  <c r="O528" i="17"/>
  <c r="O407" i="17"/>
  <c r="O357" i="17"/>
  <c r="O344" i="17"/>
  <c r="O264" i="17"/>
  <c r="O220" i="17"/>
  <c r="O178" i="17"/>
  <c r="O147" i="17"/>
  <c r="O145" i="17"/>
  <c r="O91" i="17"/>
  <c r="O83" i="17"/>
  <c r="O70" i="17"/>
  <c r="O59" i="17"/>
  <c r="O48" i="17"/>
  <c r="O496" i="17"/>
  <c r="O354" i="17"/>
  <c r="O339" i="17"/>
  <c r="O266" i="17"/>
  <c r="O250" i="17"/>
  <c r="O222" i="17"/>
  <c r="O180" i="17"/>
  <c r="O176" i="17"/>
  <c r="O691" i="17"/>
  <c r="O519" i="17"/>
  <c r="O346" i="17"/>
  <c r="O302" i="17"/>
  <c r="O261" i="17"/>
  <c r="O252" i="17"/>
  <c r="O184" i="17"/>
  <c r="O174" i="17"/>
  <c r="O164" i="17"/>
  <c r="O117" i="17"/>
  <c r="O62" i="17"/>
  <c r="O51" i="17"/>
  <c r="O40" i="17"/>
  <c r="O814" i="17"/>
  <c r="O576" i="17"/>
  <c r="O564" i="17"/>
  <c r="O558" i="17"/>
  <c r="O359" i="17"/>
  <c r="O282" i="17"/>
  <c r="O268" i="17"/>
  <c r="O233" i="17"/>
  <c r="O160" i="17"/>
  <c r="O158" i="17"/>
  <c r="O128" i="17"/>
  <c r="O126" i="17"/>
  <c r="O115" i="17"/>
  <c r="O99" i="17"/>
  <c r="O86" i="17"/>
  <c r="O701" i="17"/>
  <c r="O329" i="17"/>
  <c r="O321" i="17"/>
  <c r="O304" i="17"/>
  <c r="O254" i="17"/>
  <c r="O231" i="17"/>
  <c r="O224" i="17"/>
  <c r="O106" i="17"/>
  <c r="O94" i="17"/>
  <c r="O81" i="17"/>
  <c r="O73" i="17"/>
  <c r="O65" i="17"/>
  <c r="O54" i="17"/>
  <c r="O43" i="17"/>
  <c r="O676" i="17"/>
  <c r="O544" i="17"/>
  <c r="O424" i="17"/>
  <c r="O415" i="17"/>
  <c r="O277" i="17"/>
  <c r="O247" i="17"/>
  <c r="O235" i="17"/>
  <c r="O199" i="17"/>
  <c r="O156" i="17"/>
  <c r="O137" i="17"/>
  <c r="O124" i="17"/>
  <c r="O68" i="17"/>
  <c r="O57" i="17"/>
  <c r="O46" i="17"/>
  <c r="O878" i="17"/>
  <c r="O323" i="17"/>
  <c r="O316" i="17"/>
  <c r="O135" i="17"/>
  <c r="O97" i="17"/>
  <c r="O92" i="17"/>
  <c r="O84" i="17"/>
  <c r="O60" i="17"/>
  <c r="O49" i="17"/>
  <c r="O1034" i="17"/>
  <c r="O578" i="17"/>
  <c r="O363" i="17"/>
  <c r="O291" i="17"/>
  <c r="O198" i="17"/>
  <c r="O188" i="17"/>
  <c r="O183" i="17"/>
  <c r="O161" i="17"/>
  <c r="O42" i="17"/>
  <c r="O748" i="17"/>
  <c r="O288" i="17"/>
  <c r="O283" i="17"/>
  <c r="O168" i="17"/>
  <c r="O131" i="17"/>
  <c r="O601" i="17"/>
  <c r="O385" i="17"/>
  <c r="O308" i="17"/>
  <c r="O296" i="17"/>
  <c r="O205" i="17"/>
  <c r="O175" i="17"/>
  <c r="O163" i="17"/>
  <c r="O142" i="17"/>
  <c r="O140" i="17"/>
  <c r="O113" i="17"/>
  <c r="O102" i="17"/>
  <c r="O758" i="17"/>
  <c r="O442" i="17"/>
  <c r="O425" i="17"/>
  <c r="O422" i="17"/>
  <c r="O370" i="17"/>
  <c r="O313" i="17"/>
  <c r="O210" i="17"/>
  <c r="O104" i="17"/>
  <c r="O620" i="17"/>
  <c r="O560" i="17"/>
  <c r="O341" i="17"/>
  <c r="O272" i="17"/>
  <c r="O258" i="17"/>
  <c r="O253" i="17"/>
  <c r="O144" i="17"/>
  <c r="O655" i="17"/>
  <c r="O594" i="17"/>
  <c r="O580" i="17"/>
  <c r="O387" i="17"/>
  <c r="O318" i="17"/>
  <c r="O310" i="17"/>
  <c r="O170" i="17"/>
  <c r="O458" i="17"/>
  <c r="O274" i="17"/>
  <c r="O165" i="17"/>
  <c r="O77" i="17"/>
  <c r="O69" i="17"/>
  <c r="O494" i="17"/>
  <c r="O399" i="17"/>
  <c r="O290" i="17"/>
  <c r="O260" i="17"/>
  <c r="O228" i="17"/>
  <c r="O79" i="17"/>
  <c r="O71" i="17"/>
  <c r="O63" i="17"/>
  <c r="O61" i="17"/>
  <c r="O606" i="17"/>
  <c r="O197" i="17"/>
  <c r="O95" i="17"/>
  <c r="O93" i="17"/>
  <c r="O87" i="17"/>
  <c r="O85" i="17"/>
  <c r="O55" i="17"/>
  <c r="O47" i="17"/>
  <c r="O661" i="17"/>
  <c r="O491" i="17"/>
  <c r="O279" i="17"/>
  <c r="O239" i="17"/>
  <c r="O187" i="17"/>
  <c r="O67" i="17"/>
  <c r="O53" i="17"/>
  <c r="O603" i="17"/>
  <c r="O562" i="17"/>
  <c r="O192" i="17"/>
  <c r="O153" i="17"/>
  <c r="O110" i="17"/>
  <c r="O444" i="17"/>
  <c r="O312" i="17"/>
  <c r="O249" i="17"/>
  <c r="O121" i="17"/>
  <c r="O114" i="17"/>
  <c r="O45" i="17"/>
  <c r="O41" i="17"/>
  <c r="O1037" i="17"/>
  <c r="O447" i="17"/>
  <c r="O337" i="17"/>
  <c r="O214" i="17"/>
  <c r="O209" i="17"/>
  <c r="O194" i="17"/>
  <c r="O169" i="17"/>
  <c r="O157" i="17"/>
  <c r="O123" i="17"/>
  <c r="O103" i="17"/>
  <c r="O361" i="17"/>
  <c r="O216" i="17"/>
  <c r="O171" i="17"/>
  <c r="O143" i="17"/>
  <c r="O132" i="17"/>
  <c r="O571" i="17"/>
  <c r="O241" i="17"/>
  <c r="O225" i="17"/>
  <c r="O80" i="17"/>
  <c r="O366" i="17"/>
  <c r="O181" i="17"/>
  <c r="O134" i="17"/>
  <c r="O88" i="17"/>
  <c r="O464" i="17"/>
  <c r="O105" i="17"/>
  <c r="O66" i="17"/>
  <c r="O58" i="17"/>
  <c r="O50" i="17"/>
  <c r="O294" i="17"/>
  <c r="O155" i="17"/>
  <c r="O96" i="17"/>
  <c r="O74" i="17"/>
  <c r="O116" i="17"/>
  <c r="O82" i="17"/>
  <c r="O352" i="17"/>
  <c r="O107" i="17"/>
  <c r="O90" i="17"/>
  <c r="O139" i="17"/>
  <c r="O136" i="17"/>
  <c r="O52" i="17"/>
  <c r="O44" i="17"/>
  <c r="O523" i="17"/>
  <c r="O368" i="17"/>
  <c r="O243" i="17"/>
  <c r="O127" i="17"/>
  <c r="O118" i="17"/>
  <c r="O98" i="17"/>
  <c r="O76" i="17"/>
  <c r="O227" i="17"/>
  <c r="O173" i="17"/>
  <c r="O642" i="17"/>
  <c r="O427" i="17"/>
  <c r="O420" i="17"/>
  <c r="O112" i="17"/>
  <c r="O286" i="17"/>
  <c r="O208" i="17"/>
  <c r="O109" i="17"/>
  <c r="O374" i="17"/>
  <c r="O377" i="17"/>
  <c r="O148" i="17"/>
  <c r="O129" i="17"/>
  <c r="O483" i="17"/>
  <c r="O64" i="17"/>
  <c r="O383" i="17"/>
  <c r="O203" i="17"/>
  <c r="O166" i="17"/>
  <c r="O125" i="17"/>
  <c r="O72" i="17"/>
  <c r="O120" i="17"/>
  <c r="O433" i="17"/>
  <c r="O56" i="17"/>
  <c r="O150" i="17"/>
  <c r="B23" i="2"/>
  <c r="B69" i="13"/>
  <c r="D9" i="11"/>
  <c r="E9" i="11" s="1"/>
  <c r="T9" i="11" s="1"/>
  <c r="D10" i="11"/>
  <c r="E10" i="11" s="1"/>
  <c r="T10" i="11" s="1"/>
  <c r="H9" i="10"/>
  <c r="E30" i="13"/>
  <c r="D30" i="13"/>
  <c r="C30" i="13"/>
  <c r="D58" i="11"/>
  <c r="E58" i="11" s="1"/>
  <c r="B29" i="2"/>
  <c r="C29" i="2" s="1"/>
  <c r="B19" i="9"/>
  <c r="R9" i="5"/>
  <c r="D31" i="5" s="1"/>
  <c r="D10" i="10"/>
  <c r="D22" i="13"/>
  <c r="Q13" i="5"/>
  <c r="Q11" i="5"/>
  <c r="Q9" i="5"/>
  <c r="B5" i="16"/>
  <c r="Q12" i="5"/>
  <c r="Q10" i="5"/>
  <c r="Q8" i="5"/>
  <c r="B65" i="13"/>
  <c r="B12" i="2"/>
  <c r="Z4" i="17"/>
  <c r="D27" i="13"/>
  <c r="H25" i="3"/>
  <c r="B21" i="9" s="1"/>
  <c r="J6" i="8"/>
  <c r="J15" i="8" s="1"/>
  <c r="E24" i="7" l="1"/>
  <c r="F24" i="7" s="1"/>
  <c r="F23" i="7"/>
  <c r="F59" i="13"/>
  <c r="B42" i="2" s="1"/>
  <c r="C21" i="14"/>
  <c r="C17" i="14"/>
  <c r="C20" i="14" s="1"/>
  <c r="C22" i="14"/>
  <c r="H22" i="14"/>
  <c r="H17" i="14"/>
  <c r="H20" i="14" s="1"/>
  <c r="H21" i="14"/>
  <c r="O21" i="14"/>
  <c r="O22" i="14"/>
  <c r="O17" i="14"/>
  <c r="O20" i="14" s="1"/>
  <c r="D6" i="15" s="1"/>
  <c r="O18" i="14"/>
  <c r="N1039" i="17"/>
  <c r="N1031" i="17"/>
  <c r="N1020" i="17"/>
  <c r="N1009" i="17"/>
  <c r="N998" i="17"/>
  <c r="N987" i="17"/>
  <c r="N976" i="17"/>
  <c r="N965" i="17"/>
  <c r="N954" i="17"/>
  <c r="N943" i="17"/>
  <c r="N932" i="17"/>
  <c r="N921" i="17"/>
  <c r="N910" i="17"/>
  <c r="N899" i="17"/>
  <c r="N888" i="17"/>
  <c r="N877" i="17"/>
  <c r="N866" i="17"/>
  <c r="N855" i="17"/>
  <c r="N844" i="17"/>
  <c r="N833" i="17"/>
  <c r="N822" i="17"/>
  <c r="N811" i="17"/>
  <c r="N1019" i="17"/>
  <c r="N1014" i="17"/>
  <c r="N956" i="17"/>
  <c r="N951" i="17"/>
  <c r="N946" i="17"/>
  <c r="N898" i="17"/>
  <c r="N1037" i="17"/>
  <c r="N1032" i="17"/>
  <c r="N1027" i="17"/>
  <c r="N974" i="17"/>
  <c r="N969" i="17"/>
  <c r="N916" i="17"/>
  <c r="N911" i="17"/>
  <c r="N906" i="17"/>
  <c r="N893" i="17"/>
  <c r="N880" i="17"/>
  <c r="N872" i="17"/>
  <c r="N851" i="17"/>
  <c r="N798" i="17"/>
  <c r="N1007" i="17"/>
  <c r="N1002" i="17"/>
  <c r="N949" i="17"/>
  <c r="N944" i="17"/>
  <c r="N939" i="17"/>
  <c r="N867" i="17"/>
  <c r="N1038" i="17"/>
  <c r="N1008" i="17"/>
  <c r="N999" i="17"/>
  <c r="N981" i="17"/>
  <c r="N920" i="17"/>
  <c r="N902" i="17"/>
  <c r="N848" i="17"/>
  <c r="N843" i="17"/>
  <c r="N838" i="17"/>
  <c r="N805" i="17"/>
  <c r="N781" i="17"/>
  <c r="N770" i="17"/>
  <c r="N1022" i="17"/>
  <c r="N1015" i="17"/>
  <c r="N997" i="17"/>
  <c r="N988" i="17"/>
  <c r="N947" i="17"/>
  <c r="N938" i="17"/>
  <c r="N895" i="17"/>
  <c r="N881" i="17"/>
  <c r="N1006" i="17"/>
  <c r="N979" i="17"/>
  <c r="N970" i="17"/>
  <c r="N860" i="17"/>
  <c r="N853" i="17"/>
  <c r="N828" i="17"/>
  <c r="N823" i="17"/>
  <c r="N818" i="17"/>
  <c r="N813" i="17"/>
  <c r="N800" i="17"/>
  <c r="N792" i="17"/>
  <c r="N784" i="17"/>
  <c r="N773" i="17"/>
  <c r="N762" i="17"/>
  <c r="N1029" i="17"/>
  <c r="N995" i="17"/>
  <c r="N977" i="17"/>
  <c r="N986" i="17"/>
  <c r="N959" i="17"/>
  <c r="N952" i="17"/>
  <c r="N907" i="17"/>
  <c r="N865" i="17"/>
  <c r="N841" i="17"/>
  <c r="N795" i="17"/>
  <c r="N1036" i="17"/>
  <c r="N1011" i="17"/>
  <c r="N1004" i="17"/>
  <c r="N993" i="17"/>
  <c r="N1034" i="17"/>
  <c r="N1025" i="17"/>
  <c r="N975" i="17"/>
  <c r="N957" i="17"/>
  <c r="N923" i="17"/>
  <c r="N870" i="17"/>
  <c r="N863" i="17"/>
  <c r="N991" i="17"/>
  <c r="N989" i="17"/>
  <c r="N908" i="17"/>
  <c r="N904" i="17"/>
  <c r="N886" i="17"/>
  <c r="N882" i="17"/>
  <c r="N876" i="17"/>
  <c r="N846" i="17"/>
  <c r="N835" i="17"/>
  <c r="N778" i="17"/>
  <c r="N1023" i="17"/>
  <c r="N1021" i="17"/>
  <c r="N918" i="17"/>
  <c r="N914" i="17"/>
  <c r="N912" i="17"/>
  <c r="N890" i="17"/>
  <c r="N1012" i="17"/>
  <c r="N1010" i="17"/>
  <c r="N961" i="17"/>
  <c r="N955" i="17"/>
  <c r="N953" i="17"/>
  <c r="N816" i="17"/>
  <c r="N814" i="17"/>
  <c r="N803" i="17"/>
  <c r="N801" i="17"/>
  <c r="N757" i="17"/>
  <c r="N922" i="17"/>
  <c r="N978" i="17"/>
  <c r="N963" i="17"/>
  <c r="N936" i="17"/>
  <c r="N934" i="17"/>
  <c r="N926" i="17"/>
  <c r="N982" i="17"/>
  <c r="N980" i="17"/>
  <c r="N967" i="17"/>
  <c r="N1033" i="17"/>
  <c r="N940" i="17"/>
  <c r="N858" i="17"/>
  <c r="N809" i="17"/>
  <c r="N788" i="17"/>
  <c r="N777" i="17"/>
  <c r="N749" i="17"/>
  <c r="N990" i="17"/>
  <c r="N973" i="17"/>
  <c r="N942" i="17"/>
  <c r="N869" i="17"/>
  <c r="N856" i="17"/>
  <c r="N817" i="17"/>
  <c r="N775" i="17"/>
  <c r="N736" i="17"/>
  <c r="N728" i="17"/>
  <c r="N717" i="17"/>
  <c r="N706" i="17"/>
  <c r="N695" i="17"/>
  <c r="N684" i="17"/>
  <c r="N673" i="17"/>
  <c r="N1024" i="17"/>
  <c r="N983" i="17"/>
  <c r="N915" i="17"/>
  <c r="N884" i="17"/>
  <c r="N875" i="17"/>
  <c r="N873" i="17"/>
  <c r="N871" i="17"/>
  <c r="N815" i="17"/>
  <c r="N807" i="17"/>
  <c r="N764" i="17"/>
  <c r="N744" i="17"/>
  <c r="N1026" i="17"/>
  <c r="N1016" i="17"/>
  <c r="N992" i="17"/>
  <c r="N968" i="17"/>
  <c r="N929" i="17"/>
  <c r="N924" i="17"/>
  <c r="N901" i="17"/>
  <c r="N897" i="17"/>
  <c r="N862" i="17"/>
  <c r="N786" i="17"/>
  <c r="N752" i="17"/>
  <c r="N985" i="17"/>
  <c r="N917" i="17"/>
  <c r="N739" i="17"/>
  <c r="N935" i="17"/>
  <c r="N933" i="17"/>
  <c r="N931" i="17"/>
  <c r="N919" i="17"/>
  <c r="N903" i="17"/>
  <c r="N864" i="17"/>
  <c r="N831" i="17"/>
  <c r="N819" i="17"/>
  <c r="N799" i="17"/>
  <c r="N1018" i="17"/>
  <c r="N1001" i="17"/>
  <c r="N958" i="17"/>
  <c r="N948" i="17"/>
  <c r="N879" i="17"/>
  <c r="N845" i="17"/>
  <c r="N837" i="17"/>
  <c r="N829" i="17"/>
  <c r="N821" i="17"/>
  <c r="N771" i="17"/>
  <c r="N755" i="17"/>
  <c r="N734" i="17"/>
  <c r="N1028" i="17"/>
  <c r="N905" i="17"/>
  <c r="N847" i="17"/>
  <c r="N839" i="17"/>
  <c r="N825" i="17"/>
  <c r="N780" i="17"/>
  <c r="N769" i="17"/>
  <c r="N1035" i="17"/>
  <c r="N994" i="17"/>
  <c r="N960" i="17"/>
  <c r="N937" i="17"/>
  <c r="N827" i="17"/>
  <c r="N797" i="17"/>
  <c r="N1030" i="17"/>
  <c r="N972" i="17"/>
  <c r="N962" i="17"/>
  <c r="N941" i="17"/>
  <c r="N909" i="17"/>
  <c r="N892" i="17"/>
  <c r="N859" i="17"/>
  <c r="N776" i="17"/>
  <c r="N765" i="17"/>
  <c r="N753" i="17"/>
  <c r="N842" i="17"/>
  <c r="N820" i="17"/>
  <c r="N785" i="17"/>
  <c r="N667" i="17"/>
  <c r="N900" i="17"/>
  <c r="N850" i="17"/>
  <c r="N832" i="17"/>
  <c r="N804" i="17"/>
  <c r="N725" i="17"/>
  <c r="N707" i="17"/>
  <c r="N662" i="17"/>
  <c r="N651" i="17"/>
  <c r="N640" i="17"/>
  <c r="N629" i="17"/>
  <c r="N618" i="17"/>
  <c r="N607" i="17"/>
  <c r="N596" i="17"/>
  <c r="N585" i="17"/>
  <c r="N574" i="17"/>
  <c r="N563" i="17"/>
  <c r="N552" i="17"/>
  <c r="N541" i="17"/>
  <c r="N530" i="17"/>
  <c r="N887" i="17"/>
  <c r="N787" i="17"/>
  <c r="N723" i="17"/>
  <c r="N700" i="17"/>
  <c r="N690" i="17"/>
  <c r="N685" i="17"/>
  <c r="N680" i="17"/>
  <c r="N675" i="17"/>
  <c r="N996" i="17"/>
  <c r="N857" i="17"/>
  <c r="N834" i="17"/>
  <c r="N732" i="17"/>
  <c r="N714" i="17"/>
  <c r="N705" i="17"/>
  <c r="N665" i="17"/>
  <c r="N654" i="17"/>
  <c r="N643" i="17"/>
  <c r="N632" i="17"/>
  <c r="N621" i="17"/>
  <c r="N610" i="17"/>
  <c r="N599" i="17"/>
  <c r="N588" i="17"/>
  <c r="N577" i="17"/>
  <c r="N566" i="17"/>
  <c r="N555" i="17"/>
  <c r="N984" i="17"/>
  <c r="N966" i="17"/>
  <c r="N852" i="17"/>
  <c r="N806" i="17"/>
  <c r="N747" i="17"/>
  <c r="N730" i="17"/>
  <c r="N712" i="17"/>
  <c r="N698" i="17"/>
  <c r="N670" i="17"/>
  <c r="N889" i="17"/>
  <c r="N751" i="17"/>
  <c r="N743" i="17"/>
  <c r="N721" i="17"/>
  <c r="N657" i="17"/>
  <c r="N646" i="17"/>
  <c r="N635" i="17"/>
  <c r="N624" i="17"/>
  <c r="N613" i="17"/>
  <c r="N602" i="17"/>
  <c r="N591" i="17"/>
  <c r="N580" i="17"/>
  <c r="N569" i="17"/>
  <c r="N558" i="17"/>
  <c r="N547" i="17"/>
  <c r="N536" i="17"/>
  <c r="N1003" i="17"/>
  <c r="N894" i="17"/>
  <c r="N794" i="17"/>
  <c r="N782" i="17"/>
  <c r="N766" i="17"/>
  <c r="N745" i="17"/>
  <c r="N719" i="17"/>
  <c r="N693" i="17"/>
  <c r="N688" i="17"/>
  <c r="N683" i="17"/>
  <c r="N1017" i="17"/>
  <c r="N854" i="17"/>
  <c r="N761" i="17"/>
  <c r="N710" i="17"/>
  <c r="N660" i="17"/>
  <c r="N649" i="17"/>
  <c r="N836" i="17"/>
  <c r="N808" i="17"/>
  <c r="N796" i="17"/>
  <c r="N789" i="17"/>
  <c r="N768" i="17"/>
  <c r="N759" i="17"/>
  <c r="N703" i="17"/>
  <c r="N678" i="17"/>
  <c r="N668" i="17"/>
  <c r="N1005" i="17"/>
  <c r="N878" i="17"/>
  <c r="N772" i="17"/>
  <c r="N737" i="17"/>
  <c r="N735" i="17"/>
  <c r="N715" i="17"/>
  <c r="N655" i="17"/>
  <c r="N644" i="17"/>
  <c r="N633" i="17"/>
  <c r="N622" i="17"/>
  <c r="N611" i="17"/>
  <c r="N600" i="17"/>
  <c r="N868" i="17"/>
  <c r="N790" i="17"/>
  <c r="N742" i="17"/>
  <c r="N733" i="17"/>
  <c r="N702" i="17"/>
  <c r="N691" i="17"/>
  <c r="N650" i="17"/>
  <c r="N648" i="17"/>
  <c r="N572" i="17"/>
  <c r="N532" i="17"/>
  <c r="N527" i="17"/>
  <c r="N519" i="17"/>
  <c r="N508" i="17"/>
  <c r="N497" i="17"/>
  <c r="N486" i="17"/>
  <c r="N475" i="17"/>
  <c r="N464" i="17"/>
  <c r="N453" i="17"/>
  <c r="N442" i="17"/>
  <c r="N431" i="17"/>
  <c r="N420" i="17"/>
  <c r="N409" i="17"/>
  <c r="N928" i="17"/>
  <c r="N704" i="17"/>
  <c r="N682" i="17"/>
  <c r="N669" i="17"/>
  <c r="N652" i="17"/>
  <c r="N604" i="17"/>
  <c r="N586" i="17"/>
  <c r="N579" i="17"/>
  <c r="N925" i="17"/>
  <c r="N896" i="17"/>
  <c r="N874" i="17"/>
  <c r="N810" i="17"/>
  <c r="N716" i="17"/>
  <c r="N593" i="17"/>
  <c r="N537" i="17"/>
  <c r="N522" i="17"/>
  <c r="N511" i="17"/>
  <c r="N500" i="17"/>
  <c r="N489" i="17"/>
  <c r="N478" i="17"/>
  <c r="N467" i="17"/>
  <c r="N456" i="17"/>
  <c r="N840" i="17"/>
  <c r="N671" i="17"/>
  <c r="N584" i="17"/>
  <c r="N570" i="17"/>
  <c r="N556" i="17"/>
  <c r="N718" i="17"/>
  <c r="N711" i="17"/>
  <c r="N656" i="17"/>
  <c r="N598" i="17"/>
  <c r="N549" i="17"/>
  <c r="N542" i="17"/>
  <c r="N525" i="17"/>
  <c r="N514" i="17"/>
  <c r="N883" i="17"/>
  <c r="N849" i="17"/>
  <c r="N697" i="17"/>
  <c r="N686" i="17"/>
  <c r="N658" i="17"/>
  <c r="N639" i="17"/>
  <c r="N631" i="17"/>
  <c r="N554" i="17"/>
  <c r="N930" i="17"/>
  <c r="N812" i="17"/>
  <c r="N713" i="17"/>
  <c r="N641" i="17"/>
  <c r="N627" i="17"/>
  <c r="N625" i="17"/>
  <c r="N561" i="17"/>
  <c r="N517" i="17"/>
  <c r="N506" i="17"/>
  <c r="N1000" i="17"/>
  <c r="N861" i="17"/>
  <c r="N720" i="17"/>
  <c r="N699" i="17"/>
  <c r="N637" i="17"/>
  <c r="N623" i="17"/>
  <c r="N617" i="17"/>
  <c r="N609" i="17"/>
  <c r="N589" i="17"/>
  <c r="N575" i="17"/>
  <c r="N568" i="17"/>
  <c r="N540" i="17"/>
  <c r="N535" i="17"/>
  <c r="N754" i="17"/>
  <c r="N727" i="17"/>
  <c r="N679" i="17"/>
  <c r="N677" i="17"/>
  <c r="N664" i="17"/>
  <c r="N645" i="17"/>
  <c r="N619" i="17"/>
  <c r="N582" i="17"/>
  <c r="N528" i="17"/>
  <c r="N964" i="17"/>
  <c r="N756" i="17"/>
  <c r="N741" i="17"/>
  <c r="N681" i="17"/>
  <c r="N603" i="17"/>
  <c r="N971" i="17"/>
  <c r="N763" i="17"/>
  <c r="N729" i="17"/>
  <c r="N687" i="17"/>
  <c r="N642" i="17"/>
  <c r="N545" i="17"/>
  <c r="N518" i="17"/>
  <c r="N433" i="17"/>
  <c r="N423" i="17"/>
  <c r="N394" i="17"/>
  <c r="N383" i="17"/>
  <c r="N372" i="17"/>
  <c r="N361" i="17"/>
  <c r="N760" i="17"/>
  <c r="N501" i="17"/>
  <c r="N499" i="17"/>
  <c r="N490" i="17"/>
  <c r="N472" i="17"/>
  <c r="N470" i="17"/>
  <c r="N452" i="17"/>
  <c r="N445" i="17"/>
  <c r="N405" i="17"/>
  <c r="N950" i="17"/>
  <c r="N927" i="17"/>
  <c r="N738" i="17"/>
  <c r="N516" i="17"/>
  <c r="N488" i="17"/>
  <c r="N438" i="17"/>
  <c r="N428" i="17"/>
  <c r="N418" i="17"/>
  <c r="N413" i="17"/>
  <c r="N397" i="17"/>
  <c r="N386" i="17"/>
  <c r="N375" i="17"/>
  <c r="N364" i="17"/>
  <c r="N353" i="17"/>
  <c r="N342" i="17"/>
  <c r="N826" i="17"/>
  <c r="N726" i="17"/>
  <c r="N709" i="17"/>
  <c r="N605" i="17"/>
  <c r="N510" i="17"/>
  <c r="N479" i="17"/>
  <c r="N461" i="17"/>
  <c r="N459" i="17"/>
  <c r="N793" i="17"/>
  <c r="N692" i="17"/>
  <c r="N538" i="17"/>
  <c r="N512" i="17"/>
  <c r="N477" i="17"/>
  <c r="N443" i="17"/>
  <c r="N408" i="17"/>
  <c r="N400" i="17"/>
  <c r="N389" i="17"/>
  <c r="N378" i="17"/>
  <c r="N367" i="17"/>
  <c r="N913" i="17"/>
  <c r="N746" i="17"/>
  <c r="N634" i="17"/>
  <c r="N595" i="17"/>
  <c r="N495" i="17"/>
  <c r="N468" i="17"/>
  <c r="N450" i="17"/>
  <c r="N426" i="17"/>
  <c r="N612" i="17"/>
  <c r="N581" i="17"/>
  <c r="N565" i="17"/>
  <c r="N466" i="17"/>
  <c r="N436" i="17"/>
  <c r="N421" i="17"/>
  <c r="N740" i="17"/>
  <c r="N731" i="17"/>
  <c r="N694" i="17"/>
  <c r="N689" i="17"/>
  <c r="N636" i="17"/>
  <c r="N597" i="17"/>
  <c r="N583" i="17"/>
  <c r="N529" i="17"/>
  <c r="N484" i="17"/>
  <c r="N457" i="17"/>
  <c r="N448" i="17"/>
  <c r="N441" i="17"/>
  <c r="N411" i="17"/>
  <c r="N403" i="17"/>
  <c r="N1013" i="17"/>
  <c r="N774" i="17"/>
  <c r="N614" i="17"/>
  <c r="N567" i="17"/>
  <c r="N551" i="17"/>
  <c r="N533" i="17"/>
  <c r="N531" i="17"/>
  <c r="N493" i="17"/>
  <c r="N455" i="17"/>
  <c r="N395" i="17"/>
  <c r="N885" i="17"/>
  <c r="N802" i="17"/>
  <c r="N783" i="17"/>
  <c r="N638" i="17"/>
  <c r="N616" i="17"/>
  <c r="N576" i="17"/>
  <c r="N544" i="17"/>
  <c r="N462" i="17"/>
  <c r="N446" i="17"/>
  <c r="N414" i="17"/>
  <c r="N824" i="17"/>
  <c r="N748" i="17"/>
  <c r="N666" i="17"/>
  <c r="N444" i="17"/>
  <c r="N415" i="17"/>
  <c r="N357" i="17"/>
  <c r="N345" i="17"/>
  <c r="N324" i="17"/>
  <c r="N308" i="17"/>
  <c r="N297" i="17"/>
  <c r="N286" i="17"/>
  <c r="N275" i="17"/>
  <c r="N264" i="17"/>
  <c r="N253" i="17"/>
  <c r="N242" i="17"/>
  <c r="N231" i="17"/>
  <c r="N220" i="17"/>
  <c r="N209" i="17"/>
  <c r="N198" i="17"/>
  <c r="N187" i="17"/>
  <c r="N176" i="17"/>
  <c r="N165" i="17"/>
  <c r="N154" i="17"/>
  <c r="N143" i="17"/>
  <c r="N559" i="17"/>
  <c r="N546" i="17"/>
  <c r="N520" i="17"/>
  <c r="N460" i="17"/>
  <c r="N396" i="17"/>
  <c r="N392" i="17"/>
  <c r="N332" i="17"/>
  <c r="N722" i="17"/>
  <c r="N672" i="17"/>
  <c r="N663" i="17"/>
  <c r="N628" i="17"/>
  <c r="N507" i="17"/>
  <c r="N505" i="17"/>
  <c r="N417" i="17"/>
  <c r="N398" i="17"/>
  <c r="N390" i="17"/>
  <c r="N388" i="17"/>
  <c r="N373" i="17"/>
  <c r="N340" i="17"/>
  <c r="N319" i="17"/>
  <c r="N311" i="17"/>
  <c r="N300" i="17"/>
  <c r="N289" i="17"/>
  <c r="N278" i="17"/>
  <c r="N267" i="17"/>
  <c r="N256" i="17"/>
  <c r="N245" i="17"/>
  <c r="N234" i="17"/>
  <c r="N223" i="17"/>
  <c r="N212" i="17"/>
  <c r="N201" i="17"/>
  <c r="N190" i="17"/>
  <c r="N179" i="17"/>
  <c r="N168" i="17"/>
  <c r="N543" i="17"/>
  <c r="N474" i="17"/>
  <c r="N430" i="17"/>
  <c r="N404" i="17"/>
  <c r="N371" i="17"/>
  <c r="N362" i="17"/>
  <c r="N355" i="17"/>
  <c r="N327" i="17"/>
  <c r="N608" i="17"/>
  <c r="N548" i="17"/>
  <c r="N509" i="17"/>
  <c r="N476" i="17"/>
  <c r="N439" i="17"/>
  <c r="N419" i="17"/>
  <c r="N402" i="17"/>
  <c r="N384" i="17"/>
  <c r="N350" i="17"/>
  <c r="N335" i="17"/>
  <c r="N303" i="17"/>
  <c r="N292" i="17"/>
  <c r="N281" i="17"/>
  <c r="N270" i="17"/>
  <c r="N259" i="17"/>
  <c r="N248" i="17"/>
  <c r="N237" i="17"/>
  <c r="N226" i="17"/>
  <c r="N215" i="17"/>
  <c r="N779" i="17"/>
  <c r="N750" i="17"/>
  <c r="N674" i="17"/>
  <c r="N432" i="17"/>
  <c r="N406" i="17"/>
  <c r="N382" i="17"/>
  <c r="N360" i="17"/>
  <c r="N322" i="17"/>
  <c r="N314" i="17"/>
  <c r="N830" i="17"/>
  <c r="N696" i="17"/>
  <c r="N630" i="17"/>
  <c r="N553" i="17"/>
  <c r="N481" i="17"/>
  <c r="N369" i="17"/>
  <c r="N348" i="17"/>
  <c r="N343" i="17"/>
  <c r="N330" i="17"/>
  <c r="N306" i="17"/>
  <c r="N295" i="17"/>
  <c r="N284" i="17"/>
  <c r="N273" i="17"/>
  <c r="N262" i="17"/>
  <c r="N251" i="17"/>
  <c r="N240" i="17"/>
  <c r="N229" i="17"/>
  <c r="N218" i="17"/>
  <c r="N550" i="17"/>
  <c r="N524" i="17"/>
  <c r="N502" i="17"/>
  <c r="N469" i="17"/>
  <c r="N434" i="17"/>
  <c r="N338" i="17"/>
  <c r="N534" i="17"/>
  <c r="N412" i="17"/>
  <c r="N380" i="17"/>
  <c r="N317" i="17"/>
  <c r="N309" i="17"/>
  <c r="N298" i="17"/>
  <c r="N287" i="17"/>
  <c r="N676" i="17"/>
  <c r="N615" i="17"/>
  <c r="N483" i="17"/>
  <c r="N447" i="17"/>
  <c r="N427" i="17"/>
  <c r="N422" i="17"/>
  <c r="N399" i="17"/>
  <c r="N365" i="17"/>
  <c r="N341" i="17"/>
  <c r="N291" i="17"/>
  <c r="N250" i="17"/>
  <c r="N197" i="17"/>
  <c r="N188" i="17"/>
  <c r="N174" i="17"/>
  <c r="N127" i="17"/>
  <c r="N116" i="17"/>
  <c r="N105" i="17"/>
  <c r="N513" i="17"/>
  <c r="N379" i="17"/>
  <c r="N326" i="17"/>
  <c r="N271" i="17"/>
  <c r="N269" i="17"/>
  <c r="N244" i="17"/>
  <c r="N221" i="17"/>
  <c r="N151" i="17"/>
  <c r="N945" i="17"/>
  <c r="N891" i="17"/>
  <c r="N590" i="17"/>
  <c r="N587" i="17"/>
  <c r="N498" i="17"/>
  <c r="N449" i="17"/>
  <c r="N401" i="17"/>
  <c r="N358" i="17"/>
  <c r="N299" i="17"/>
  <c r="N293" i="17"/>
  <c r="N246" i="17"/>
  <c r="N219" i="17"/>
  <c r="N206" i="17"/>
  <c r="N204" i="17"/>
  <c r="N186" i="17"/>
  <c r="N167" i="17"/>
  <c r="N159" i="17"/>
  <c r="N146" i="17"/>
  <c r="N138" i="17"/>
  <c r="N130" i="17"/>
  <c r="N119" i="17"/>
  <c r="N108" i="17"/>
  <c r="N97" i="17"/>
  <c r="N485" i="17"/>
  <c r="N381" i="17"/>
  <c r="N301" i="17"/>
  <c r="N265" i="17"/>
  <c r="N172" i="17"/>
  <c r="N653" i="17"/>
  <c r="N539" i="17"/>
  <c r="N480" i="17"/>
  <c r="N463" i="17"/>
  <c r="N435" i="17"/>
  <c r="N429" i="17"/>
  <c r="N416" i="17"/>
  <c r="N328" i="17"/>
  <c r="N263" i="17"/>
  <c r="N217" i="17"/>
  <c r="N195" i="17"/>
  <c r="N193" i="17"/>
  <c r="N133" i="17"/>
  <c r="N122" i="17"/>
  <c r="N111" i="17"/>
  <c r="N791" i="17"/>
  <c r="N767" i="17"/>
  <c r="N659" i="17"/>
  <c r="N592" i="17"/>
  <c r="N560" i="17"/>
  <c r="N424" i="17"/>
  <c r="N374" i="17"/>
  <c r="N313" i="17"/>
  <c r="N261" i="17"/>
  <c r="N202" i="17"/>
  <c r="N184" i="17"/>
  <c r="N182" i="17"/>
  <c r="N647" i="17"/>
  <c r="N557" i="17"/>
  <c r="N487" i="17"/>
  <c r="N393" i="17"/>
  <c r="N351" i="17"/>
  <c r="N255" i="17"/>
  <c r="N232" i="17"/>
  <c r="N213" i="17"/>
  <c r="N211" i="17"/>
  <c r="N200" i="17"/>
  <c r="N515" i="17"/>
  <c r="N503" i="17"/>
  <c r="N482" i="17"/>
  <c r="N376" i="17"/>
  <c r="N315" i="17"/>
  <c r="N257" i="17"/>
  <c r="N230" i="17"/>
  <c r="N191" i="17"/>
  <c r="N175" i="17"/>
  <c r="N144" i="17"/>
  <c r="N128" i="17"/>
  <c r="N571" i="17"/>
  <c r="N491" i="17"/>
  <c r="N352" i="17"/>
  <c r="N337" i="17"/>
  <c r="N227" i="17"/>
  <c r="N170" i="17"/>
  <c r="N166" i="17"/>
  <c r="N132" i="17"/>
  <c r="N110" i="17"/>
  <c r="N96" i="17"/>
  <c r="N67" i="17"/>
  <c r="N56" i="17"/>
  <c r="N45" i="17"/>
  <c r="N410" i="17"/>
  <c r="N334" i="17"/>
  <c r="N285" i="17"/>
  <c r="N280" i="17"/>
  <c r="N149" i="17"/>
  <c r="N101" i="17"/>
  <c r="N75" i="17"/>
  <c r="N708" i="17"/>
  <c r="N407" i="17"/>
  <c r="N349" i="17"/>
  <c r="N344" i="17"/>
  <c r="N307" i="17"/>
  <c r="N178" i="17"/>
  <c r="N147" i="17"/>
  <c r="N145" i="17"/>
  <c r="N91" i="17"/>
  <c r="N83" i="17"/>
  <c r="N70" i="17"/>
  <c r="N59" i="17"/>
  <c r="N48" i="17"/>
  <c r="N496" i="17"/>
  <c r="N437" i="17"/>
  <c r="N354" i="17"/>
  <c r="N339" i="17"/>
  <c r="N266" i="17"/>
  <c r="N222" i="17"/>
  <c r="N180" i="17"/>
  <c r="N162" i="17"/>
  <c r="N78" i="17"/>
  <c r="N346" i="17"/>
  <c r="N302" i="17"/>
  <c r="N252" i="17"/>
  <c r="N238" i="17"/>
  <c r="N164" i="17"/>
  <c r="N117" i="17"/>
  <c r="N62" i="17"/>
  <c r="N51" i="17"/>
  <c r="N40" i="17"/>
  <c r="N573" i="17"/>
  <c r="N564" i="17"/>
  <c r="N440" i="17"/>
  <c r="N359" i="17"/>
  <c r="N282" i="17"/>
  <c r="N268" i="17"/>
  <c r="N233" i="17"/>
  <c r="N160" i="17"/>
  <c r="N158" i="17"/>
  <c r="N141" i="17"/>
  <c r="N126" i="17"/>
  <c r="N115" i="17"/>
  <c r="N99" i="17"/>
  <c r="N86" i="17"/>
  <c r="N701" i="17"/>
  <c r="N336" i="17"/>
  <c r="N331" i="17"/>
  <c r="N208" i="17"/>
  <c r="N139" i="17"/>
  <c r="N104" i="17"/>
  <c r="N89" i="17"/>
  <c r="N458" i="17"/>
  <c r="N333" i="17"/>
  <c r="N294" i="17"/>
  <c r="N210" i="17"/>
  <c r="N171" i="17"/>
  <c r="N113" i="17"/>
  <c r="N76" i="17"/>
  <c r="N724" i="17"/>
  <c r="N492" i="17"/>
  <c r="N368" i="17"/>
  <c r="N203" i="17"/>
  <c r="N173" i="17"/>
  <c r="N129" i="17"/>
  <c r="N120" i="17"/>
  <c r="N363" i="17"/>
  <c r="N316" i="17"/>
  <c r="N305" i="17"/>
  <c r="N183" i="17"/>
  <c r="N161" i="17"/>
  <c r="N42" i="17"/>
  <c r="N288" i="17"/>
  <c r="N283" i="17"/>
  <c r="N131" i="17"/>
  <c r="N601" i="17"/>
  <c r="N385" i="17"/>
  <c r="N321" i="17"/>
  <c r="N296" i="17"/>
  <c r="N277" i="17"/>
  <c r="N205" i="17"/>
  <c r="N185" i="17"/>
  <c r="N163" i="17"/>
  <c r="N156" i="17"/>
  <c r="N142" i="17"/>
  <c r="N140" i="17"/>
  <c r="N102" i="17"/>
  <c r="N758" i="17"/>
  <c r="N425" i="17"/>
  <c r="N370" i="17"/>
  <c r="N347" i="17"/>
  <c r="N124" i="17"/>
  <c r="N620" i="17"/>
  <c r="N465" i="17"/>
  <c r="N272" i="17"/>
  <c r="N258" i="17"/>
  <c r="N207" i="17"/>
  <c r="N594" i="17"/>
  <c r="N387" i="17"/>
  <c r="N356" i="17"/>
  <c r="N318" i="17"/>
  <c r="N310" i="17"/>
  <c r="N451" i="17"/>
  <c r="N274" i="17"/>
  <c r="N106" i="17"/>
  <c r="N77" i="17"/>
  <c r="N69" i="17"/>
  <c r="N504" i="17"/>
  <c r="N494" i="17"/>
  <c r="N329" i="17"/>
  <c r="N323" i="17"/>
  <c r="N304" i="17"/>
  <c r="N290" i="17"/>
  <c r="N260" i="17"/>
  <c r="N247" i="17"/>
  <c r="N228" i="17"/>
  <c r="N177" i="17"/>
  <c r="N135" i="17"/>
  <c r="N81" i="17"/>
  <c r="N79" i="17"/>
  <c r="N73" i="17"/>
  <c r="N71" i="17"/>
  <c r="N65" i="17"/>
  <c r="N63" i="17"/>
  <c r="N61" i="17"/>
  <c r="N606" i="17"/>
  <c r="N454" i="17"/>
  <c r="N95" i="17"/>
  <c r="N93" i="17"/>
  <c r="N87" i="17"/>
  <c r="N85" i="17"/>
  <c r="N57" i="17"/>
  <c r="N55" i="17"/>
  <c r="N49" i="17"/>
  <c r="N47" i="17"/>
  <c r="N661" i="17"/>
  <c r="N626" i="17"/>
  <c r="N471" i="17"/>
  <c r="N279" i="17"/>
  <c r="N276" i="17"/>
  <c r="N239" i="17"/>
  <c r="N236" i="17"/>
  <c r="N137" i="17"/>
  <c r="N53" i="17"/>
  <c r="N43" i="17"/>
  <c r="N562" i="17"/>
  <c r="N192" i="17"/>
  <c r="N153" i="17"/>
  <c r="N325" i="17"/>
  <c r="N241" i="17"/>
  <c r="N225" i="17"/>
  <c r="N199" i="17"/>
  <c r="N155" i="17"/>
  <c r="N112" i="17"/>
  <c r="N148" i="17"/>
  <c r="N125" i="17"/>
  <c r="N473" i="17"/>
  <c r="N216" i="17"/>
  <c r="N578" i="17"/>
  <c r="N72" i="17"/>
  <c r="N80" i="17"/>
  <c r="N366" i="17"/>
  <c r="N181" i="17"/>
  <c r="N134" i="17"/>
  <c r="N88" i="17"/>
  <c r="N521" i="17"/>
  <c r="N312" i="17"/>
  <c r="N196" i="17"/>
  <c r="N152" i="17"/>
  <c r="N66" i="17"/>
  <c r="N58" i="17"/>
  <c r="N50" i="17"/>
  <c r="N74" i="17"/>
  <c r="N82" i="17"/>
  <c r="N107" i="17"/>
  <c r="N90" i="17"/>
  <c r="N224" i="17"/>
  <c r="N68" i="17"/>
  <c r="N60" i="17"/>
  <c r="N136" i="17"/>
  <c r="N121" i="17"/>
  <c r="N52" i="17"/>
  <c r="N44" i="17"/>
  <c r="N526" i="17"/>
  <c r="N523" i="17"/>
  <c r="N243" i="17"/>
  <c r="N118" i="17"/>
  <c r="N98" i="17"/>
  <c r="N41" i="17"/>
  <c r="N157" i="17"/>
  <c r="N92" i="17"/>
  <c r="N84" i="17"/>
  <c r="N249" i="17"/>
  <c r="N109" i="17"/>
  <c r="N189" i="17"/>
  <c r="N214" i="17"/>
  <c r="N391" i="17"/>
  <c r="N377" i="17"/>
  <c r="N320" i="17"/>
  <c r="N254" i="17"/>
  <c r="N194" i="17"/>
  <c r="N114" i="17"/>
  <c r="N100" i="17"/>
  <c r="N64" i="17"/>
  <c r="N103" i="17"/>
  <c r="N169" i="17"/>
  <c r="N54" i="17"/>
  <c r="N123" i="17"/>
  <c r="N235" i="17"/>
  <c r="N150" i="17"/>
  <c r="N46" i="17"/>
  <c r="N94" i="17"/>
  <c r="F30" i="13"/>
  <c r="B11" i="16" s="1"/>
  <c r="B11" i="17"/>
  <c r="D52" i="13"/>
  <c r="F52" i="13" s="1"/>
  <c r="I9" i="10"/>
  <c r="AA10" i="11"/>
  <c r="Y10" i="11"/>
  <c r="H10" i="11"/>
  <c r="E21" i="14"/>
  <c r="E17" i="14"/>
  <c r="E18" i="14" s="1"/>
  <c r="E20" i="14"/>
  <c r="E22" i="14"/>
  <c r="F22" i="14"/>
  <c r="F17" i="14"/>
  <c r="F20" i="14" s="1"/>
  <c r="F21" i="14"/>
  <c r="G17" i="14"/>
  <c r="G20" i="14" s="1"/>
  <c r="G22" i="14"/>
  <c r="G21" i="14"/>
  <c r="G18" i="14"/>
  <c r="AA9" i="11"/>
  <c r="Y9" i="11"/>
  <c r="H9" i="11"/>
  <c r="C12" i="2"/>
  <c r="B55" i="2"/>
  <c r="X8" i="11"/>
  <c r="D11" i="11"/>
  <c r="E11" i="11" s="1"/>
  <c r="T11" i="11" s="1"/>
  <c r="E10" i="10"/>
  <c r="U8" i="5"/>
  <c r="R8" i="5"/>
  <c r="U10" i="5"/>
  <c r="R10" i="5"/>
  <c r="C31" i="13"/>
  <c r="C52" i="13"/>
  <c r="U12" i="5"/>
  <c r="R12" i="5"/>
  <c r="H31" i="14"/>
  <c r="H45" i="14" s="1"/>
  <c r="E31" i="14"/>
  <c r="E45" i="14" s="1"/>
  <c r="O31" i="14"/>
  <c r="N31" i="14"/>
  <c r="N45" i="14" s="1"/>
  <c r="D34" i="10"/>
  <c r="M31" i="14"/>
  <c r="M45" i="14" s="1"/>
  <c r="L31" i="14"/>
  <c r="L45" i="14" s="1"/>
  <c r="K31" i="14"/>
  <c r="K45" i="14" s="1"/>
  <c r="J31" i="14"/>
  <c r="J45" i="14" s="1"/>
  <c r="B44" i="9"/>
  <c r="I31" i="14"/>
  <c r="I45" i="14" s="1"/>
  <c r="G31" i="14"/>
  <c r="G45" i="14" s="1"/>
  <c r="D33" i="10"/>
  <c r="F31" i="14"/>
  <c r="F45" i="14" s="1"/>
  <c r="D31" i="14"/>
  <c r="D45" i="14" s="1"/>
  <c r="C31" i="14"/>
  <c r="D35" i="10"/>
  <c r="E52" i="13"/>
  <c r="E31" i="13"/>
  <c r="K22" i="14"/>
  <c r="K20" i="14"/>
  <c r="K17" i="14"/>
  <c r="K18" i="14"/>
  <c r="K21" i="14"/>
  <c r="N22" i="14"/>
  <c r="N17" i="14"/>
  <c r="N20" i="14" s="1"/>
  <c r="N18" i="14"/>
  <c r="N21" i="14"/>
  <c r="J17" i="14"/>
  <c r="J20" i="14" s="1"/>
  <c r="J22" i="14"/>
  <c r="J21" i="14"/>
  <c r="D17" i="14"/>
  <c r="D21" i="14"/>
  <c r="D18" i="14"/>
  <c r="D22" i="14"/>
  <c r="D20" i="14"/>
  <c r="D30" i="5"/>
  <c r="U9" i="5"/>
  <c r="M18" i="14"/>
  <c r="M22" i="14"/>
  <c r="M20" i="14"/>
  <c r="M17" i="14"/>
  <c r="M21" i="14"/>
  <c r="U13" i="5"/>
  <c r="R13" i="5"/>
  <c r="B10" i="17"/>
  <c r="D40" i="13"/>
  <c r="F40" i="13" s="1"/>
  <c r="B24" i="2" s="1"/>
  <c r="F27" i="13"/>
  <c r="B10" i="16" s="1"/>
  <c r="D51" i="13"/>
  <c r="F51" i="13" s="1"/>
  <c r="H20" i="17"/>
  <c r="I20" i="17"/>
  <c r="D31" i="13"/>
  <c r="F22" i="13"/>
  <c r="B8" i="17"/>
  <c r="D23" i="13"/>
  <c r="I21" i="14"/>
  <c r="I22" i="14"/>
  <c r="I20" i="14"/>
  <c r="I17" i="14"/>
  <c r="I18" i="14"/>
  <c r="O30" i="14"/>
  <c r="D8" i="15" s="1"/>
  <c r="D30" i="14"/>
  <c r="C30" i="14"/>
  <c r="B23" i="9"/>
  <c r="B45" i="9" s="1"/>
  <c r="M30" i="14"/>
  <c r="F30" i="14"/>
  <c r="D30" i="10"/>
  <c r="D36" i="10"/>
  <c r="E36" i="10" s="1"/>
  <c r="H36" i="10" s="1"/>
  <c r="N30" i="14"/>
  <c r="E30" i="14"/>
  <c r="L30" i="14"/>
  <c r="K30" i="14"/>
  <c r="G30" i="14"/>
  <c r="J30" i="14"/>
  <c r="I30" i="14"/>
  <c r="H30" i="14"/>
  <c r="D39" i="11"/>
  <c r="E39" i="11" s="1"/>
  <c r="H39" i="11" s="1"/>
  <c r="K15" i="8"/>
  <c r="U11" i="5"/>
  <c r="R11" i="5"/>
  <c r="L21" i="14"/>
  <c r="L22" i="14"/>
  <c r="L20" i="14"/>
  <c r="L17" i="14"/>
  <c r="L18" i="14"/>
  <c r="C6" i="15" l="1"/>
  <c r="I39" i="11"/>
  <c r="F23" i="13"/>
  <c r="D34" i="13"/>
  <c r="D24" i="13"/>
  <c r="F24" i="13" s="1"/>
  <c r="D25" i="14"/>
  <c r="D27" i="14"/>
  <c r="D26" i="14"/>
  <c r="D24" i="14"/>
  <c r="D28" i="14" s="1"/>
  <c r="D35" i="14" s="1"/>
  <c r="B8" i="16"/>
  <c r="B66" i="13"/>
  <c r="C18" i="14"/>
  <c r="E42" i="13"/>
  <c r="E32" i="13"/>
  <c r="E34" i="13"/>
  <c r="G25" i="14"/>
  <c r="G28" i="14"/>
  <c r="G35" i="14" s="1"/>
  <c r="G26" i="14"/>
  <c r="G24" i="14"/>
  <c r="G27" i="14"/>
  <c r="C42" i="13"/>
  <c r="C32" i="13"/>
  <c r="C34" i="13"/>
  <c r="D23" i="15"/>
  <c r="E27" i="14"/>
  <c r="E25" i="14"/>
  <c r="E26" i="14"/>
  <c r="E24" i="14"/>
  <c r="E28" i="14" s="1"/>
  <c r="E35" i="14" s="1"/>
  <c r="D38" i="11"/>
  <c r="E38" i="11" s="1"/>
  <c r="H38" i="11" s="1"/>
  <c r="E35" i="10"/>
  <c r="H35" i="10" s="1"/>
  <c r="D42" i="13"/>
  <c r="D32" i="13"/>
  <c r="F32" i="13" s="1"/>
  <c r="F31" i="13"/>
  <c r="B67" i="13" s="1"/>
  <c r="D20" i="17"/>
  <c r="B20" i="17"/>
  <c r="J18" i="14"/>
  <c r="F18" i="14"/>
  <c r="C45" i="14"/>
  <c r="C9" i="15"/>
  <c r="D36" i="11"/>
  <c r="E36" i="11" s="1"/>
  <c r="H36" i="11" s="1"/>
  <c r="E33" i="10"/>
  <c r="H33" i="10" s="1"/>
  <c r="I10" i="11"/>
  <c r="W10" i="11"/>
  <c r="X10" i="11" s="1"/>
  <c r="O26" i="14"/>
  <c r="O24" i="14"/>
  <c r="O28" i="14" s="1"/>
  <c r="O25" i="14"/>
  <c r="O27" i="14"/>
  <c r="D5" i="15"/>
  <c r="D21" i="15" s="1"/>
  <c r="H10" i="10"/>
  <c r="H40" i="10"/>
  <c r="L26" i="14"/>
  <c r="L24" i="14"/>
  <c r="L25" i="14"/>
  <c r="L27" i="14"/>
  <c r="L28" i="14" s="1"/>
  <c r="L35" i="14" s="1"/>
  <c r="D33" i="11"/>
  <c r="E33" i="11" s="1"/>
  <c r="H33" i="11" s="1"/>
  <c r="E30" i="10"/>
  <c r="H30" i="10" s="1"/>
  <c r="H11" i="11"/>
  <c r="H26" i="11" s="1"/>
  <c r="AA11" i="11"/>
  <c r="Y11" i="11"/>
  <c r="Y26" i="11" s="1"/>
  <c r="C8" i="15"/>
  <c r="D37" i="11"/>
  <c r="E37" i="11" s="1"/>
  <c r="H37" i="11" s="1"/>
  <c r="E34" i="10"/>
  <c r="H34" i="10" s="1"/>
  <c r="H18" i="14"/>
  <c r="I36" i="10"/>
  <c r="N24" i="14"/>
  <c r="N28" i="14" s="1"/>
  <c r="N35" i="14" s="1"/>
  <c r="N26" i="14"/>
  <c r="N27" i="14"/>
  <c r="N25" i="14"/>
  <c r="T26" i="11"/>
  <c r="K26" i="14"/>
  <c r="K24" i="14"/>
  <c r="K28" i="14" s="1"/>
  <c r="K35" i="14" s="1"/>
  <c r="K25" i="14"/>
  <c r="K27" i="14"/>
  <c r="D24" i="15"/>
  <c r="O44" i="14"/>
  <c r="O45" i="14" s="1"/>
  <c r="D9" i="15"/>
  <c r="D25" i="15" s="1"/>
  <c r="W9" i="11"/>
  <c r="I9" i="11"/>
  <c r="I28" i="14"/>
  <c r="I35" i="14" s="1"/>
  <c r="I26" i="14"/>
  <c r="I24" i="14"/>
  <c r="I25" i="14"/>
  <c r="I27" i="14"/>
  <c r="M26" i="14"/>
  <c r="M24" i="14"/>
  <c r="M27" i="14"/>
  <c r="M25" i="14"/>
  <c r="M28" i="14" s="1"/>
  <c r="M35" i="14" s="1"/>
  <c r="H43" i="11" l="1"/>
  <c r="D57" i="11"/>
  <c r="I26" i="11"/>
  <c r="N36" i="14"/>
  <c r="E36" i="14"/>
  <c r="L36" i="14"/>
  <c r="K36" i="14"/>
  <c r="M36" i="14"/>
  <c r="D36" i="14"/>
  <c r="O35" i="14"/>
  <c r="D7" i="15"/>
  <c r="E43" i="13"/>
  <c r="E46" i="13"/>
  <c r="E45" i="13"/>
  <c r="D35" i="2" s="1"/>
  <c r="H9" i="15"/>
  <c r="C27" i="14"/>
  <c r="C25" i="14"/>
  <c r="C24" i="14"/>
  <c r="C28" i="14" s="1"/>
  <c r="C26" i="14"/>
  <c r="C5" i="15"/>
  <c r="C23" i="15" s="1"/>
  <c r="P1039" i="17"/>
  <c r="J1039" i="17" s="1"/>
  <c r="P1034" i="17"/>
  <c r="J1034" i="17" s="1"/>
  <c r="P1023" i="17"/>
  <c r="J1023" i="17" s="1"/>
  <c r="P1012" i="17"/>
  <c r="J1012" i="17" s="1"/>
  <c r="P1001" i="17"/>
  <c r="J1001" i="17" s="1"/>
  <c r="P990" i="17"/>
  <c r="J990" i="17" s="1"/>
  <c r="P979" i="17"/>
  <c r="J979" i="17" s="1"/>
  <c r="P968" i="17"/>
  <c r="J968" i="17" s="1"/>
  <c r="P957" i="17"/>
  <c r="J957" i="17" s="1"/>
  <c r="P946" i="17"/>
  <c r="J946" i="17" s="1"/>
  <c r="P935" i="17"/>
  <c r="J935" i="17" s="1"/>
  <c r="P924" i="17"/>
  <c r="J924" i="17" s="1"/>
  <c r="P913" i="17"/>
  <c r="J913" i="17" s="1"/>
  <c r="P902" i="17"/>
  <c r="J902" i="17" s="1"/>
  <c r="P891" i="17"/>
  <c r="J891" i="17" s="1"/>
  <c r="P880" i="17"/>
  <c r="J880" i="17" s="1"/>
  <c r="P869" i="17"/>
  <c r="J869" i="17" s="1"/>
  <c r="P858" i="17"/>
  <c r="J858" i="17" s="1"/>
  <c r="P847" i="17"/>
  <c r="J847" i="17" s="1"/>
  <c r="P836" i="17"/>
  <c r="J836" i="17" s="1"/>
  <c r="P825" i="17"/>
  <c r="J825" i="17" s="1"/>
  <c r="P814" i="17"/>
  <c r="J814" i="17" s="1"/>
  <c r="P989" i="17"/>
  <c r="J989" i="17" s="1"/>
  <c r="P984" i="17"/>
  <c r="J984" i="17" s="1"/>
  <c r="P931" i="17"/>
  <c r="J931" i="17" s="1"/>
  <c r="P885" i="17"/>
  <c r="J885" i="17" s="1"/>
  <c r="P864" i="17"/>
  <c r="J864" i="17" s="1"/>
  <c r="P1037" i="17"/>
  <c r="J1037" i="17" s="1"/>
  <c r="P1007" i="17"/>
  <c r="J1007" i="17" s="1"/>
  <c r="P1002" i="17"/>
  <c r="J1002" i="17" s="1"/>
  <c r="P959" i="17"/>
  <c r="J959" i="17" s="1"/>
  <c r="P954" i="17"/>
  <c r="J954" i="17" s="1"/>
  <c r="P949" i="17"/>
  <c r="J949" i="17" s="1"/>
  <c r="P944" i="17"/>
  <c r="J944" i="17" s="1"/>
  <c r="P939" i="17"/>
  <c r="J939" i="17" s="1"/>
  <c r="P888" i="17"/>
  <c r="J888" i="17" s="1"/>
  <c r="P867" i="17"/>
  <c r="J867" i="17" s="1"/>
  <c r="P846" i="17"/>
  <c r="J846" i="17" s="1"/>
  <c r="P838" i="17"/>
  <c r="J838" i="17" s="1"/>
  <c r="P817" i="17"/>
  <c r="J817" i="17" s="1"/>
  <c r="P801" i="17"/>
  <c r="J801" i="17" s="1"/>
  <c r="P790" i="17"/>
  <c r="J790" i="17" s="1"/>
  <c r="P1035" i="17"/>
  <c r="J1035" i="17" s="1"/>
  <c r="P992" i="17"/>
  <c r="J992" i="17" s="1"/>
  <c r="P987" i="17"/>
  <c r="J987" i="17" s="1"/>
  <c r="P982" i="17"/>
  <c r="J982" i="17" s="1"/>
  <c r="P977" i="17"/>
  <c r="J977" i="17" s="1"/>
  <c r="P972" i="17"/>
  <c r="J972" i="17" s="1"/>
  <c r="P919" i="17"/>
  <c r="J919" i="17" s="1"/>
  <c r="P914" i="17"/>
  <c r="J914" i="17" s="1"/>
  <c r="P883" i="17"/>
  <c r="J883" i="17" s="1"/>
  <c r="P862" i="17"/>
  <c r="J862" i="17" s="1"/>
  <c r="P1022" i="17"/>
  <c r="J1022" i="17" s="1"/>
  <c r="P1006" i="17"/>
  <c r="J1006" i="17" s="1"/>
  <c r="P997" i="17"/>
  <c r="J997" i="17" s="1"/>
  <c r="P860" i="17"/>
  <c r="J860" i="17" s="1"/>
  <c r="P853" i="17"/>
  <c r="J853" i="17" s="1"/>
  <c r="P828" i="17"/>
  <c r="J828" i="17" s="1"/>
  <c r="P823" i="17"/>
  <c r="J823" i="17" s="1"/>
  <c r="P818" i="17"/>
  <c r="J818" i="17" s="1"/>
  <c r="P813" i="17"/>
  <c r="J813" i="17" s="1"/>
  <c r="P800" i="17"/>
  <c r="J800" i="17" s="1"/>
  <c r="P792" i="17"/>
  <c r="J792" i="17" s="1"/>
  <c r="P784" i="17"/>
  <c r="J784" i="17" s="1"/>
  <c r="P773" i="17"/>
  <c r="J773" i="17" s="1"/>
  <c r="P762" i="17"/>
  <c r="J762" i="17" s="1"/>
  <c r="P1013" i="17"/>
  <c r="J1013" i="17" s="1"/>
  <c r="P970" i="17"/>
  <c r="J970" i="17" s="1"/>
  <c r="P961" i="17"/>
  <c r="J961" i="17" s="1"/>
  <c r="P927" i="17"/>
  <c r="J927" i="17" s="1"/>
  <c r="P918" i="17"/>
  <c r="J918" i="17" s="1"/>
  <c r="P909" i="17"/>
  <c r="J909" i="17" s="1"/>
  <c r="P900" i="17"/>
  <c r="J900" i="17" s="1"/>
  <c r="P874" i="17"/>
  <c r="J874" i="17" s="1"/>
  <c r="P1029" i="17"/>
  <c r="J1029" i="17" s="1"/>
  <c r="P995" i="17"/>
  <c r="J995" i="17" s="1"/>
  <c r="P945" i="17"/>
  <c r="J945" i="17" s="1"/>
  <c r="P936" i="17"/>
  <c r="J936" i="17" s="1"/>
  <c r="P925" i="17"/>
  <c r="J925" i="17" s="1"/>
  <c r="P886" i="17"/>
  <c r="J886" i="17" s="1"/>
  <c r="P879" i="17"/>
  <c r="J879" i="17" s="1"/>
  <c r="P808" i="17"/>
  <c r="J808" i="17" s="1"/>
  <c r="P787" i="17"/>
  <c r="J787" i="17" s="1"/>
  <c r="P776" i="17"/>
  <c r="J776" i="17" s="1"/>
  <c r="P765" i="17"/>
  <c r="J765" i="17" s="1"/>
  <c r="P1011" i="17"/>
  <c r="J1011" i="17" s="1"/>
  <c r="P993" i="17"/>
  <c r="J993" i="17" s="1"/>
  <c r="P1036" i="17"/>
  <c r="J1036" i="17" s="1"/>
  <c r="P1018" i="17"/>
  <c r="J1018" i="17" s="1"/>
  <c r="P1004" i="17"/>
  <c r="J1004" i="17" s="1"/>
  <c r="P966" i="17"/>
  <c r="J966" i="17" s="1"/>
  <c r="P950" i="17"/>
  <c r="J950" i="17" s="1"/>
  <c r="P943" i="17"/>
  <c r="J943" i="17" s="1"/>
  <c r="P905" i="17"/>
  <c r="J905" i="17" s="1"/>
  <c r="P816" i="17"/>
  <c r="J816" i="17" s="1"/>
  <c r="P1038" i="17"/>
  <c r="J1038" i="17" s="1"/>
  <c r="P975" i="17"/>
  <c r="J975" i="17" s="1"/>
  <c r="P1000" i="17"/>
  <c r="J1000" i="17" s="1"/>
  <c r="P964" i="17"/>
  <c r="J964" i="17" s="1"/>
  <c r="P941" i="17"/>
  <c r="J941" i="17" s="1"/>
  <c r="P889" i="17"/>
  <c r="J889" i="17" s="1"/>
  <c r="P877" i="17"/>
  <c r="J877" i="17" s="1"/>
  <c r="P856" i="17"/>
  <c r="J856" i="17" s="1"/>
  <c r="P829" i="17"/>
  <c r="J829" i="17" s="1"/>
  <c r="P824" i="17"/>
  <c r="J824" i="17" s="1"/>
  <c r="P793" i="17"/>
  <c r="J793" i="17" s="1"/>
  <c r="P947" i="17"/>
  <c r="J947" i="17" s="1"/>
  <c r="P848" i="17"/>
  <c r="J848" i="17" s="1"/>
  <c r="P820" i="17"/>
  <c r="J820" i="17" s="1"/>
  <c r="P1010" i="17"/>
  <c r="J1010" i="17" s="1"/>
  <c r="P1008" i="17"/>
  <c r="J1008" i="17" s="1"/>
  <c r="P974" i="17"/>
  <c r="J974" i="17" s="1"/>
  <c r="P955" i="17"/>
  <c r="J955" i="17" s="1"/>
  <c r="P953" i="17"/>
  <c r="J953" i="17" s="1"/>
  <c r="P951" i="17"/>
  <c r="J951" i="17" s="1"/>
  <c r="P920" i="17"/>
  <c r="J920" i="17" s="1"/>
  <c r="P916" i="17"/>
  <c r="J916" i="17" s="1"/>
  <c r="P1027" i="17"/>
  <c r="J1027" i="17" s="1"/>
  <c r="P978" i="17"/>
  <c r="J978" i="17" s="1"/>
  <c r="P965" i="17"/>
  <c r="J965" i="17" s="1"/>
  <c r="P963" i="17"/>
  <c r="J963" i="17" s="1"/>
  <c r="P844" i="17"/>
  <c r="J844" i="17" s="1"/>
  <c r="P842" i="17"/>
  <c r="J842" i="17" s="1"/>
  <c r="P799" i="17"/>
  <c r="J799" i="17" s="1"/>
  <c r="P788" i="17"/>
  <c r="J788" i="17" s="1"/>
  <c r="P774" i="17"/>
  <c r="J774" i="17" s="1"/>
  <c r="P760" i="17"/>
  <c r="J760" i="17" s="1"/>
  <c r="P980" i="17"/>
  <c r="J980" i="17" s="1"/>
  <c r="P967" i="17"/>
  <c r="J967" i="17" s="1"/>
  <c r="P934" i="17"/>
  <c r="J934" i="17" s="1"/>
  <c r="P928" i="17"/>
  <c r="J928" i="17" s="1"/>
  <c r="P926" i="17"/>
  <c r="J926" i="17" s="1"/>
  <c r="P932" i="17"/>
  <c r="J932" i="17" s="1"/>
  <c r="P930" i="17"/>
  <c r="J930" i="17" s="1"/>
  <c r="P1026" i="17"/>
  <c r="J1026" i="17" s="1"/>
  <c r="P1024" i="17"/>
  <c r="J1024" i="17" s="1"/>
  <c r="P1014" i="17"/>
  <c r="J1014" i="17" s="1"/>
  <c r="P983" i="17"/>
  <c r="J983" i="17" s="1"/>
  <c r="P973" i="17"/>
  <c r="J973" i="17" s="1"/>
  <c r="P922" i="17"/>
  <c r="J922" i="17" s="1"/>
  <c r="P895" i="17"/>
  <c r="J895" i="17" s="1"/>
  <c r="P873" i="17"/>
  <c r="J873" i="17" s="1"/>
  <c r="P871" i="17"/>
  <c r="J871" i="17" s="1"/>
  <c r="P815" i="17"/>
  <c r="J815" i="17" s="1"/>
  <c r="P807" i="17"/>
  <c r="J807" i="17" s="1"/>
  <c r="P764" i="17"/>
  <c r="J764" i="17" s="1"/>
  <c r="P744" i="17"/>
  <c r="J744" i="17" s="1"/>
  <c r="P981" i="17"/>
  <c r="J981" i="17" s="1"/>
  <c r="P915" i="17"/>
  <c r="J915" i="17" s="1"/>
  <c r="P899" i="17"/>
  <c r="J899" i="17" s="1"/>
  <c r="P897" i="17"/>
  <c r="J897" i="17" s="1"/>
  <c r="P884" i="17"/>
  <c r="J884" i="17" s="1"/>
  <c r="P875" i="17"/>
  <c r="J875" i="17" s="1"/>
  <c r="P786" i="17"/>
  <c r="J786" i="17" s="1"/>
  <c r="P752" i="17"/>
  <c r="J752" i="17" s="1"/>
  <c r="P731" i="17"/>
  <c r="J731" i="17" s="1"/>
  <c r="P720" i="17"/>
  <c r="J720" i="17" s="1"/>
  <c r="P709" i="17"/>
  <c r="J709" i="17" s="1"/>
  <c r="P698" i="17"/>
  <c r="J698" i="17" s="1"/>
  <c r="P687" i="17"/>
  <c r="J687" i="17" s="1"/>
  <c r="P676" i="17"/>
  <c r="J676" i="17" s="1"/>
  <c r="P665" i="17"/>
  <c r="J665" i="17" s="1"/>
  <c r="P1031" i="17"/>
  <c r="J1031" i="17" s="1"/>
  <c r="P1016" i="17"/>
  <c r="J1016" i="17" s="1"/>
  <c r="P985" i="17"/>
  <c r="J985" i="17" s="1"/>
  <c r="P929" i="17"/>
  <c r="J929" i="17" s="1"/>
  <c r="P917" i="17"/>
  <c r="J917" i="17" s="1"/>
  <c r="P910" i="17"/>
  <c r="J910" i="17" s="1"/>
  <c r="P901" i="17"/>
  <c r="J901" i="17" s="1"/>
  <c r="P739" i="17"/>
  <c r="J739" i="17" s="1"/>
  <c r="P1021" i="17"/>
  <c r="J1021" i="17" s="1"/>
  <c r="P956" i="17"/>
  <c r="J956" i="17" s="1"/>
  <c r="P933" i="17"/>
  <c r="J933" i="17" s="1"/>
  <c r="P903" i="17"/>
  <c r="J903" i="17" s="1"/>
  <c r="P819" i="17"/>
  <c r="J819" i="17" s="1"/>
  <c r="P805" i="17"/>
  <c r="J805" i="17" s="1"/>
  <c r="P782" i="17"/>
  <c r="J782" i="17" s="1"/>
  <c r="P747" i="17"/>
  <c r="J747" i="17" s="1"/>
  <c r="P958" i="17"/>
  <c r="J958" i="17" s="1"/>
  <c r="P845" i="17"/>
  <c r="J845" i="17" s="1"/>
  <c r="P837" i="17"/>
  <c r="J837" i="17" s="1"/>
  <c r="P835" i="17"/>
  <c r="J835" i="17" s="1"/>
  <c r="P833" i="17"/>
  <c r="J833" i="17" s="1"/>
  <c r="P831" i="17"/>
  <c r="J831" i="17" s="1"/>
  <c r="P771" i="17"/>
  <c r="J771" i="17" s="1"/>
  <c r="P755" i="17"/>
  <c r="J755" i="17" s="1"/>
  <c r="P734" i="17"/>
  <c r="J734" i="17" s="1"/>
  <c r="P1033" i="17"/>
  <c r="J1033" i="17" s="1"/>
  <c r="P1028" i="17"/>
  <c r="J1028" i="17" s="1"/>
  <c r="P999" i="17"/>
  <c r="J999" i="17" s="1"/>
  <c r="P948" i="17"/>
  <c r="J948" i="17" s="1"/>
  <c r="P866" i="17"/>
  <c r="J866" i="17" s="1"/>
  <c r="P841" i="17"/>
  <c r="J841" i="17" s="1"/>
  <c r="P821" i="17"/>
  <c r="J821" i="17" s="1"/>
  <c r="P803" i="17"/>
  <c r="J803" i="17" s="1"/>
  <c r="P960" i="17"/>
  <c r="J960" i="17" s="1"/>
  <c r="P843" i="17"/>
  <c r="J843" i="17" s="1"/>
  <c r="P839" i="17"/>
  <c r="J839" i="17" s="1"/>
  <c r="P827" i="17"/>
  <c r="J827" i="17" s="1"/>
  <c r="P797" i="17"/>
  <c r="J797" i="17" s="1"/>
  <c r="P769" i="17"/>
  <c r="J769" i="17" s="1"/>
  <c r="P750" i="17"/>
  <c r="J750" i="17" s="1"/>
  <c r="P994" i="17"/>
  <c r="J994" i="17" s="1"/>
  <c r="P937" i="17"/>
  <c r="J937" i="17" s="1"/>
  <c r="P912" i="17"/>
  <c r="J912" i="17" s="1"/>
  <c r="P851" i="17"/>
  <c r="J851" i="17" s="1"/>
  <c r="P795" i="17"/>
  <c r="J795" i="17" s="1"/>
  <c r="P791" i="17"/>
  <c r="J791" i="17" s="1"/>
  <c r="P1003" i="17"/>
  <c r="J1003" i="17" s="1"/>
  <c r="P921" i="17"/>
  <c r="J921" i="17" s="1"/>
  <c r="P907" i="17"/>
  <c r="J907" i="17" s="1"/>
  <c r="P890" i="17"/>
  <c r="J890" i="17" s="1"/>
  <c r="P868" i="17"/>
  <c r="J868" i="17" s="1"/>
  <c r="P849" i="17"/>
  <c r="J849" i="17" s="1"/>
  <c r="P812" i="17"/>
  <c r="J812" i="17" s="1"/>
  <c r="P767" i="17"/>
  <c r="J767" i="17" s="1"/>
  <c r="P1020" i="17"/>
  <c r="J1020" i="17" s="1"/>
  <c r="P896" i="17"/>
  <c r="J896" i="17" s="1"/>
  <c r="P861" i="17"/>
  <c r="J861" i="17" s="1"/>
  <c r="P1030" i="17"/>
  <c r="J1030" i="17" s="1"/>
  <c r="P1015" i="17"/>
  <c r="J1015" i="17" s="1"/>
  <c r="P938" i="17"/>
  <c r="J938" i="17" s="1"/>
  <c r="P892" i="17"/>
  <c r="J892" i="17" s="1"/>
  <c r="P887" i="17"/>
  <c r="J887" i="17" s="1"/>
  <c r="P882" i="17"/>
  <c r="J882" i="17" s="1"/>
  <c r="P778" i="17"/>
  <c r="J778" i="17" s="1"/>
  <c r="P736" i="17"/>
  <c r="J736" i="17" s="1"/>
  <c r="P700" i="17"/>
  <c r="J700" i="17" s="1"/>
  <c r="P695" i="17"/>
  <c r="J695" i="17" s="1"/>
  <c r="P690" i="17"/>
  <c r="J690" i="17" s="1"/>
  <c r="P685" i="17"/>
  <c r="J685" i="17" s="1"/>
  <c r="P680" i="17"/>
  <c r="J680" i="17" s="1"/>
  <c r="P675" i="17"/>
  <c r="J675" i="17" s="1"/>
  <c r="P969" i="17"/>
  <c r="J969" i="17" s="1"/>
  <c r="P809" i="17"/>
  <c r="J809" i="17" s="1"/>
  <c r="P723" i="17"/>
  <c r="J723" i="17" s="1"/>
  <c r="P714" i="17"/>
  <c r="J714" i="17" s="1"/>
  <c r="P705" i="17"/>
  <c r="J705" i="17" s="1"/>
  <c r="P654" i="17"/>
  <c r="J654" i="17" s="1"/>
  <c r="P643" i="17"/>
  <c r="J643" i="17" s="1"/>
  <c r="P632" i="17"/>
  <c r="J632" i="17" s="1"/>
  <c r="P621" i="17"/>
  <c r="J621" i="17" s="1"/>
  <c r="P610" i="17"/>
  <c r="J610" i="17" s="1"/>
  <c r="P599" i="17"/>
  <c r="J599" i="17" s="1"/>
  <c r="P588" i="17"/>
  <c r="J588" i="17" s="1"/>
  <c r="P577" i="17"/>
  <c r="J577" i="17" s="1"/>
  <c r="P566" i="17"/>
  <c r="J566" i="17" s="1"/>
  <c r="P555" i="17"/>
  <c r="J555" i="17" s="1"/>
  <c r="P544" i="17"/>
  <c r="J544" i="17" s="1"/>
  <c r="P533" i="17"/>
  <c r="J533" i="17" s="1"/>
  <c r="P996" i="17"/>
  <c r="J996" i="17" s="1"/>
  <c r="P857" i="17"/>
  <c r="J857" i="17" s="1"/>
  <c r="P852" i="17"/>
  <c r="J852" i="17" s="1"/>
  <c r="P834" i="17"/>
  <c r="J834" i="17" s="1"/>
  <c r="P780" i="17"/>
  <c r="J780" i="17" s="1"/>
  <c r="P732" i="17"/>
  <c r="J732" i="17" s="1"/>
  <c r="P730" i="17"/>
  <c r="J730" i="17" s="1"/>
  <c r="P670" i="17"/>
  <c r="J670" i="17" s="1"/>
  <c r="P806" i="17"/>
  <c r="J806" i="17" s="1"/>
  <c r="P751" i="17"/>
  <c r="J751" i="17" s="1"/>
  <c r="P721" i="17"/>
  <c r="J721" i="17" s="1"/>
  <c r="P712" i="17"/>
  <c r="J712" i="17" s="1"/>
  <c r="P657" i="17"/>
  <c r="J657" i="17" s="1"/>
  <c r="P646" i="17"/>
  <c r="J646" i="17" s="1"/>
  <c r="P635" i="17"/>
  <c r="J635" i="17" s="1"/>
  <c r="P624" i="17"/>
  <c r="J624" i="17" s="1"/>
  <c r="P613" i="17"/>
  <c r="J613" i="17" s="1"/>
  <c r="P602" i="17"/>
  <c r="J602" i="17" s="1"/>
  <c r="P591" i="17"/>
  <c r="J591" i="17" s="1"/>
  <c r="P580" i="17"/>
  <c r="J580" i="17" s="1"/>
  <c r="P569" i="17"/>
  <c r="J569" i="17" s="1"/>
  <c r="P558" i="17"/>
  <c r="J558" i="17" s="1"/>
  <c r="P547" i="17"/>
  <c r="J547" i="17" s="1"/>
  <c r="P876" i="17"/>
  <c r="J876" i="17" s="1"/>
  <c r="P870" i="17"/>
  <c r="J870" i="17" s="1"/>
  <c r="P811" i="17"/>
  <c r="J811" i="17" s="1"/>
  <c r="P794" i="17"/>
  <c r="J794" i="17" s="1"/>
  <c r="P775" i="17"/>
  <c r="J775" i="17" s="1"/>
  <c r="P766" i="17"/>
  <c r="J766" i="17" s="1"/>
  <c r="P745" i="17"/>
  <c r="J745" i="17" s="1"/>
  <c r="P743" i="17"/>
  <c r="J743" i="17" s="1"/>
  <c r="P719" i="17"/>
  <c r="J719" i="17" s="1"/>
  <c r="P693" i="17"/>
  <c r="J693" i="17" s="1"/>
  <c r="P688" i="17"/>
  <c r="J688" i="17" s="1"/>
  <c r="P683" i="17"/>
  <c r="J683" i="17" s="1"/>
  <c r="P998" i="17"/>
  <c r="J998" i="17" s="1"/>
  <c r="P940" i="17"/>
  <c r="J940" i="17" s="1"/>
  <c r="P911" i="17"/>
  <c r="J911" i="17" s="1"/>
  <c r="P894" i="17"/>
  <c r="J894" i="17" s="1"/>
  <c r="P822" i="17"/>
  <c r="J822" i="17" s="1"/>
  <c r="P761" i="17"/>
  <c r="J761" i="17" s="1"/>
  <c r="P753" i="17"/>
  <c r="J753" i="17" s="1"/>
  <c r="P749" i="17"/>
  <c r="J749" i="17" s="1"/>
  <c r="P710" i="17"/>
  <c r="J710" i="17" s="1"/>
  <c r="P660" i="17"/>
  <c r="J660" i="17" s="1"/>
  <c r="P649" i="17"/>
  <c r="J649" i="17" s="1"/>
  <c r="P638" i="17"/>
  <c r="J638" i="17" s="1"/>
  <c r="P627" i="17"/>
  <c r="J627" i="17" s="1"/>
  <c r="P616" i="17"/>
  <c r="J616" i="17" s="1"/>
  <c r="P605" i="17"/>
  <c r="J605" i="17" s="1"/>
  <c r="P594" i="17"/>
  <c r="J594" i="17" s="1"/>
  <c r="P583" i="17"/>
  <c r="J583" i="17" s="1"/>
  <c r="P572" i="17"/>
  <c r="J572" i="17" s="1"/>
  <c r="P561" i="17"/>
  <c r="J561" i="17" s="1"/>
  <c r="P550" i="17"/>
  <c r="J550" i="17" s="1"/>
  <c r="P539" i="17"/>
  <c r="J539" i="17" s="1"/>
  <c r="P528" i="17"/>
  <c r="J528" i="17" s="1"/>
  <c r="P1032" i="17"/>
  <c r="J1032" i="17" s="1"/>
  <c r="P1017" i="17"/>
  <c r="J1017" i="17" s="1"/>
  <c r="P908" i="17"/>
  <c r="J908" i="17" s="1"/>
  <c r="P859" i="17"/>
  <c r="J859" i="17" s="1"/>
  <c r="P854" i="17"/>
  <c r="J854" i="17" s="1"/>
  <c r="P796" i="17"/>
  <c r="J796" i="17" s="1"/>
  <c r="P759" i="17"/>
  <c r="J759" i="17" s="1"/>
  <c r="P703" i="17"/>
  <c r="J703" i="17" s="1"/>
  <c r="P678" i="17"/>
  <c r="J678" i="17" s="1"/>
  <c r="P673" i="17"/>
  <c r="J673" i="17" s="1"/>
  <c r="P668" i="17"/>
  <c r="J668" i="17" s="1"/>
  <c r="P923" i="17"/>
  <c r="J923" i="17" s="1"/>
  <c r="P881" i="17"/>
  <c r="J881" i="17" s="1"/>
  <c r="P789" i="17"/>
  <c r="J789" i="17" s="1"/>
  <c r="P768" i="17"/>
  <c r="J768" i="17" s="1"/>
  <c r="P757" i="17"/>
  <c r="J757" i="17" s="1"/>
  <c r="P741" i="17"/>
  <c r="J741" i="17" s="1"/>
  <c r="P728" i="17"/>
  <c r="J728" i="17" s="1"/>
  <c r="P708" i="17"/>
  <c r="J708" i="17" s="1"/>
  <c r="P663" i="17"/>
  <c r="J663" i="17" s="1"/>
  <c r="P652" i="17"/>
  <c r="J652" i="17" s="1"/>
  <c r="P971" i="17"/>
  <c r="J971" i="17" s="1"/>
  <c r="P763" i="17"/>
  <c r="J763" i="17" s="1"/>
  <c r="P726" i="17"/>
  <c r="J726" i="17" s="1"/>
  <c r="P701" i="17"/>
  <c r="J701" i="17" s="1"/>
  <c r="P696" i="17"/>
  <c r="J696" i="17" s="1"/>
  <c r="P691" i="17"/>
  <c r="J691" i="17" s="1"/>
  <c r="P686" i="17"/>
  <c r="J686" i="17" s="1"/>
  <c r="P942" i="17"/>
  <c r="J942" i="17" s="1"/>
  <c r="P872" i="17"/>
  <c r="J872" i="17" s="1"/>
  <c r="P658" i="17"/>
  <c r="J658" i="17" s="1"/>
  <c r="P647" i="17"/>
  <c r="J647" i="17" s="1"/>
  <c r="P636" i="17"/>
  <c r="J636" i="17" s="1"/>
  <c r="P625" i="17"/>
  <c r="J625" i="17" s="1"/>
  <c r="P614" i="17"/>
  <c r="J614" i="17" s="1"/>
  <c r="P603" i="17"/>
  <c r="J603" i="17" s="1"/>
  <c r="P1009" i="17"/>
  <c r="J1009" i="17" s="1"/>
  <c r="P804" i="17"/>
  <c r="J804" i="17" s="1"/>
  <c r="P716" i="17"/>
  <c r="J716" i="17" s="1"/>
  <c r="P667" i="17"/>
  <c r="J667" i="17" s="1"/>
  <c r="P593" i="17"/>
  <c r="J593" i="17" s="1"/>
  <c r="P537" i="17"/>
  <c r="J537" i="17" s="1"/>
  <c r="P522" i="17"/>
  <c r="J522" i="17" s="1"/>
  <c r="P511" i="17"/>
  <c r="J511" i="17" s="1"/>
  <c r="P500" i="17"/>
  <c r="J500" i="17" s="1"/>
  <c r="P489" i="17"/>
  <c r="J489" i="17" s="1"/>
  <c r="P478" i="17"/>
  <c r="J478" i="17" s="1"/>
  <c r="P467" i="17"/>
  <c r="J467" i="17" s="1"/>
  <c r="P456" i="17"/>
  <c r="J456" i="17" s="1"/>
  <c r="P445" i="17"/>
  <c r="J445" i="17" s="1"/>
  <c r="P434" i="17"/>
  <c r="J434" i="17" s="1"/>
  <c r="P423" i="17"/>
  <c r="J423" i="17" s="1"/>
  <c r="P412" i="17"/>
  <c r="J412" i="17" s="1"/>
  <c r="P1019" i="17"/>
  <c r="J1019" i="17" s="1"/>
  <c r="P893" i="17"/>
  <c r="J893" i="17" s="1"/>
  <c r="P840" i="17"/>
  <c r="J840" i="17" s="1"/>
  <c r="P810" i="17"/>
  <c r="J810" i="17" s="1"/>
  <c r="P798" i="17"/>
  <c r="J798" i="17" s="1"/>
  <c r="P735" i="17"/>
  <c r="J735" i="17" s="1"/>
  <c r="P684" i="17"/>
  <c r="J684" i="17" s="1"/>
  <c r="P584" i="17"/>
  <c r="J584" i="17" s="1"/>
  <c r="P570" i="17"/>
  <c r="J570" i="17" s="1"/>
  <c r="P556" i="17"/>
  <c r="J556" i="17" s="1"/>
  <c r="P991" i="17"/>
  <c r="J991" i="17" s="1"/>
  <c r="P988" i="17"/>
  <c r="J988" i="17" s="1"/>
  <c r="P718" i="17"/>
  <c r="J718" i="17" s="1"/>
  <c r="P711" i="17"/>
  <c r="J711" i="17" s="1"/>
  <c r="P671" i="17"/>
  <c r="J671" i="17" s="1"/>
  <c r="P656" i="17"/>
  <c r="J656" i="17" s="1"/>
  <c r="P600" i="17"/>
  <c r="J600" i="17" s="1"/>
  <c r="P598" i="17"/>
  <c r="J598" i="17" s="1"/>
  <c r="P549" i="17"/>
  <c r="J549" i="17" s="1"/>
  <c r="P542" i="17"/>
  <c r="J542" i="17" s="1"/>
  <c r="P525" i="17"/>
  <c r="J525" i="17" s="1"/>
  <c r="P514" i="17"/>
  <c r="J514" i="17" s="1"/>
  <c r="P503" i="17"/>
  <c r="J503" i="17" s="1"/>
  <c r="P492" i="17"/>
  <c r="J492" i="17" s="1"/>
  <c r="P481" i="17"/>
  <c r="J481" i="17" s="1"/>
  <c r="P470" i="17"/>
  <c r="J470" i="17" s="1"/>
  <c r="P459" i="17"/>
  <c r="J459" i="17" s="1"/>
  <c r="P781" i="17"/>
  <c r="J781" i="17" s="1"/>
  <c r="P697" i="17"/>
  <c r="J697" i="17" s="1"/>
  <c r="P639" i="17"/>
  <c r="J639" i="17" s="1"/>
  <c r="P631" i="17"/>
  <c r="J631" i="17" s="1"/>
  <c r="P563" i="17"/>
  <c r="J563" i="17" s="1"/>
  <c r="P554" i="17"/>
  <c r="J554" i="17" s="1"/>
  <c r="P962" i="17"/>
  <c r="J962" i="17" s="1"/>
  <c r="P770" i="17"/>
  <c r="J770" i="17" s="1"/>
  <c r="P713" i="17"/>
  <c r="J713" i="17" s="1"/>
  <c r="P530" i="17"/>
  <c r="J530" i="17" s="1"/>
  <c r="P517" i="17"/>
  <c r="J517" i="17" s="1"/>
  <c r="P1025" i="17"/>
  <c r="J1025" i="17" s="1"/>
  <c r="P952" i="17"/>
  <c r="J952" i="17" s="1"/>
  <c r="P855" i="17"/>
  <c r="J855" i="17" s="1"/>
  <c r="P737" i="17"/>
  <c r="J737" i="17" s="1"/>
  <c r="P699" i="17"/>
  <c r="J699" i="17" s="1"/>
  <c r="P641" i="17"/>
  <c r="J641" i="17" s="1"/>
  <c r="P637" i="17"/>
  <c r="J637" i="17" s="1"/>
  <c r="P633" i="17"/>
  <c r="J633" i="17" s="1"/>
  <c r="P623" i="17"/>
  <c r="J623" i="17" s="1"/>
  <c r="P617" i="17"/>
  <c r="J617" i="17" s="1"/>
  <c r="P609" i="17"/>
  <c r="J609" i="17" s="1"/>
  <c r="P589" i="17"/>
  <c r="J589" i="17" s="1"/>
  <c r="P575" i="17"/>
  <c r="J575" i="17" s="1"/>
  <c r="P568" i="17"/>
  <c r="J568" i="17" s="1"/>
  <c r="P540" i="17"/>
  <c r="J540" i="17" s="1"/>
  <c r="P535" i="17"/>
  <c r="J535" i="17" s="1"/>
  <c r="P727" i="17"/>
  <c r="J727" i="17" s="1"/>
  <c r="P725" i="17"/>
  <c r="J725" i="17" s="1"/>
  <c r="P706" i="17"/>
  <c r="J706" i="17" s="1"/>
  <c r="P679" i="17"/>
  <c r="J679" i="17" s="1"/>
  <c r="P677" i="17"/>
  <c r="J677" i="17" s="1"/>
  <c r="P664" i="17"/>
  <c r="J664" i="17" s="1"/>
  <c r="P645" i="17"/>
  <c r="J645" i="17" s="1"/>
  <c r="P619" i="17"/>
  <c r="J619" i="17" s="1"/>
  <c r="P582" i="17"/>
  <c r="J582" i="17" s="1"/>
  <c r="P520" i="17"/>
  <c r="J520" i="17" s="1"/>
  <c r="P509" i="17"/>
  <c r="J509" i="17" s="1"/>
  <c r="P498" i="17"/>
  <c r="J498" i="17" s="1"/>
  <c r="P754" i="17"/>
  <c r="J754" i="17" s="1"/>
  <c r="P729" i="17"/>
  <c r="J729" i="17" s="1"/>
  <c r="P629" i="17"/>
  <c r="J629" i="17" s="1"/>
  <c r="P615" i="17"/>
  <c r="J615" i="17" s="1"/>
  <c r="P611" i="17"/>
  <c r="J611" i="17" s="1"/>
  <c r="P587" i="17"/>
  <c r="J587" i="17" s="1"/>
  <c r="P573" i="17"/>
  <c r="J573" i="17" s="1"/>
  <c r="P559" i="17"/>
  <c r="J559" i="17" s="1"/>
  <c r="P545" i="17"/>
  <c r="J545" i="17" s="1"/>
  <c r="P830" i="17"/>
  <c r="J830" i="17" s="1"/>
  <c r="P783" i="17"/>
  <c r="J783" i="17" s="1"/>
  <c r="P772" i="17"/>
  <c r="J772" i="17" s="1"/>
  <c r="P746" i="17"/>
  <c r="J746" i="17" s="1"/>
  <c r="P662" i="17"/>
  <c r="J662" i="17" s="1"/>
  <c r="P596" i="17"/>
  <c r="J596" i="17" s="1"/>
  <c r="P863" i="17"/>
  <c r="J863" i="17" s="1"/>
  <c r="P722" i="17"/>
  <c r="J722" i="17" s="1"/>
  <c r="P694" i="17"/>
  <c r="J694" i="17" s="1"/>
  <c r="P692" i="17"/>
  <c r="J692" i="17" s="1"/>
  <c r="P592" i="17"/>
  <c r="J592" i="17" s="1"/>
  <c r="P578" i="17"/>
  <c r="J578" i="17" s="1"/>
  <c r="P564" i="17"/>
  <c r="J564" i="17" s="1"/>
  <c r="P557" i="17"/>
  <c r="J557" i="17" s="1"/>
  <c r="P738" i="17"/>
  <c r="J738" i="17" s="1"/>
  <c r="P622" i="17"/>
  <c r="J622" i="17" s="1"/>
  <c r="P516" i="17"/>
  <c r="J516" i="17" s="1"/>
  <c r="P488" i="17"/>
  <c r="J488" i="17" s="1"/>
  <c r="P438" i="17"/>
  <c r="J438" i="17" s="1"/>
  <c r="P428" i="17"/>
  <c r="J428" i="17" s="1"/>
  <c r="P418" i="17"/>
  <c r="J418" i="17" s="1"/>
  <c r="P413" i="17"/>
  <c r="J413" i="17" s="1"/>
  <c r="P397" i="17"/>
  <c r="J397" i="17" s="1"/>
  <c r="P386" i="17"/>
  <c r="J386" i="17" s="1"/>
  <c r="P375" i="17"/>
  <c r="J375" i="17" s="1"/>
  <c r="P364" i="17"/>
  <c r="J364" i="17" s="1"/>
  <c r="P510" i="17"/>
  <c r="J510" i="17" s="1"/>
  <c r="P479" i="17"/>
  <c r="J479" i="17" s="1"/>
  <c r="P461" i="17"/>
  <c r="J461" i="17" s="1"/>
  <c r="P826" i="17"/>
  <c r="J826" i="17" s="1"/>
  <c r="P681" i="17"/>
  <c r="J681" i="17" s="1"/>
  <c r="P644" i="17"/>
  <c r="J644" i="17" s="1"/>
  <c r="P538" i="17"/>
  <c r="J538" i="17" s="1"/>
  <c r="P512" i="17"/>
  <c r="J512" i="17" s="1"/>
  <c r="P477" i="17"/>
  <c r="J477" i="17" s="1"/>
  <c r="P443" i="17"/>
  <c r="J443" i="17" s="1"/>
  <c r="P408" i="17"/>
  <c r="J408" i="17" s="1"/>
  <c r="P400" i="17"/>
  <c r="J400" i="17" s="1"/>
  <c r="P389" i="17"/>
  <c r="J389" i="17" s="1"/>
  <c r="P378" i="17"/>
  <c r="J378" i="17" s="1"/>
  <c r="P367" i="17"/>
  <c r="J367" i="17" s="1"/>
  <c r="P356" i="17"/>
  <c r="J356" i="17" s="1"/>
  <c r="P345" i="17"/>
  <c r="J345" i="17" s="1"/>
  <c r="P715" i="17"/>
  <c r="J715" i="17" s="1"/>
  <c r="P634" i="17"/>
  <c r="J634" i="17" s="1"/>
  <c r="P595" i="17"/>
  <c r="J595" i="17" s="1"/>
  <c r="P497" i="17"/>
  <c r="J497" i="17" s="1"/>
  <c r="P468" i="17"/>
  <c r="J468" i="17" s="1"/>
  <c r="P450" i="17"/>
  <c r="J450" i="17" s="1"/>
  <c r="P426" i="17"/>
  <c r="J426" i="17" s="1"/>
  <c r="P612" i="17"/>
  <c r="J612" i="17" s="1"/>
  <c r="P586" i="17"/>
  <c r="J586" i="17" s="1"/>
  <c r="P581" i="17"/>
  <c r="J581" i="17" s="1"/>
  <c r="P579" i="17"/>
  <c r="J579" i="17" s="1"/>
  <c r="P565" i="17"/>
  <c r="J565" i="17" s="1"/>
  <c r="P495" i="17"/>
  <c r="J495" i="17" s="1"/>
  <c r="P466" i="17"/>
  <c r="J466" i="17" s="1"/>
  <c r="P436" i="17"/>
  <c r="J436" i="17" s="1"/>
  <c r="P431" i="17"/>
  <c r="J431" i="17" s="1"/>
  <c r="P421" i="17"/>
  <c r="J421" i="17" s="1"/>
  <c r="P416" i="17"/>
  <c r="J416" i="17" s="1"/>
  <c r="P392" i="17"/>
  <c r="J392" i="17" s="1"/>
  <c r="P381" i="17"/>
  <c r="J381" i="17" s="1"/>
  <c r="P370" i="17"/>
  <c r="J370" i="17" s="1"/>
  <c r="P740" i="17"/>
  <c r="J740" i="17" s="1"/>
  <c r="P689" i="17"/>
  <c r="J689" i="17" s="1"/>
  <c r="P597" i="17"/>
  <c r="J597" i="17" s="1"/>
  <c r="P529" i="17"/>
  <c r="J529" i="17" s="1"/>
  <c r="P508" i="17"/>
  <c r="J508" i="17" s="1"/>
  <c r="P486" i="17"/>
  <c r="J486" i="17" s="1"/>
  <c r="P457" i="17"/>
  <c r="J457" i="17" s="1"/>
  <c r="P441" i="17"/>
  <c r="J441" i="17" s="1"/>
  <c r="P411" i="17"/>
  <c r="J411" i="17" s="1"/>
  <c r="P403" i="17"/>
  <c r="J403" i="17" s="1"/>
  <c r="P607" i="17"/>
  <c r="J607" i="17" s="1"/>
  <c r="P567" i="17"/>
  <c r="J567" i="17" s="1"/>
  <c r="P551" i="17"/>
  <c r="J551" i="17" s="1"/>
  <c r="P531" i="17"/>
  <c r="J531" i="17" s="1"/>
  <c r="P506" i="17"/>
  <c r="J506" i="17" s="1"/>
  <c r="P493" i="17"/>
  <c r="J493" i="17" s="1"/>
  <c r="P484" i="17"/>
  <c r="J484" i="17" s="1"/>
  <c r="P455" i="17"/>
  <c r="J455" i="17" s="1"/>
  <c r="P448" i="17"/>
  <c r="J448" i="17" s="1"/>
  <c r="P906" i="17"/>
  <c r="J906" i="17" s="1"/>
  <c r="P865" i="17"/>
  <c r="J865" i="17" s="1"/>
  <c r="P832" i="17"/>
  <c r="J832" i="17" s="1"/>
  <c r="P521" i="17"/>
  <c r="J521" i="17" s="1"/>
  <c r="P504" i="17"/>
  <c r="J504" i="17" s="1"/>
  <c r="P475" i="17"/>
  <c r="J475" i="17" s="1"/>
  <c r="P748" i="17"/>
  <c r="J748" i="17" s="1"/>
  <c r="P590" i="17"/>
  <c r="J590" i="17" s="1"/>
  <c r="P553" i="17"/>
  <c r="J553" i="17" s="1"/>
  <c r="P527" i="17"/>
  <c r="J527" i="17" s="1"/>
  <c r="P523" i="17"/>
  <c r="J523" i="17" s="1"/>
  <c r="P502" i="17"/>
  <c r="J502" i="17" s="1"/>
  <c r="P491" i="17"/>
  <c r="J491" i="17" s="1"/>
  <c r="P482" i="17"/>
  <c r="J482" i="17" s="1"/>
  <c r="P473" i="17"/>
  <c r="J473" i="17" s="1"/>
  <c r="P429" i="17"/>
  <c r="J429" i="17" s="1"/>
  <c r="P424" i="17"/>
  <c r="J424" i="17" s="1"/>
  <c r="P419" i="17"/>
  <c r="J419" i="17" s="1"/>
  <c r="P406" i="17"/>
  <c r="J406" i="17" s="1"/>
  <c r="P398" i="17"/>
  <c r="J398" i="17" s="1"/>
  <c r="P878" i="17"/>
  <c r="J878" i="17" s="1"/>
  <c r="P756" i="17"/>
  <c r="J756" i="17" s="1"/>
  <c r="P659" i="17"/>
  <c r="J659" i="17" s="1"/>
  <c r="P651" i="17"/>
  <c r="J651" i="17" s="1"/>
  <c r="P628" i="17"/>
  <c r="J628" i="17" s="1"/>
  <c r="P562" i="17"/>
  <c r="J562" i="17" s="1"/>
  <c r="P560" i="17"/>
  <c r="J560" i="17" s="1"/>
  <c r="P546" i="17"/>
  <c r="J546" i="17" s="1"/>
  <c r="P519" i="17"/>
  <c r="J519" i="17" s="1"/>
  <c r="P515" i="17"/>
  <c r="J515" i="17" s="1"/>
  <c r="P513" i="17"/>
  <c r="J513" i="17" s="1"/>
  <c r="P453" i="17"/>
  <c r="J453" i="17" s="1"/>
  <c r="P444" i="17"/>
  <c r="J444" i="17" s="1"/>
  <c r="P409" i="17"/>
  <c r="J409" i="17" s="1"/>
  <c r="P986" i="17"/>
  <c r="J986" i="17" s="1"/>
  <c r="P904" i="17"/>
  <c r="J904" i="17" s="1"/>
  <c r="P672" i="17"/>
  <c r="J672" i="17" s="1"/>
  <c r="P507" i="17"/>
  <c r="J507" i="17" s="1"/>
  <c r="P505" i="17"/>
  <c r="J505" i="17" s="1"/>
  <c r="P417" i="17"/>
  <c r="J417" i="17" s="1"/>
  <c r="P390" i="17"/>
  <c r="J390" i="17" s="1"/>
  <c r="P388" i="17"/>
  <c r="J388" i="17" s="1"/>
  <c r="P340" i="17"/>
  <c r="J340" i="17" s="1"/>
  <c r="P319" i="17"/>
  <c r="J319" i="17" s="1"/>
  <c r="P311" i="17"/>
  <c r="J311" i="17" s="1"/>
  <c r="P300" i="17"/>
  <c r="J300" i="17" s="1"/>
  <c r="P289" i="17"/>
  <c r="J289" i="17" s="1"/>
  <c r="P278" i="17"/>
  <c r="J278" i="17" s="1"/>
  <c r="P267" i="17"/>
  <c r="J267" i="17" s="1"/>
  <c r="P256" i="17"/>
  <c r="J256" i="17" s="1"/>
  <c r="P245" i="17"/>
  <c r="J245" i="17" s="1"/>
  <c r="P234" i="17"/>
  <c r="J234" i="17" s="1"/>
  <c r="P223" i="17"/>
  <c r="J223" i="17" s="1"/>
  <c r="P212" i="17"/>
  <c r="J212" i="17" s="1"/>
  <c r="P201" i="17"/>
  <c r="J201" i="17" s="1"/>
  <c r="P190" i="17"/>
  <c r="J190" i="17" s="1"/>
  <c r="P179" i="17"/>
  <c r="J179" i="17" s="1"/>
  <c r="P168" i="17"/>
  <c r="J168" i="17" s="1"/>
  <c r="P157" i="17"/>
  <c r="J157" i="17" s="1"/>
  <c r="P146" i="17"/>
  <c r="J146" i="17" s="1"/>
  <c r="P135" i="17"/>
  <c r="J135" i="17" s="1"/>
  <c r="P669" i="17"/>
  <c r="J669" i="17" s="1"/>
  <c r="P474" i="17"/>
  <c r="J474" i="17" s="1"/>
  <c r="P472" i="17"/>
  <c r="J472" i="17" s="1"/>
  <c r="P430" i="17"/>
  <c r="J430" i="17" s="1"/>
  <c r="P404" i="17"/>
  <c r="J404" i="17" s="1"/>
  <c r="P394" i="17"/>
  <c r="J394" i="17" s="1"/>
  <c r="P373" i="17"/>
  <c r="J373" i="17" s="1"/>
  <c r="P371" i="17"/>
  <c r="J371" i="17" s="1"/>
  <c r="P362" i="17"/>
  <c r="J362" i="17" s="1"/>
  <c r="P355" i="17"/>
  <c r="J355" i="17" s="1"/>
  <c r="P327" i="17"/>
  <c r="J327" i="17" s="1"/>
  <c r="P640" i="17"/>
  <c r="J640" i="17" s="1"/>
  <c r="P608" i="17"/>
  <c r="J608" i="17" s="1"/>
  <c r="P548" i="17"/>
  <c r="J548" i="17" s="1"/>
  <c r="P543" i="17"/>
  <c r="J543" i="17" s="1"/>
  <c r="P532" i="17"/>
  <c r="J532" i="17" s="1"/>
  <c r="P476" i="17"/>
  <c r="J476" i="17" s="1"/>
  <c r="P446" i="17"/>
  <c r="J446" i="17" s="1"/>
  <c r="P402" i="17"/>
  <c r="J402" i="17" s="1"/>
  <c r="P350" i="17"/>
  <c r="J350" i="17" s="1"/>
  <c r="P335" i="17"/>
  <c r="J335" i="17" s="1"/>
  <c r="P303" i="17"/>
  <c r="J303" i="17" s="1"/>
  <c r="P292" i="17"/>
  <c r="J292" i="17" s="1"/>
  <c r="P281" i="17"/>
  <c r="J281" i="17" s="1"/>
  <c r="P270" i="17"/>
  <c r="J270" i="17" s="1"/>
  <c r="P259" i="17"/>
  <c r="J259" i="17" s="1"/>
  <c r="P248" i="17"/>
  <c r="J248" i="17" s="1"/>
  <c r="P237" i="17"/>
  <c r="J237" i="17" s="1"/>
  <c r="P226" i="17"/>
  <c r="J226" i="17" s="1"/>
  <c r="P215" i="17"/>
  <c r="J215" i="17" s="1"/>
  <c r="P204" i="17"/>
  <c r="J204" i="17" s="1"/>
  <c r="P193" i="17"/>
  <c r="J193" i="17" s="1"/>
  <c r="P182" i="17"/>
  <c r="J182" i="17" s="1"/>
  <c r="P171" i="17"/>
  <c r="J171" i="17" s="1"/>
  <c r="P674" i="17"/>
  <c r="J674" i="17" s="1"/>
  <c r="P439" i="17"/>
  <c r="J439" i="17" s="1"/>
  <c r="P432" i="17"/>
  <c r="J432" i="17" s="1"/>
  <c r="P384" i="17"/>
  <c r="J384" i="17" s="1"/>
  <c r="P382" i="17"/>
  <c r="J382" i="17" s="1"/>
  <c r="P360" i="17"/>
  <c r="J360" i="17" s="1"/>
  <c r="P322" i="17"/>
  <c r="J322" i="17" s="1"/>
  <c r="P314" i="17"/>
  <c r="J314" i="17" s="1"/>
  <c r="P779" i="17"/>
  <c r="J779" i="17" s="1"/>
  <c r="P630" i="17"/>
  <c r="J630" i="17" s="1"/>
  <c r="P462" i="17"/>
  <c r="J462" i="17" s="1"/>
  <c r="P369" i="17"/>
  <c r="J369" i="17" s="1"/>
  <c r="P348" i="17"/>
  <c r="J348" i="17" s="1"/>
  <c r="P343" i="17"/>
  <c r="J343" i="17" s="1"/>
  <c r="P330" i="17"/>
  <c r="J330" i="17" s="1"/>
  <c r="P306" i="17"/>
  <c r="J306" i="17" s="1"/>
  <c r="P295" i="17"/>
  <c r="J295" i="17" s="1"/>
  <c r="P284" i="17"/>
  <c r="J284" i="17" s="1"/>
  <c r="P273" i="17"/>
  <c r="J273" i="17" s="1"/>
  <c r="P262" i="17"/>
  <c r="J262" i="17" s="1"/>
  <c r="P251" i="17"/>
  <c r="J251" i="17" s="1"/>
  <c r="P240" i="17"/>
  <c r="J240" i="17" s="1"/>
  <c r="P229" i="17"/>
  <c r="J229" i="17" s="1"/>
  <c r="P218" i="17"/>
  <c r="J218" i="17" s="1"/>
  <c r="P207" i="17"/>
  <c r="J207" i="17" s="1"/>
  <c r="P524" i="17"/>
  <c r="J524" i="17" s="1"/>
  <c r="P469" i="17"/>
  <c r="J469" i="17" s="1"/>
  <c r="P338" i="17"/>
  <c r="J338" i="17" s="1"/>
  <c r="P585" i="17"/>
  <c r="J585" i="17" s="1"/>
  <c r="P574" i="17"/>
  <c r="J574" i="17" s="1"/>
  <c r="P534" i="17"/>
  <c r="J534" i="17" s="1"/>
  <c r="P380" i="17"/>
  <c r="J380" i="17" s="1"/>
  <c r="P317" i="17"/>
  <c r="J317" i="17" s="1"/>
  <c r="P309" i="17"/>
  <c r="J309" i="17" s="1"/>
  <c r="P298" i="17"/>
  <c r="J298" i="17" s="1"/>
  <c r="P287" i="17"/>
  <c r="J287" i="17" s="1"/>
  <c r="P276" i="17"/>
  <c r="J276" i="17" s="1"/>
  <c r="P265" i="17"/>
  <c r="J265" i="17" s="1"/>
  <c r="P254" i="17"/>
  <c r="J254" i="17" s="1"/>
  <c r="P243" i="17"/>
  <c r="J243" i="17" s="1"/>
  <c r="P232" i="17"/>
  <c r="J232" i="17" s="1"/>
  <c r="P221" i="17"/>
  <c r="J221" i="17" s="1"/>
  <c r="P702" i="17"/>
  <c r="J702" i="17" s="1"/>
  <c r="P410" i="17"/>
  <c r="J410" i="17" s="1"/>
  <c r="P365" i="17"/>
  <c r="J365" i="17" s="1"/>
  <c r="P353" i="17"/>
  <c r="J353" i="17" s="1"/>
  <c r="P333" i="17"/>
  <c r="J333" i="17" s="1"/>
  <c r="P325" i="17"/>
  <c r="J325" i="17" s="1"/>
  <c r="P785" i="17"/>
  <c r="J785" i="17" s="1"/>
  <c r="P724" i="17"/>
  <c r="J724" i="17" s="1"/>
  <c r="P571" i="17"/>
  <c r="J571" i="17" s="1"/>
  <c r="P526" i="17"/>
  <c r="J526" i="17" s="1"/>
  <c r="P485" i="17"/>
  <c r="J485" i="17" s="1"/>
  <c r="P483" i="17"/>
  <c r="J483" i="17" s="1"/>
  <c r="P464" i="17"/>
  <c r="J464" i="17" s="1"/>
  <c r="P425" i="17"/>
  <c r="J425" i="17" s="1"/>
  <c r="P376" i="17"/>
  <c r="J376" i="17" s="1"/>
  <c r="P358" i="17"/>
  <c r="J358" i="17" s="1"/>
  <c r="P346" i="17"/>
  <c r="J346" i="17" s="1"/>
  <c r="P341" i="17"/>
  <c r="J341" i="17" s="1"/>
  <c r="P312" i="17"/>
  <c r="J312" i="17" s="1"/>
  <c r="P301" i="17"/>
  <c r="J301" i="17" s="1"/>
  <c r="P290" i="17"/>
  <c r="J290" i="17" s="1"/>
  <c r="P552" i="17"/>
  <c r="J552" i="17" s="1"/>
  <c r="P449" i="17"/>
  <c r="J449" i="17" s="1"/>
  <c r="P299" i="17"/>
  <c r="J299" i="17" s="1"/>
  <c r="P293" i="17"/>
  <c r="J293" i="17" s="1"/>
  <c r="P246" i="17"/>
  <c r="J246" i="17" s="1"/>
  <c r="P219" i="17"/>
  <c r="J219" i="17" s="1"/>
  <c r="P206" i="17"/>
  <c r="J206" i="17" s="1"/>
  <c r="P186" i="17"/>
  <c r="J186" i="17" s="1"/>
  <c r="P167" i="17"/>
  <c r="J167" i="17" s="1"/>
  <c r="P159" i="17"/>
  <c r="J159" i="17" s="1"/>
  <c r="P138" i="17"/>
  <c r="J138" i="17" s="1"/>
  <c r="P130" i="17"/>
  <c r="J130" i="17" s="1"/>
  <c r="P119" i="17"/>
  <c r="J119" i="17" s="1"/>
  <c r="P108" i="17"/>
  <c r="J108" i="17" s="1"/>
  <c r="P898" i="17"/>
  <c r="J898" i="17" s="1"/>
  <c r="P460" i="17"/>
  <c r="J460" i="17" s="1"/>
  <c r="P401" i="17"/>
  <c r="J401" i="17" s="1"/>
  <c r="P324" i="17"/>
  <c r="J324" i="17" s="1"/>
  <c r="P172" i="17"/>
  <c r="J172" i="17" s="1"/>
  <c r="P618" i="17"/>
  <c r="J618" i="17" s="1"/>
  <c r="P501" i="17"/>
  <c r="J501" i="17" s="1"/>
  <c r="P463" i="17"/>
  <c r="J463" i="17" s="1"/>
  <c r="P435" i="17"/>
  <c r="J435" i="17" s="1"/>
  <c r="P372" i="17"/>
  <c r="J372" i="17" s="1"/>
  <c r="P328" i="17"/>
  <c r="J328" i="17" s="1"/>
  <c r="P297" i="17"/>
  <c r="J297" i="17" s="1"/>
  <c r="P263" i="17"/>
  <c r="J263" i="17" s="1"/>
  <c r="P217" i="17"/>
  <c r="J217" i="17" s="1"/>
  <c r="P195" i="17"/>
  <c r="J195" i="17" s="1"/>
  <c r="P154" i="17"/>
  <c r="J154" i="17" s="1"/>
  <c r="P133" i="17"/>
  <c r="J133" i="17" s="1"/>
  <c r="P122" i="17"/>
  <c r="J122" i="17" s="1"/>
  <c r="P111" i="17"/>
  <c r="J111" i="17" s="1"/>
  <c r="P100" i="17"/>
  <c r="J100" i="17" s="1"/>
  <c r="P733" i="17"/>
  <c r="J733" i="17" s="1"/>
  <c r="P682" i="17"/>
  <c r="J682" i="17" s="1"/>
  <c r="P653" i="17"/>
  <c r="J653" i="17" s="1"/>
  <c r="P536" i="17"/>
  <c r="J536" i="17" s="1"/>
  <c r="P480" i="17"/>
  <c r="J480" i="17" s="1"/>
  <c r="P454" i="17"/>
  <c r="J454" i="17" s="1"/>
  <c r="P396" i="17"/>
  <c r="J396" i="17" s="1"/>
  <c r="P391" i="17"/>
  <c r="J391" i="17" s="1"/>
  <c r="P349" i="17"/>
  <c r="J349" i="17" s="1"/>
  <c r="P347" i="17"/>
  <c r="J347" i="17" s="1"/>
  <c r="P334" i="17"/>
  <c r="J334" i="17" s="1"/>
  <c r="P307" i="17"/>
  <c r="J307" i="17" s="1"/>
  <c r="P305" i="17"/>
  <c r="J305" i="17" s="1"/>
  <c r="P242" i="17"/>
  <c r="J242" i="17" s="1"/>
  <c r="P238" i="17"/>
  <c r="J238" i="17" s="1"/>
  <c r="P236" i="17"/>
  <c r="J236" i="17" s="1"/>
  <c r="P177" i="17"/>
  <c r="J177" i="17" s="1"/>
  <c r="P162" i="17"/>
  <c r="J162" i="17" s="1"/>
  <c r="P141" i="17"/>
  <c r="J141" i="17" s="1"/>
  <c r="P802" i="17"/>
  <c r="J802" i="17" s="1"/>
  <c r="P471" i="17"/>
  <c r="J471" i="17" s="1"/>
  <c r="P451" i="17"/>
  <c r="J451" i="17" s="1"/>
  <c r="P374" i="17"/>
  <c r="J374" i="17" s="1"/>
  <c r="P313" i="17"/>
  <c r="J313" i="17" s="1"/>
  <c r="P261" i="17"/>
  <c r="J261" i="17" s="1"/>
  <c r="P202" i="17"/>
  <c r="J202" i="17" s="1"/>
  <c r="P184" i="17"/>
  <c r="J184" i="17" s="1"/>
  <c r="P149" i="17"/>
  <c r="J149" i="17" s="1"/>
  <c r="P125" i="17"/>
  <c r="J125" i="17" s="1"/>
  <c r="P114" i="17"/>
  <c r="J114" i="17" s="1"/>
  <c r="P103" i="17"/>
  <c r="J103" i="17" s="1"/>
  <c r="P777" i="17"/>
  <c r="J777" i="17" s="1"/>
  <c r="P650" i="17"/>
  <c r="J650" i="17" s="1"/>
  <c r="P332" i="17"/>
  <c r="J332" i="17" s="1"/>
  <c r="P315" i="17"/>
  <c r="J315" i="17" s="1"/>
  <c r="P257" i="17"/>
  <c r="J257" i="17" s="1"/>
  <c r="P230" i="17"/>
  <c r="J230" i="17" s="1"/>
  <c r="P191" i="17"/>
  <c r="J191" i="17" s="1"/>
  <c r="P175" i="17"/>
  <c r="J175" i="17" s="1"/>
  <c r="P518" i="17"/>
  <c r="J518" i="17" s="1"/>
  <c r="P465" i="17"/>
  <c r="J465" i="17" s="1"/>
  <c r="P440" i="17"/>
  <c r="J440" i="17" s="1"/>
  <c r="P336" i="17"/>
  <c r="J336" i="17" s="1"/>
  <c r="P280" i="17"/>
  <c r="J280" i="17" s="1"/>
  <c r="P189" i="17"/>
  <c r="J189" i="17" s="1"/>
  <c r="P620" i="17"/>
  <c r="J620" i="17" s="1"/>
  <c r="P541" i="17"/>
  <c r="J541" i="17" s="1"/>
  <c r="P437" i="17"/>
  <c r="J437" i="17" s="1"/>
  <c r="P321" i="17"/>
  <c r="J321" i="17" s="1"/>
  <c r="P288" i="17"/>
  <c r="J288" i="17" s="1"/>
  <c r="P282" i="17"/>
  <c r="J282" i="17" s="1"/>
  <c r="P274" i="17"/>
  <c r="J274" i="17" s="1"/>
  <c r="P228" i="17"/>
  <c r="J228" i="17" s="1"/>
  <c r="P180" i="17"/>
  <c r="J180" i="17" s="1"/>
  <c r="P160" i="17"/>
  <c r="J160" i="17" s="1"/>
  <c r="P139" i="17"/>
  <c r="J139" i="17" s="1"/>
  <c r="P131" i="17"/>
  <c r="J131" i="17" s="1"/>
  <c r="P407" i="17"/>
  <c r="J407" i="17" s="1"/>
  <c r="P357" i="17"/>
  <c r="J357" i="17" s="1"/>
  <c r="P344" i="17"/>
  <c r="J344" i="17" s="1"/>
  <c r="P271" i="17"/>
  <c r="J271" i="17" s="1"/>
  <c r="P264" i="17"/>
  <c r="J264" i="17" s="1"/>
  <c r="P220" i="17"/>
  <c r="J220" i="17" s="1"/>
  <c r="P178" i="17"/>
  <c r="J178" i="17" s="1"/>
  <c r="P147" i="17"/>
  <c r="J147" i="17" s="1"/>
  <c r="P145" i="17"/>
  <c r="J145" i="17" s="1"/>
  <c r="P91" i="17"/>
  <c r="J91" i="17" s="1"/>
  <c r="P83" i="17"/>
  <c r="J83" i="17" s="1"/>
  <c r="P70" i="17"/>
  <c r="J70" i="17" s="1"/>
  <c r="P59" i="17"/>
  <c r="J59" i="17" s="1"/>
  <c r="P48" i="17"/>
  <c r="J48" i="17" s="1"/>
  <c r="P496" i="17"/>
  <c r="J496" i="17" s="1"/>
  <c r="P354" i="17"/>
  <c r="J354" i="17" s="1"/>
  <c r="P339" i="17"/>
  <c r="J339" i="17" s="1"/>
  <c r="P266" i="17"/>
  <c r="J266" i="17" s="1"/>
  <c r="P250" i="17"/>
  <c r="J250" i="17" s="1"/>
  <c r="P222" i="17"/>
  <c r="J222" i="17" s="1"/>
  <c r="P213" i="17"/>
  <c r="J213" i="17" s="1"/>
  <c r="P176" i="17"/>
  <c r="J176" i="17" s="1"/>
  <c r="P151" i="17"/>
  <c r="J151" i="17" s="1"/>
  <c r="P666" i="17"/>
  <c r="J666" i="17" s="1"/>
  <c r="P302" i="17"/>
  <c r="J302" i="17" s="1"/>
  <c r="P252" i="17"/>
  <c r="J252" i="17" s="1"/>
  <c r="P174" i="17"/>
  <c r="J174" i="17" s="1"/>
  <c r="P164" i="17"/>
  <c r="J164" i="17" s="1"/>
  <c r="P117" i="17"/>
  <c r="J117" i="17" s="1"/>
  <c r="P78" i="17"/>
  <c r="J78" i="17" s="1"/>
  <c r="P62" i="17"/>
  <c r="J62" i="17" s="1"/>
  <c r="P51" i="17"/>
  <c r="J51" i="17" s="1"/>
  <c r="P40" i="17"/>
  <c r="J40" i="17" s="1"/>
  <c r="P576" i="17"/>
  <c r="J576" i="17" s="1"/>
  <c r="P499" i="17"/>
  <c r="J499" i="17" s="1"/>
  <c r="P359" i="17"/>
  <c r="J359" i="17" s="1"/>
  <c r="P268" i="17"/>
  <c r="J268" i="17" s="1"/>
  <c r="P233" i="17"/>
  <c r="J233" i="17" s="1"/>
  <c r="P158" i="17"/>
  <c r="J158" i="17" s="1"/>
  <c r="P128" i="17"/>
  <c r="J128" i="17" s="1"/>
  <c r="P126" i="17"/>
  <c r="J126" i="17" s="1"/>
  <c r="P115" i="17"/>
  <c r="J115" i="17" s="1"/>
  <c r="P99" i="17"/>
  <c r="J99" i="17" s="1"/>
  <c r="P86" i="17"/>
  <c r="J86" i="17" s="1"/>
  <c r="P329" i="17"/>
  <c r="J329" i="17" s="1"/>
  <c r="P304" i="17"/>
  <c r="J304" i="17" s="1"/>
  <c r="P231" i="17"/>
  <c r="J231" i="17" s="1"/>
  <c r="P224" i="17"/>
  <c r="J224" i="17" s="1"/>
  <c r="P106" i="17"/>
  <c r="J106" i="17" s="1"/>
  <c r="P94" i="17"/>
  <c r="J94" i="17" s="1"/>
  <c r="P81" i="17"/>
  <c r="J81" i="17" s="1"/>
  <c r="P73" i="17"/>
  <c r="J73" i="17" s="1"/>
  <c r="P65" i="17"/>
  <c r="J65" i="17" s="1"/>
  <c r="P54" i="17"/>
  <c r="J54" i="17" s="1"/>
  <c r="P43" i="17"/>
  <c r="J43" i="17" s="1"/>
  <c r="P427" i="17"/>
  <c r="J427" i="17" s="1"/>
  <c r="P208" i="17"/>
  <c r="J208" i="17" s="1"/>
  <c r="P197" i="17"/>
  <c r="J197" i="17" s="1"/>
  <c r="P143" i="17"/>
  <c r="J143" i="17" s="1"/>
  <c r="P104" i="17"/>
  <c r="J104" i="17" s="1"/>
  <c r="P850" i="17"/>
  <c r="J850" i="17" s="1"/>
  <c r="P642" i="17"/>
  <c r="J642" i="17" s="1"/>
  <c r="P490" i="17"/>
  <c r="J490" i="17" s="1"/>
  <c r="P487" i="17"/>
  <c r="J487" i="17" s="1"/>
  <c r="P458" i="17"/>
  <c r="J458" i="17" s="1"/>
  <c r="P452" i="17"/>
  <c r="J452" i="17" s="1"/>
  <c r="P383" i="17"/>
  <c r="J383" i="17" s="1"/>
  <c r="P294" i="17"/>
  <c r="J294" i="17" s="1"/>
  <c r="P210" i="17"/>
  <c r="J210" i="17" s="1"/>
  <c r="P113" i="17"/>
  <c r="J113" i="17" s="1"/>
  <c r="P76" i="17"/>
  <c r="J76" i="17" s="1"/>
  <c r="P742" i="17"/>
  <c r="J742" i="17" s="1"/>
  <c r="P717" i="17"/>
  <c r="J717" i="17" s="1"/>
  <c r="P377" i="17"/>
  <c r="J377" i="17" s="1"/>
  <c r="P296" i="17"/>
  <c r="J296" i="17" s="1"/>
  <c r="P258" i="17"/>
  <c r="J258" i="17" s="1"/>
  <c r="P249" i="17"/>
  <c r="J249" i="17" s="1"/>
  <c r="P188" i="17"/>
  <c r="J188" i="17" s="1"/>
  <c r="P150" i="17"/>
  <c r="J150" i="17" s="1"/>
  <c r="P120" i="17"/>
  <c r="J120" i="17" s="1"/>
  <c r="P102" i="17"/>
  <c r="J102" i="17" s="1"/>
  <c r="P71" i="17"/>
  <c r="J71" i="17" s="1"/>
  <c r="P1005" i="17"/>
  <c r="J1005" i="17" s="1"/>
  <c r="P655" i="17"/>
  <c r="J655" i="17" s="1"/>
  <c r="P433" i="17"/>
  <c r="J433" i="17" s="1"/>
  <c r="P316" i="17"/>
  <c r="J316" i="17" s="1"/>
  <c r="P283" i="17"/>
  <c r="J283" i="17" s="1"/>
  <c r="P601" i="17"/>
  <c r="J601" i="17" s="1"/>
  <c r="P385" i="17"/>
  <c r="J385" i="17" s="1"/>
  <c r="P308" i="17"/>
  <c r="J308" i="17" s="1"/>
  <c r="P205" i="17"/>
  <c r="J205" i="17" s="1"/>
  <c r="P163" i="17"/>
  <c r="J163" i="17" s="1"/>
  <c r="P142" i="17"/>
  <c r="J142" i="17" s="1"/>
  <c r="P140" i="17"/>
  <c r="J140" i="17" s="1"/>
  <c r="P758" i="17"/>
  <c r="J758" i="17" s="1"/>
  <c r="P604" i="17"/>
  <c r="J604" i="17" s="1"/>
  <c r="P442" i="17"/>
  <c r="J442" i="17" s="1"/>
  <c r="P422" i="17"/>
  <c r="J422" i="17" s="1"/>
  <c r="P277" i="17"/>
  <c r="J277" i="17" s="1"/>
  <c r="P200" i="17"/>
  <c r="J200" i="17" s="1"/>
  <c r="P185" i="17"/>
  <c r="J185" i="17" s="1"/>
  <c r="P156" i="17"/>
  <c r="J156" i="17" s="1"/>
  <c r="P379" i="17"/>
  <c r="J379" i="17" s="1"/>
  <c r="P272" i="17"/>
  <c r="J272" i="17" s="1"/>
  <c r="P253" i="17"/>
  <c r="J253" i="17" s="1"/>
  <c r="P144" i="17"/>
  <c r="J144" i="17" s="1"/>
  <c r="P124" i="17"/>
  <c r="J124" i="17" s="1"/>
  <c r="P393" i="17"/>
  <c r="J393" i="17" s="1"/>
  <c r="P387" i="17"/>
  <c r="J387" i="17" s="1"/>
  <c r="P318" i="17"/>
  <c r="J318" i="17" s="1"/>
  <c r="P310" i="17"/>
  <c r="J310" i="17" s="1"/>
  <c r="P170" i="17"/>
  <c r="J170" i="17" s="1"/>
  <c r="P165" i="17"/>
  <c r="J165" i="17" s="1"/>
  <c r="P77" i="17"/>
  <c r="J77" i="17" s="1"/>
  <c r="P69" i="17"/>
  <c r="J69" i="17" s="1"/>
  <c r="P648" i="17"/>
  <c r="J648" i="17" s="1"/>
  <c r="P494" i="17"/>
  <c r="J494" i="17" s="1"/>
  <c r="P399" i="17"/>
  <c r="J399" i="17" s="1"/>
  <c r="P326" i="17"/>
  <c r="J326" i="17" s="1"/>
  <c r="P269" i="17"/>
  <c r="J269" i="17" s="1"/>
  <c r="P260" i="17"/>
  <c r="J260" i="17" s="1"/>
  <c r="P79" i="17"/>
  <c r="J79" i="17" s="1"/>
  <c r="P63" i="17"/>
  <c r="J63" i="17" s="1"/>
  <c r="P61" i="17"/>
  <c r="J61" i="17" s="1"/>
  <c r="P606" i="17"/>
  <c r="J606" i="17" s="1"/>
  <c r="P323" i="17"/>
  <c r="J323" i="17" s="1"/>
  <c r="P285" i="17"/>
  <c r="J285" i="17" s="1"/>
  <c r="P255" i="17"/>
  <c r="J255" i="17" s="1"/>
  <c r="P247" i="17"/>
  <c r="J247" i="17" s="1"/>
  <c r="P95" i="17"/>
  <c r="J95" i="17" s="1"/>
  <c r="P93" i="17"/>
  <c r="J93" i="17" s="1"/>
  <c r="P87" i="17"/>
  <c r="J87" i="17" s="1"/>
  <c r="P85" i="17"/>
  <c r="J85" i="17" s="1"/>
  <c r="P55" i="17"/>
  <c r="J55" i="17" s="1"/>
  <c r="P47" i="17"/>
  <c r="J47" i="17" s="1"/>
  <c r="P976" i="17"/>
  <c r="J976" i="17" s="1"/>
  <c r="P661" i="17"/>
  <c r="J661" i="17" s="1"/>
  <c r="P279" i="17"/>
  <c r="J279" i="17" s="1"/>
  <c r="P239" i="17"/>
  <c r="J239" i="17" s="1"/>
  <c r="P187" i="17"/>
  <c r="J187" i="17" s="1"/>
  <c r="P89" i="17"/>
  <c r="J89" i="17" s="1"/>
  <c r="P67" i="17"/>
  <c r="J67" i="17" s="1"/>
  <c r="P57" i="17"/>
  <c r="J57" i="17" s="1"/>
  <c r="P53" i="17"/>
  <c r="J53" i="17" s="1"/>
  <c r="P49" i="17"/>
  <c r="J49" i="17" s="1"/>
  <c r="P704" i="17"/>
  <c r="J704" i="17" s="1"/>
  <c r="P626" i="17"/>
  <c r="J626" i="17" s="1"/>
  <c r="P415" i="17"/>
  <c r="J415" i="17" s="1"/>
  <c r="P192" i="17"/>
  <c r="J192" i="17" s="1"/>
  <c r="P153" i="17"/>
  <c r="J153" i="17" s="1"/>
  <c r="P137" i="17"/>
  <c r="J137" i="17" s="1"/>
  <c r="P110" i="17"/>
  <c r="J110" i="17" s="1"/>
  <c r="P97" i="17"/>
  <c r="J97" i="17" s="1"/>
  <c r="P75" i="17"/>
  <c r="J75" i="17" s="1"/>
  <c r="P395" i="17"/>
  <c r="J395" i="17" s="1"/>
  <c r="P244" i="17"/>
  <c r="J244" i="17" s="1"/>
  <c r="P121" i="17"/>
  <c r="J121" i="17" s="1"/>
  <c r="P45" i="17"/>
  <c r="J45" i="17" s="1"/>
  <c r="P41" i="17"/>
  <c r="J41" i="17" s="1"/>
  <c r="P405" i="17"/>
  <c r="J405" i="17" s="1"/>
  <c r="P352" i="17"/>
  <c r="J352" i="17" s="1"/>
  <c r="P320" i="17"/>
  <c r="J320" i="17" s="1"/>
  <c r="P241" i="17"/>
  <c r="J241" i="17" s="1"/>
  <c r="P225" i="17"/>
  <c r="J225" i="17" s="1"/>
  <c r="P155" i="17"/>
  <c r="J155" i="17" s="1"/>
  <c r="P112" i="17"/>
  <c r="J112" i="17" s="1"/>
  <c r="P707" i="17"/>
  <c r="J707" i="17" s="1"/>
  <c r="P331" i="17"/>
  <c r="J331" i="17" s="1"/>
  <c r="P148" i="17"/>
  <c r="J148" i="17" s="1"/>
  <c r="P101" i="17"/>
  <c r="J101" i="17" s="1"/>
  <c r="P196" i="17"/>
  <c r="J196" i="17" s="1"/>
  <c r="P414" i="17"/>
  <c r="J414" i="17" s="1"/>
  <c r="P211" i="17"/>
  <c r="J211" i="17" s="1"/>
  <c r="P366" i="17"/>
  <c r="J366" i="17" s="1"/>
  <c r="P291" i="17"/>
  <c r="J291" i="17" s="1"/>
  <c r="P181" i="17"/>
  <c r="J181" i="17" s="1"/>
  <c r="P134" i="17"/>
  <c r="J134" i="17" s="1"/>
  <c r="P88" i="17"/>
  <c r="J88" i="17" s="1"/>
  <c r="P363" i="17"/>
  <c r="J363" i="17" s="1"/>
  <c r="P105" i="17"/>
  <c r="J105" i="17" s="1"/>
  <c r="P66" i="17"/>
  <c r="J66" i="17" s="1"/>
  <c r="P58" i="17"/>
  <c r="J58" i="17" s="1"/>
  <c r="P50" i="17"/>
  <c r="J50" i="17" s="1"/>
  <c r="P152" i="17"/>
  <c r="J152" i="17" s="1"/>
  <c r="P96" i="17"/>
  <c r="J96" i="17" s="1"/>
  <c r="P74" i="17"/>
  <c r="J74" i="17" s="1"/>
  <c r="P42" i="17"/>
  <c r="J42" i="17" s="1"/>
  <c r="P116" i="17"/>
  <c r="J116" i="17" s="1"/>
  <c r="P82" i="17"/>
  <c r="J82" i="17" s="1"/>
  <c r="P209" i="17"/>
  <c r="J209" i="17" s="1"/>
  <c r="P199" i="17"/>
  <c r="J199" i="17" s="1"/>
  <c r="P161" i="17"/>
  <c r="J161" i="17" s="1"/>
  <c r="P107" i="17"/>
  <c r="J107" i="17" s="1"/>
  <c r="P90" i="17"/>
  <c r="J90" i="17" s="1"/>
  <c r="P136" i="17"/>
  <c r="J136" i="17" s="1"/>
  <c r="P68" i="17"/>
  <c r="J68" i="17" s="1"/>
  <c r="P60" i="17"/>
  <c r="J60" i="17" s="1"/>
  <c r="P52" i="17"/>
  <c r="J52" i="17" s="1"/>
  <c r="P44" i="17"/>
  <c r="J44" i="17" s="1"/>
  <c r="P368" i="17"/>
  <c r="J368" i="17" s="1"/>
  <c r="P342" i="17"/>
  <c r="J342" i="17" s="1"/>
  <c r="P127" i="17"/>
  <c r="J127" i="17" s="1"/>
  <c r="P118" i="17"/>
  <c r="J118" i="17" s="1"/>
  <c r="P98" i="17"/>
  <c r="J98" i="17" s="1"/>
  <c r="P227" i="17"/>
  <c r="J227" i="17" s="1"/>
  <c r="P183" i="17"/>
  <c r="J183" i="17" s="1"/>
  <c r="P173" i="17"/>
  <c r="J173" i="17" s="1"/>
  <c r="P420" i="17"/>
  <c r="J420" i="17" s="1"/>
  <c r="P92" i="17"/>
  <c r="J92" i="17" s="1"/>
  <c r="P84" i="17"/>
  <c r="J84" i="17" s="1"/>
  <c r="P286" i="17"/>
  <c r="J286" i="17" s="1"/>
  <c r="P109" i="17"/>
  <c r="J109" i="17" s="1"/>
  <c r="P351" i="17"/>
  <c r="J351" i="17" s="1"/>
  <c r="P198" i="17"/>
  <c r="J198" i="17" s="1"/>
  <c r="P214" i="17"/>
  <c r="J214" i="17" s="1"/>
  <c r="P129" i="17"/>
  <c r="J129" i="17" s="1"/>
  <c r="P46" i="17"/>
  <c r="J46" i="17" s="1"/>
  <c r="P361" i="17"/>
  <c r="J361" i="17" s="1"/>
  <c r="P166" i="17"/>
  <c r="J166" i="17" s="1"/>
  <c r="P64" i="17"/>
  <c r="J64" i="17" s="1"/>
  <c r="P203" i="17"/>
  <c r="J203" i="17" s="1"/>
  <c r="P194" i="17"/>
  <c r="J194" i="17" s="1"/>
  <c r="P72" i="17"/>
  <c r="J72" i="17" s="1"/>
  <c r="P56" i="17"/>
  <c r="J56" i="17" s="1"/>
  <c r="P447" i="17"/>
  <c r="J447" i="17" s="1"/>
  <c r="P132" i="17"/>
  <c r="J132" i="17" s="1"/>
  <c r="P169" i="17"/>
  <c r="J169" i="17" s="1"/>
  <c r="P216" i="17"/>
  <c r="J216" i="17" s="1"/>
  <c r="P123" i="17"/>
  <c r="J123" i="17" s="1"/>
  <c r="P235" i="17"/>
  <c r="J235" i="17" s="1"/>
  <c r="P80" i="17"/>
  <c r="J80" i="17" s="1"/>
  <c r="P275" i="17"/>
  <c r="J275" i="17" s="1"/>
  <c r="P337" i="17"/>
  <c r="J337" i="17" s="1"/>
  <c r="I30" i="10"/>
  <c r="H31" i="10"/>
  <c r="T12" i="5"/>
  <c r="T10" i="5"/>
  <c r="T8" i="5"/>
  <c r="T11" i="5"/>
  <c r="T9" i="5"/>
  <c r="T13" i="5"/>
  <c r="H45" i="11"/>
  <c r="I34" i="10"/>
  <c r="I33" i="10"/>
  <c r="D42" i="16"/>
  <c r="G50" i="16"/>
  <c r="D56" i="16"/>
  <c r="G55" i="16"/>
  <c r="H45" i="16"/>
  <c r="D23" i="16"/>
  <c r="E46" i="16"/>
  <c r="F56" i="16"/>
  <c r="D21" i="16"/>
  <c r="F44" i="16"/>
  <c r="C53" i="16"/>
  <c r="G46" i="16"/>
  <c r="D22" i="16"/>
  <c r="F22" i="16" s="1"/>
  <c r="H43" i="16"/>
  <c r="H42" i="16"/>
  <c r="D20" i="16"/>
  <c r="F20" i="16" s="1"/>
  <c r="F54" i="16"/>
  <c r="E41" i="16"/>
  <c r="B50" i="16"/>
  <c r="D41" i="16"/>
  <c r="C54" i="16"/>
  <c r="E51" i="16"/>
  <c r="F55" i="16"/>
  <c r="G45" i="16"/>
  <c r="C45" i="16"/>
  <c r="B42" i="16"/>
  <c r="D45" i="16"/>
  <c r="G56" i="16"/>
  <c r="G40" i="16"/>
  <c r="F46" i="16"/>
  <c r="E52" i="16"/>
  <c r="F43" i="16"/>
  <c r="H56" i="16"/>
  <c r="C42" i="16"/>
  <c r="F53" i="16"/>
  <c r="B52" i="16"/>
  <c r="F40" i="16"/>
  <c r="E43" i="16"/>
  <c r="C41" i="16"/>
  <c r="E18" i="16"/>
  <c r="E50" i="16"/>
  <c r="B43" i="16"/>
  <c r="E19" i="16"/>
  <c r="D52" i="16"/>
  <c r="B13" i="16"/>
  <c r="D19" i="16"/>
  <c r="E54" i="16"/>
  <c r="D44" i="16"/>
  <c r="H51" i="16"/>
  <c r="E55" i="16"/>
  <c r="D43" i="16"/>
  <c r="E20" i="16"/>
  <c r="H52" i="16"/>
  <c r="D51" i="16"/>
  <c r="E40" i="16"/>
  <c r="D18" i="16"/>
  <c r="F18" i="16" s="1"/>
  <c r="E53" i="16"/>
  <c r="G51" i="16"/>
  <c r="D55" i="16"/>
  <c r="G52" i="16"/>
  <c r="B45" i="16"/>
  <c r="B41" i="16"/>
  <c r="C43" i="16"/>
  <c r="E17" i="16"/>
  <c r="C46" i="16"/>
  <c r="D54" i="16"/>
  <c r="D50" i="16"/>
  <c r="G42" i="16"/>
  <c r="D46" i="16"/>
  <c r="F52" i="16"/>
  <c r="B51" i="16"/>
  <c r="C51" i="16"/>
  <c r="C44" i="16"/>
  <c r="C56" i="16"/>
  <c r="D40" i="16"/>
  <c r="E21" i="16"/>
  <c r="C55" i="16"/>
  <c r="H41" i="16"/>
  <c r="F42" i="16"/>
  <c r="G53" i="16"/>
  <c r="H46" i="16"/>
  <c r="F41" i="16"/>
  <c r="G41" i="16"/>
  <c r="E56" i="16"/>
  <c r="H40" i="16"/>
  <c r="C40" i="16"/>
  <c r="G43" i="16"/>
  <c r="F45" i="16"/>
  <c r="G54" i="16"/>
  <c r="B55" i="16"/>
  <c r="F51" i="16"/>
  <c r="B46" i="16"/>
  <c r="D53" i="16"/>
  <c r="C50" i="16"/>
  <c r="E42" i="16"/>
  <c r="H55" i="16"/>
  <c r="E45" i="16"/>
  <c r="B40" i="16"/>
  <c r="D17" i="16"/>
  <c r="F17" i="16" s="1"/>
  <c r="F50" i="16"/>
  <c r="B54" i="16"/>
  <c r="E22" i="16"/>
  <c r="H54" i="16"/>
  <c r="E44" i="16"/>
  <c r="H50" i="16"/>
  <c r="C52" i="16"/>
  <c r="G44" i="16"/>
  <c r="B53" i="16"/>
  <c r="B44" i="16"/>
  <c r="B56" i="16"/>
  <c r="E23" i="16"/>
  <c r="H44" i="16"/>
  <c r="H53" i="16"/>
  <c r="H6" i="15"/>
  <c r="I37" i="11"/>
  <c r="I36" i="11"/>
  <c r="B32" i="2"/>
  <c r="C36" i="13"/>
  <c r="C35" i="13"/>
  <c r="B33" i="2" s="1"/>
  <c r="C56" i="13"/>
  <c r="B38" i="2" s="1"/>
  <c r="H8" i="15"/>
  <c r="S13" i="5"/>
  <c r="S8" i="5"/>
  <c r="S10" i="5"/>
  <c r="S12" i="5"/>
  <c r="S11" i="5"/>
  <c r="S9" i="5"/>
  <c r="D43" i="13"/>
  <c r="F42" i="13"/>
  <c r="D46" i="13"/>
  <c r="F46" i="13" s="1"/>
  <c r="D45" i="13"/>
  <c r="X9" i="11"/>
  <c r="C43" i="13"/>
  <c r="C45" i="13"/>
  <c r="B35" i="2" s="1"/>
  <c r="C46" i="13"/>
  <c r="D36" i="13"/>
  <c r="F36" i="13" s="1"/>
  <c r="D35" i="13"/>
  <c r="F34" i="13"/>
  <c r="B13" i="2" s="1"/>
  <c r="C32" i="2"/>
  <c r="I11" i="11"/>
  <c r="W11" i="11"/>
  <c r="X11" i="11" s="1"/>
  <c r="I33" i="11"/>
  <c r="H34" i="11"/>
  <c r="G36" i="14"/>
  <c r="H26" i="14"/>
  <c r="H24" i="14"/>
  <c r="H25" i="14"/>
  <c r="H27" i="14"/>
  <c r="H28" i="14" s="1"/>
  <c r="H35" i="14" s="1"/>
  <c r="I38" i="11"/>
  <c r="G29" i="15"/>
  <c r="H32" i="15" s="1"/>
  <c r="E36" i="13"/>
  <c r="E35" i="13"/>
  <c r="D33" i="2" s="1"/>
  <c r="D32" i="2"/>
  <c r="I10" i="10"/>
  <c r="H23" i="10"/>
  <c r="D62" i="11" s="1"/>
  <c r="F26" i="14"/>
  <c r="F24" i="14"/>
  <c r="F28" i="14" s="1"/>
  <c r="F35" i="14" s="1"/>
  <c r="F25" i="14"/>
  <c r="F27" i="14"/>
  <c r="I35" i="10"/>
  <c r="I36" i="14"/>
  <c r="J26" i="14"/>
  <c r="J24" i="14"/>
  <c r="J28" i="14" s="1"/>
  <c r="J35" i="14" s="1"/>
  <c r="J25" i="14"/>
  <c r="J27" i="14"/>
  <c r="F36" i="14" l="1"/>
  <c r="H36" i="14"/>
  <c r="J36" i="14"/>
  <c r="C35" i="14"/>
  <c r="C7" i="15"/>
  <c r="H7" i="15" s="1"/>
  <c r="H22" i="16"/>
  <c r="I22" i="16" s="1"/>
  <c r="G22" i="16"/>
  <c r="F35" i="13"/>
  <c r="B22" i="2" s="1"/>
  <c r="C33" i="2"/>
  <c r="G21" i="16"/>
  <c r="H21" i="16"/>
  <c r="I21" i="16" s="1"/>
  <c r="E44" i="13"/>
  <c r="D34" i="2"/>
  <c r="F21" i="16"/>
  <c r="C13" i="2"/>
  <c r="B56" i="2"/>
  <c r="G20" i="16"/>
  <c r="H20" i="16"/>
  <c r="I20" i="16" s="1"/>
  <c r="H18" i="16"/>
  <c r="I18" i="16" s="1"/>
  <c r="G18" i="16"/>
  <c r="I31" i="10"/>
  <c r="O36" i="14"/>
  <c r="D11" i="15"/>
  <c r="H17" i="16"/>
  <c r="I17" i="16" s="1"/>
  <c r="G17" i="16"/>
  <c r="C44" i="13"/>
  <c r="B34" i="2"/>
  <c r="F23" i="16"/>
  <c r="B25" i="17"/>
  <c r="H24" i="17"/>
  <c r="B24" i="17"/>
  <c r="B28" i="17"/>
  <c r="B27" i="17"/>
  <c r="B26" i="17"/>
  <c r="F37" i="14"/>
  <c r="D61" i="11"/>
  <c r="E61" i="11" s="1"/>
  <c r="D37" i="14"/>
  <c r="G37" i="14"/>
  <c r="K37" i="14"/>
  <c r="M37" i="14"/>
  <c r="H37" i="14"/>
  <c r="E37" i="14"/>
  <c r="L37" i="14"/>
  <c r="I37" i="14"/>
  <c r="N37" i="14"/>
  <c r="J37" i="14"/>
  <c r="C37" i="14"/>
  <c r="O37" i="14"/>
  <c r="D13" i="15" s="1"/>
  <c r="C60" i="11"/>
  <c r="H42" i="10"/>
  <c r="C61" i="11" s="1"/>
  <c r="I23" i="10"/>
  <c r="C57" i="11"/>
  <c r="E57" i="11" s="1"/>
  <c r="H32" i="10"/>
  <c r="C24" i="15"/>
  <c r="W26" i="11"/>
  <c r="D60" i="11" s="1"/>
  <c r="E60" i="11" s="1"/>
  <c r="C25" i="15"/>
  <c r="X26" i="11"/>
  <c r="H50" i="11" s="1"/>
  <c r="I34" i="11"/>
  <c r="F45" i="13"/>
  <c r="B20" i="2" s="1"/>
  <c r="C35" i="2"/>
  <c r="H35" i="11"/>
  <c r="F19" i="16"/>
  <c r="H23" i="16"/>
  <c r="I23" i="16" s="1"/>
  <c r="G23" i="16"/>
  <c r="D44" i="13"/>
  <c r="F44" i="13" s="1"/>
  <c r="F43" i="13"/>
  <c r="C34" i="2"/>
  <c r="H40" i="11"/>
  <c r="J34" i="11" s="1"/>
  <c r="H5" i="15"/>
  <c r="B15" i="2"/>
  <c r="C15" i="2" s="1"/>
  <c r="C21" i="15"/>
  <c r="H19" i="16"/>
  <c r="I19" i="16" s="1"/>
  <c r="G19" i="16"/>
  <c r="E48" i="13"/>
  <c r="D48" i="13"/>
  <c r="C48" i="13"/>
  <c r="D32" i="17" l="1"/>
  <c r="D31" i="17"/>
  <c r="D29" i="17"/>
  <c r="D28" i="17"/>
  <c r="D27" i="17"/>
  <c r="F28" i="17" s="1"/>
  <c r="D26" i="17"/>
  <c r="D36" i="17"/>
  <c r="D34" i="17"/>
  <c r="D35" i="17"/>
  <c r="D33" i="17"/>
  <c r="D30" i="17"/>
  <c r="D25" i="17"/>
  <c r="C33" i="16"/>
  <c r="A28" i="16"/>
  <c r="B33" i="16"/>
  <c r="A33" i="16"/>
  <c r="B32" i="16"/>
  <c r="A32" i="16"/>
  <c r="C31" i="16"/>
  <c r="D31" i="16" s="1"/>
  <c r="B31" i="16"/>
  <c r="A31" i="16"/>
  <c r="C29" i="16"/>
  <c r="B29" i="16"/>
  <c r="A29" i="16"/>
  <c r="C28" i="16"/>
  <c r="B28" i="16"/>
  <c r="C34" i="16"/>
  <c r="D34" i="16" s="1"/>
  <c r="C30" i="16"/>
  <c r="D30" i="16" s="1"/>
  <c r="B30" i="16"/>
  <c r="B34" i="16"/>
  <c r="A30" i="16"/>
  <c r="A34" i="16"/>
  <c r="C32" i="16"/>
  <c r="D22" i="15"/>
  <c r="D12" i="15"/>
  <c r="I32" i="10"/>
  <c r="C13" i="15"/>
  <c r="H13" i="15" s="1"/>
  <c r="B14" i="2"/>
  <c r="C14" i="2" s="1"/>
  <c r="B68" i="13"/>
  <c r="I35" i="11"/>
  <c r="J35" i="11"/>
  <c r="H46" i="11"/>
  <c r="J40" i="11"/>
  <c r="I40" i="11"/>
  <c r="C28" i="15"/>
  <c r="B8" i="2"/>
  <c r="D54" i="11"/>
  <c r="B7" i="12"/>
  <c r="J31" i="11"/>
  <c r="J16" i="11"/>
  <c r="J18" i="11"/>
  <c r="J20" i="11"/>
  <c r="J32" i="11"/>
  <c r="J19" i="11"/>
  <c r="J13" i="11"/>
  <c r="J15" i="11"/>
  <c r="J28" i="11"/>
  <c r="J30" i="11"/>
  <c r="J21" i="11"/>
  <c r="J25" i="11"/>
  <c r="J22" i="11"/>
  <c r="J27" i="11"/>
  <c r="J24" i="11"/>
  <c r="J14" i="11"/>
  <c r="J29" i="11"/>
  <c r="J17" i="11"/>
  <c r="J23" i="11"/>
  <c r="J12" i="11"/>
  <c r="J8" i="11"/>
  <c r="J39" i="11"/>
  <c r="J10" i="11"/>
  <c r="J9" i="11"/>
  <c r="J11" i="11"/>
  <c r="J26" i="11"/>
  <c r="J33" i="11"/>
  <c r="J37" i="11"/>
  <c r="J38" i="11"/>
  <c r="J36" i="11"/>
  <c r="C50" i="13"/>
  <c r="C53" i="13"/>
  <c r="H37" i="10"/>
  <c r="C36" i="14"/>
  <c r="C11" i="15"/>
  <c r="F48" i="13"/>
  <c r="D50" i="13"/>
  <c r="F50" i="13" s="1"/>
  <c r="E50" i="13"/>
  <c r="E53" i="13" s="1"/>
  <c r="F34" i="17" l="1"/>
  <c r="F36" i="17"/>
  <c r="F31" i="17"/>
  <c r="F27" i="17"/>
  <c r="F29" i="17"/>
  <c r="E54" i="13"/>
  <c r="E56" i="13"/>
  <c r="D38" i="2" s="1"/>
  <c r="C32" i="15"/>
  <c r="D32" i="16"/>
  <c r="F35" i="17"/>
  <c r="C8" i="2"/>
  <c r="B54" i="2"/>
  <c r="D33" i="16"/>
  <c r="D28" i="16"/>
  <c r="F30" i="17"/>
  <c r="F32" i="17"/>
  <c r="F33" i="17"/>
  <c r="H43" i="10"/>
  <c r="J37" i="10"/>
  <c r="I37" i="10"/>
  <c r="H49" i="11"/>
  <c r="C54" i="11"/>
  <c r="C55" i="11" s="1"/>
  <c r="C56" i="11" s="1"/>
  <c r="J24" i="10"/>
  <c r="J14" i="10"/>
  <c r="J19" i="10"/>
  <c r="J12" i="10"/>
  <c r="J21" i="10"/>
  <c r="J26" i="10"/>
  <c r="J20" i="10"/>
  <c r="J16" i="10"/>
  <c r="J11" i="10"/>
  <c r="J29" i="10"/>
  <c r="J18" i="10"/>
  <c r="J25" i="10"/>
  <c r="J28" i="10"/>
  <c r="J22" i="10"/>
  <c r="J17" i="10"/>
  <c r="J27" i="10"/>
  <c r="J13" i="10"/>
  <c r="J15" i="10"/>
  <c r="J8" i="10"/>
  <c r="J9" i="10"/>
  <c r="J36" i="10"/>
  <c r="J33" i="10"/>
  <c r="J35" i="10"/>
  <c r="J34" i="10"/>
  <c r="J30" i="10"/>
  <c r="J10" i="10"/>
  <c r="J31" i="10"/>
  <c r="J23" i="10"/>
  <c r="C54" i="13"/>
  <c r="H21" i="17"/>
  <c r="D53" i="13"/>
  <c r="D29" i="16"/>
  <c r="D55" i="11"/>
  <c r="F26" i="17"/>
  <c r="F25" i="17"/>
  <c r="B9" i="12"/>
  <c r="B34" i="12"/>
  <c r="B25" i="12"/>
  <c r="C7" i="12"/>
  <c r="B12" i="12"/>
  <c r="J32" i="10"/>
  <c r="B37" i="15"/>
  <c r="C22" i="15"/>
  <c r="B16" i="2"/>
  <c r="C16" i="2" s="1"/>
  <c r="C12" i="15"/>
  <c r="H11" i="15"/>
  <c r="E54" i="11" l="1"/>
  <c r="D56" i="11"/>
  <c r="E56" i="11" s="1"/>
  <c r="E55" i="11"/>
  <c r="C9" i="12"/>
  <c r="B10" i="2"/>
  <c r="C10" i="2" s="1"/>
  <c r="B10" i="12"/>
  <c r="B12" i="17"/>
  <c r="D54" i="13"/>
  <c r="F53" i="13"/>
  <c r="D56" i="13"/>
  <c r="B13" i="12"/>
  <c r="C12" i="12"/>
  <c r="C55" i="13"/>
  <c r="B37" i="2" s="1"/>
  <c r="B36" i="2"/>
  <c r="E55" i="13"/>
  <c r="D37" i="2" s="1"/>
  <c r="D36" i="2"/>
  <c r="I21" i="17"/>
  <c r="D21" i="17" s="1"/>
  <c r="Q970" i="17" l="1"/>
  <c r="K970" i="17" s="1"/>
  <c r="Q961" i="17"/>
  <c r="K961" i="17" s="1"/>
  <c r="Q954" i="17"/>
  <c r="Q927" i="17"/>
  <c r="K927" i="17" s="1"/>
  <c r="Q808" i="17"/>
  <c r="K808" i="17" s="1"/>
  <c r="Q787" i="17"/>
  <c r="K787" i="17" s="1"/>
  <c r="Q991" i="17"/>
  <c r="K991" i="17" s="1"/>
  <c r="Q957" i="17"/>
  <c r="K957" i="17" s="1"/>
  <c r="Q1008" i="17"/>
  <c r="K1008" i="17" s="1"/>
  <c r="Q993" i="17"/>
  <c r="K993" i="17" s="1"/>
  <c r="Q972" i="17"/>
  <c r="K972" i="17" s="1"/>
  <c r="Q949" i="17"/>
  <c r="K949" i="17" s="1"/>
  <c r="Q720" i="17"/>
  <c r="K720" i="17" s="1"/>
  <c r="Q709" i="17"/>
  <c r="K709" i="17" s="1"/>
  <c r="Q698" i="17"/>
  <c r="K698" i="17" s="1"/>
  <c r="Q676" i="17"/>
  <c r="K676" i="17" s="1"/>
  <c r="Q1031" i="17"/>
  <c r="K1031" i="17" s="1"/>
  <c r="Q1026" i="17"/>
  <c r="K1026" i="17" s="1"/>
  <c r="Q803" i="17"/>
  <c r="K803" i="17" s="1"/>
  <c r="Q742" i="17"/>
  <c r="K742" i="17" s="1"/>
  <c r="Q726" i="17"/>
  <c r="Q715" i="17"/>
  <c r="K715" i="17" s="1"/>
  <c r="Q704" i="17"/>
  <c r="K704" i="17" s="1"/>
  <c r="Q960" i="17"/>
  <c r="K960" i="17" s="1"/>
  <c r="Q566" i="17"/>
  <c r="K566" i="17" s="1"/>
  <c r="Q555" i="17"/>
  <c r="K555" i="17" s="1"/>
  <c r="Q544" i="17"/>
  <c r="K544" i="17" s="1"/>
  <c r="Q533" i="17"/>
  <c r="K533" i="17" s="1"/>
  <c r="Q996" i="17"/>
  <c r="K996" i="17" s="1"/>
  <c r="Q857" i="17"/>
  <c r="K857" i="17" s="1"/>
  <c r="Q908" i="17"/>
  <c r="K908" i="17" s="1"/>
  <c r="Q859" i="17"/>
  <c r="K859" i="17" s="1"/>
  <c r="Q844" i="17"/>
  <c r="K844" i="17" s="1"/>
  <c r="Q796" i="17"/>
  <c r="K796" i="17" s="1"/>
  <c r="Q652" i="17"/>
  <c r="K652" i="17" s="1"/>
  <c r="Q641" i="17"/>
  <c r="K641" i="17" s="1"/>
  <c r="Q584" i="17"/>
  <c r="K584" i="17" s="1"/>
  <c r="Q570" i="17"/>
  <c r="K570" i="17" s="1"/>
  <c r="Q525" i="17"/>
  <c r="K525" i="17" s="1"/>
  <c r="Q514" i="17"/>
  <c r="K514" i="17" s="1"/>
  <c r="Q503" i="17"/>
  <c r="K503" i="17" s="1"/>
  <c r="Q481" i="17"/>
  <c r="K481" i="17" s="1"/>
  <c r="Q540" i="17"/>
  <c r="K540" i="17" s="1"/>
  <c r="Q535" i="17"/>
  <c r="K535" i="17" s="1"/>
  <c r="Q1015" i="17"/>
  <c r="K1015" i="17" s="1"/>
  <c r="Q725" i="17"/>
  <c r="K725" i="17" s="1"/>
  <c r="Q706" i="17"/>
  <c r="K706" i="17" s="1"/>
  <c r="Q679" i="17"/>
  <c r="K679" i="17" s="1"/>
  <c r="Q601" i="17"/>
  <c r="K601" i="17" s="1"/>
  <c r="Q510" i="17"/>
  <c r="K510" i="17" s="1"/>
  <c r="Q479" i="17"/>
  <c r="K479" i="17" s="1"/>
  <c r="Q461" i="17"/>
  <c r="K461" i="17" s="1"/>
  <c r="Q445" i="17"/>
  <c r="K445" i="17" s="1"/>
  <c r="Q964" i="17"/>
  <c r="K964" i="17" s="1"/>
  <c r="Q370" i="17"/>
  <c r="K370" i="17" s="1"/>
  <c r="Q359" i="17"/>
  <c r="K359" i="17" s="1"/>
  <c r="Q348" i="17"/>
  <c r="K348" i="17" s="1"/>
  <c r="Q740" i="17"/>
  <c r="K740" i="17" s="1"/>
  <c r="Q689" i="17"/>
  <c r="K689" i="17" s="1"/>
  <c r="Q597" i="17"/>
  <c r="K597" i="17" s="1"/>
  <c r="Q802" i="17"/>
  <c r="K802" i="17" s="1"/>
  <c r="Q576" i="17"/>
  <c r="K576" i="17" s="1"/>
  <c r="Q574" i="17"/>
  <c r="K574" i="17" s="1"/>
  <c r="Q569" i="17"/>
  <c r="K569" i="17" s="1"/>
  <c r="Q432" i="17"/>
  <c r="K432" i="17" s="1"/>
  <c r="Q427" i="17"/>
  <c r="K427" i="17" s="1"/>
  <c r="Q270" i="17"/>
  <c r="Q259" i="17"/>
  <c r="K259" i="17" s="1"/>
  <c r="Q439" i="17"/>
  <c r="K439" i="17" s="1"/>
  <c r="Q428" i="17"/>
  <c r="K428" i="17" s="1"/>
  <c r="Q382" i="17"/>
  <c r="K382" i="17" s="1"/>
  <c r="Q322" i="17"/>
  <c r="K322" i="17" s="1"/>
  <c r="Q702" i="17"/>
  <c r="K702" i="17" s="1"/>
  <c r="Q550" i="17"/>
  <c r="K550" i="17" s="1"/>
  <c r="Q537" i="17"/>
  <c r="K537" i="17" s="1"/>
  <c r="Q410" i="17"/>
  <c r="K410" i="17" s="1"/>
  <c r="Q365" i="17"/>
  <c r="K365" i="17" s="1"/>
  <c r="Q353" i="17"/>
  <c r="K353" i="17" s="1"/>
  <c r="Q263" i="17"/>
  <c r="K263" i="17" s="1"/>
  <c r="Q217" i="17"/>
  <c r="K217" i="17" s="1"/>
  <c r="Q195" i="17"/>
  <c r="K195" i="17" s="1"/>
  <c r="Q154" i="17"/>
  <c r="K154" i="17" s="1"/>
  <c r="Q133" i="17"/>
  <c r="K133" i="17" s="1"/>
  <c r="Q122" i="17"/>
  <c r="K122" i="17" s="1"/>
  <c r="Q200" i="17"/>
  <c r="Q170" i="17"/>
  <c r="K170" i="17" s="1"/>
  <c r="Q157" i="17"/>
  <c r="K157" i="17" s="1"/>
  <c r="Q136" i="17"/>
  <c r="K136" i="17" s="1"/>
  <c r="Q941" i="17"/>
  <c r="K941" i="17" s="1"/>
  <c r="Q736" i="17"/>
  <c r="K736" i="17" s="1"/>
  <c r="Q252" i="17"/>
  <c r="K252" i="17" s="1"/>
  <c r="Q180" i="17"/>
  <c r="K180" i="17" s="1"/>
  <c r="Q174" i="17"/>
  <c r="K174" i="17" s="1"/>
  <c r="Q164" i="17"/>
  <c r="K164" i="17" s="1"/>
  <c r="Q128" i="17"/>
  <c r="K128" i="17" s="1"/>
  <c r="Q126" i="17"/>
  <c r="K126" i="17" s="1"/>
  <c r="Q275" i="17"/>
  <c r="K275" i="17" s="1"/>
  <c r="Q235" i="17"/>
  <c r="K235" i="17" s="1"/>
  <c r="Q316" i="17"/>
  <c r="K316" i="17" s="1"/>
  <c r="Q97" i="17"/>
  <c r="K97" i="17" s="1"/>
  <c r="Q84" i="17"/>
  <c r="K84" i="17" s="1"/>
  <c r="Q49" i="17"/>
  <c r="K49" i="17" s="1"/>
  <c r="Q272" i="17"/>
  <c r="K272" i="17" s="1"/>
  <c r="Q144" i="17"/>
  <c r="K144" i="17" s="1"/>
  <c r="Q344" i="17"/>
  <c r="K344" i="17" s="1"/>
  <c r="Q258" i="17"/>
  <c r="K258" i="17" s="1"/>
  <c r="Q165" i="17"/>
  <c r="K165" i="17" s="1"/>
  <c r="Q77" i="17"/>
  <c r="K77" i="17" s="1"/>
  <c r="Q244" i="17"/>
  <c r="K244" i="17" s="1"/>
  <c r="Q83" i="17"/>
  <c r="K83" i="17" s="1"/>
  <c r="Q45" i="17"/>
  <c r="K45" i="17" s="1"/>
  <c r="Q41" i="17"/>
  <c r="K41" i="17" s="1"/>
  <c r="Q507" i="17"/>
  <c r="K507" i="17" s="1"/>
  <c r="Q444" i="17"/>
  <c r="Q407" i="17"/>
  <c r="K407" i="17" s="1"/>
  <c r="Q44" i="17"/>
  <c r="K44" i="17" s="1"/>
  <c r="Q368" i="17"/>
  <c r="K368" i="17" s="1"/>
  <c r="Q342" i="17"/>
  <c r="K342" i="17" s="1"/>
  <c r="Q127" i="17"/>
  <c r="K127" i="17" s="1"/>
  <c r="Q98" i="17"/>
  <c r="K98" i="17" s="1"/>
  <c r="C48" i="14"/>
  <c r="C13" i="12"/>
  <c r="K270" i="17"/>
  <c r="K726" i="17"/>
  <c r="K954" i="17"/>
  <c r="K444" i="17"/>
  <c r="K200" i="17"/>
  <c r="B21" i="17"/>
  <c r="Q1030" i="17" s="1"/>
  <c r="K1030" i="17" s="1"/>
  <c r="B12" i="16"/>
  <c r="F58" i="13"/>
  <c r="B41" i="2" s="1"/>
  <c r="E38" i="14"/>
  <c r="E39" i="14" s="1"/>
  <c r="D38" i="14"/>
  <c r="D39" i="14" s="1"/>
  <c r="G38" i="14"/>
  <c r="G39" i="14" s="1"/>
  <c r="F38" i="14"/>
  <c r="F39" i="14" s="1"/>
  <c r="C38" i="14"/>
  <c r="C10" i="12"/>
  <c r="O46" i="14"/>
  <c r="N46" i="14"/>
  <c r="M46" i="14"/>
  <c r="L46" i="14"/>
  <c r="K46" i="14"/>
  <c r="J46" i="14"/>
  <c r="I46" i="14"/>
  <c r="G46" i="14"/>
  <c r="I38" i="14"/>
  <c r="I39" i="14" s="1"/>
  <c r="H38" i="14"/>
  <c r="H39" i="14" s="1"/>
  <c r="B18" i="12"/>
  <c r="M38" i="14"/>
  <c r="M39" i="14" s="1"/>
  <c r="C46" i="14"/>
  <c r="O38" i="14"/>
  <c r="B11" i="2"/>
  <c r="C11" i="2" s="1"/>
  <c r="K38" i="14"/>
  <c r="K39" i="14" s="1"/>
  <c r="N38" i="14"/>
  <c r="N39" i="14" s="1"/>
  <c r="E46" i="14"/>
  <c r="J38" i="14"/>
  <c r="J39" i="14" s="1"/>
  <c r="H46" i="14"/>
  <c r="F46" i="14"/>
  <c r="D46" i="14"/>
  <c r="L38" i="14"/>
  <c r="L39" i="14" s="1"/>
  <c r="B11" i="12"/>
  <c r="C38" i="2"/>
  <c r="F56" i="13"/>
  <c r="B70" i="13" s="1"/>
  <c r="D55" i="13"/>
  <c r="F54" i="13"/>
  <c r="C36" i="2"/>
  <c r="C14" i="15" l="1"/>
  <c r="C39" i="14"/>
  <c r="Q90" i="17"/>
  <c r="K90" i="17" s="1"/>
  <c r="Q603" i="17"/>
  <c r="K603" i="17" s="1"/>
  <c r="Q142" i="17"/>
  <c r="K142" i="17" s="1"/>
  <c r="Q277" i="17"/>
  <c r="K277" i="17" s="1"/>
  <c r="Q302" i="17"/>
  <c r="K302" i="17" s="1"/>
  <c r="Q211" i="17"/>
  <c r="K211" i="17" s="1"/>
  <c r="Q297" i="17"/>
  <c r="K297" i="17" s="1"/>
  <c r="Q309" i="17"/>
  <c r="K309" i="17" s="1"/>
  <c r="Q281" i="17"/>
  <c r="K281" i="17" s="1"/>
  <c r="Q376" i="17"/>
  <c r="K376" i="17" s="1"/>
  <c r="Q381" i="17"/>
  <c r="K381" i="17" s="1"/>
  <c r="Q651" i="17"/>
  <c r="K651" i="17" s="1"/>
  <c r="Q695" i="17"/>
  <c r="K695" i="17" s="1"/>
  <c r="Q602" i="17"/>
  <c r="K602" i="17" s="1"/>
  <c r="Q605" i="17"/>
  <c r="K605" i="17" s="1"/>
  <c r="Q577" i="17"/>
  <c r="K577" i="17" s="1"/>
  <c r="Q821" i="17"/>
  <c r="K821" i="17" s="1"/>
  <c r="Q1003" i="17"/>
  <c r="K1003" i="17" s="1"/>
  <c r="Q1016" i="17"/>
  <c r="K1016" i="17" s="1"/>
  <c r="Q1013" i="17"/>
  <c r="K1013" i="17" s="1"/>
  <c r="B73" i="16"/>
  <c r="E64" i="16"/>
  <c r="D62" i="16"/>
  <c r="C60" i="16"/>
  <c r="D64" i="16"/>
  <c r="B60" i="16"/>
  <c r="B63" i="16"/>
  <c r="B64" i="16"/>
  <c r="E63" i="16"/>
  <c r="F64" i="16"/>
  <c r="F63" i="16"/>
  <c r="E62" i="16"/>
  <c r="C64" i="16"/>
  <c r="F61" i="16"/>
  <c r="D63" i="16"/>
  <c r="F62" i="16"/>
  <c r="E61" i="16"/>
  <c r="D61" i="16"/>
  <c r="C62" i="16"/>
  <c r="D60" i="16"/>
  <c r="B62" i="16"/>
  <c r="C61" i="16"/>
  <c r="F60" i="16"/>
  <c r="C63" i="16"/>
  <c r="B61" i="16"/>
  <c r="E60" i="16"/>
  <c r="Q82" i="17"/>
  <c r="K82" i="17" s="1"/>
  <c r="Q59" i="17"/>
  <c r="K59" i="17" s="1"/>
  <c r="Q163" i="17"/>
  <c r="K163" i="17" s="1"/>
  <c r="Q326" i="17"/>
  <c r="K326" i="17" s="1"/>
  <c r="Q804" i="17"/>
  <c r="K804" i="17" s="1"/>
  <c r="Q255" i="17"/>
  <c r="K255" i="17" s="1"/>
  <c r="Q328" i="17"/>
  <c r="K328" i="17" s="1"/>
  <c r="Q317" i="17"/>
  <c r="K317" i="17" s="1"/>
  <c r="Q292" i="17"/>
  <c r="K292" i="17" s="1"/>
  <c r="Q387" i="17"/>
  <c r="K387" i="17" s="1"/>
  <c r="Q416" i="17"/>
  <c r="K416" i="17" s="1"/>
  <c r="Q748" i="17"/>
  <c r="K748" i="17" s="1"/>
  <c r="Q855" i="17"/>
  <c r="K855" i="17" s="1"/>
  <c r="Q684" i="17"/>
  <c r="K684" i="17" s="1"/>
  <c r="Q616" i="17"/>
  <c r="K616" i="17" s="1"/>
  <c r="Q599" i="17"/>
  <c r="K599" i="17" s="1"/>
  <c r="Q829" i="17"/>
  <c r="K829" i="17" s="1"/>
  <c r="Q1014" i="17"/>
  <c r="K1014" i="17" s="1"/>
  <c r="Q1025" i="17"/>
  <c r="K1025" i="17" s="1"/>
  <c r="Q1038" i="17"/>
  <c r="K1038" i="17" s="1"/>
  <c r="Q870" i="17"/>
  <c r="K870" i="17" s="1"/>
  <c r="Q393" i="17"/>
  <c r="K393" i="17" s="1"/>
  <c r="Q1019" i="17"/>
  <c r="K1019" i="17" s="1"/>
  <c r="Q782" i="17"/>
  <c r="K782" i="17" s="1"/>
  <c r="C18" i="12"/>
  <c r="B19" i="12"/>
  <c r="B37" i="12" s="1"/>
  <c r="Q150" i="17"/>
  <c r="K150" i="17" s="1"/>
  <c r="Q478" i="17"/>
  <c r="K478" i="17" s="1"/>
  <c r="Q256" i="17"/>
  <c r="K256" i="17" s="1"/>
  <c r="Q104" i="17"/>
  <c r="K104" i="17" s="1"/>
  <c r="Q250" i="17"/>
  <c r="K250" i="17" s="1"/>
  <c r="Q267" i="17"/>
  <c r="K267" i="17" s="1"/>
  <c r="Q374" i="17"/>
  <c r="K374" i="17" s="1"/>
  <c r="Q622" i="17"/>
  <c r="K622" i="17" s="1"/>
  <c r="Q532" i="17"/>
  <c r="K532" i="17" s="1"/>
  <c r="Q429" i="17"/>
  <c r="K429" i="17" s="1"/>
  <c r="Q468" i="17"/>
  <c r="K468" i="17" s="1"/>
  <c r="Q559" i="17"/>
  <c r="K559" i="17" s="1"/>
  <c r="Q451" i="17"/>
  <c r="K451" i="17" s="1"/>
  <c r="Q713" i="17"/>
  <c r="K713" i="17" s="1"/>
  <c r="Q710" i="17"/>
  <c r="K710" i="17" s="1"/>
  <c r="Q774" i="17"/>
  <c r="K774" i="17" s="1"/>
  <c r="Q935" i="17"/>
  <c r="K935" i="17" s="1"/>
  <c r="Q840" i="17"/>
  <c r="K840" i="17" s="1"/>
  <c r="Q811" i="17"/>
  <c r="K811" i="17" s="1"/>
  <c r="Q1039" i="17"/>
  <c r="K1039" i="17" s="1"/>
  <c r="Q911" i="17"/>
  <c r="K911" i="17" s="1"/>
  <c r="Q900" i="17"/>
  <c r="K900" i="17" s="1"/>
  <c r="Q836" i="17"/>
  <c r="K836" i="17" s="1"/>
  <c r="Q1023" i="17"/>
  <c r="K1023" i="17" s="1"/>
  <c r="Q746" i="17"/>
  <c r="K746" i="17" s="1"/>
  <c r="Q999" i="17"/>
  <c r="K999" i="17" s="1"/>
  <c r="Q862" i="17"/>
  <c r="K862" i="17" s="1"/>
  <c r="Q845" i="17"/>
  <c r="K845" i="17" s="1"/>
  <c r="Q843" i="17"/>
  <c r="K843" i="17" s="1"/>
  <c r="Q761" i="17"/>
  <c r="K761" i="17" s="1"/>
  <c r="Q852" i="17"/>
  <c r="K852" i="17" s="1"/>
  <c r="Q719" i="17"/>
  <c r="K719" i="17" s="1"/>
  <c r="Q759" i="17"/>
  <c r="K759" i="17" s="1"/>
  <c r="Q824" i="17"/>
  <c r="K824" i="17" s="1"/>
  <c r="Q556" i="17"/>
  <c r="K556" i="17" s="1"/>
  <c r="Q1022" i="17"/>
  <c r="K1022" i="17" s="1"/>
  <c r="Q637" i="17"/>
  <c r="K637" i="17" s="1"/>
  <c r="Q582" i="17"/>
  <c r="K582" i="17" s="1"/>
  <c r="Q815" i="17"/>
  <c r="K815" i="17" s="1"/>
  <c r="Q820" i="17"/>
  <c r="K820" i="17" s="1"/>
  <c r="Q913" i="17"/>
  <c r="K913" i="17" s="1"/>
  <c r="Q529" i="17"/>
  <c r="K529" i="17" s="1"/>
  <c r="Q504" i="17"/>
  <c r="K504" i="17" s="1"/>
  <c r="Q464" i="17"/>
  <c r="K464" i="17" s="1"/>
  <c r="Q430" i="17"/>
  <c r="K430" i="17" s="1"/>
  <c r="Q248" i="17"/>
  <c r="K248" i="17" s="1"/>
  <c r="Q306" i="17"/>
  <c r="K306" i="17" s="1"/>
  <c r="Q298" i="17"/>
  <c r="K298" i="17" s="1"/>
  <c r="Q526" i="17"/>
  <c r="K526" i="17" s="1"/>
  <c r="Q401" i="17"/>
  <c r="K401" i="17" s="1"/>
  <c r="Q682" i="17"/>
  <c r="K682" i="17" s="1"/>
  <c r="Q202" i="17"/>
  <c r="K202" i="17" s="1"/>
  <c r="Q685" i="17"/>
  <c r="K685" i="17" s="1"/>
  <c r="Q253" i="17"/>
  <c r="K253" i="17" s="1"/>
  <c r="Q130" i="17"/>
  <c r="K130" i="17" s="1"/>
  <c r="Q206" i="17"/>
  <c r="K206" i="17" s="1"/>
  <c r="Q186" i="17"/>
  <c r="K186" i="17" s="1"/>
  <c r="Q203" i="17"/>
  <c r="K203" i="17" s="1"/>
  <c r="Q140" i="17"/>
  <c r="K140" i="17" s="1"/>
  <c r="Q399" i="17"/>
  <c r="K399" i="17" s="1"/>
  <c r="Q135" i="17"/>
  <c r="K135" i="17" s="1"/>
  <c r="Q241" i="17"/>
  <c r="K241" i="17" s="1"/>
  <c r="Q420" i="17"/>
  <c r="K420" i="17" s="1"/>
  <c r="Q183" i="17"/>
  <c r="K183" i="17" s="1"/>
  <c r="Q366" i="17"/>
  <c r="K366" i="17" s="1"/>
  <c r="Q1028" i="17"/>
  <c r="K1028" i="17" s="1"/>
  <c r="Q906" i="17"/>
  <c r="K906" i="17" s="1"/>
  <c r="Q874" i="17"/>
  <c r="K874" i="17" s="1"/>
  <c r="Q795" i="17"/>
  <c r="K795" i="17" s="1"/>
  <c r="Q1009" i="17"/>
  <c r="K1009" i="17" s="1"/>
  <c r="Q735" i="17"/>
  <c r="K735" i="17" s="1"/>
  <c r="Q981" i="17"/>
  <c r="K981" i="17" s="1"/>
  <c r="Q739" i="17"/>
  <c r="K739" i="17" s="1"/>
  <c r="Q837" i="17"/>
  <c r="K837" i="17" s="1"/>
  <c r="Q839" i="17"/>
  <c r="K839" i="17" s="1"/>
  <c r="Q756" i="17"/>
  <c r="K756" i="17" s="1"/>
  <c r="Q834" i="17"/>
  <c r="K834" i="17" s="1"/>
  <c r="Q693" i="17"/>
  <c r="K693" i="17" s="1"/>
  <c r="Q703" i="17"/>
  <c r="K703" i="17" s="1"/>
  <c r="Q813" i="17"/>
  <c r="K813" i="17" s="1"/>
  <c r="Q988" i="17"/>
  <c r="K988" i="17" s="1"/>
  <c r="Q807" i="17"/>
  <c r="K807" i="17" s="1"/>
  <c r="Q633" i="17"/>
  <c r="K633" i="17" s="1"/>
  <c r="Q520" i="17"/>
  <c r="K520" i="17" s="1"/>
  <c r="Q800" i="17"/>
  <c r="K800" i="17" s="1"/>
  <c r="Q681" i="17"/>
  <c r="K681" i="17" s="1"/>
  <c r="Q869" i="17"/>
  <c r="K869" i="17" s="1"/>
  <c r="Q508" i="17"/>
  <c r="K508" i="17" s="1"/>
  <c r="Q475" i="17"/>
  <c r="K475" i="17" s="1"/>
  <c r="Q446" i="17"/>
  <c r="K446" i="17" s="1"/>
  <c r="Q404" i="17"/>
  <c r="K404" i="17" s="1"/>
  <c r="Q237" i="17"/>
  <c r="K237" i="17" s="1"/>
  <c r="Q295" i="17"/>
  <c r="K295" i="17" s="1"/>
  <c r="Q287" i="17"/>
  <c r="K287" i="17" s="1"/>
  <c r="Q485" i="17"/>
  <c r="K485" i="17" s="1"/>
  <c r="Q324" i="17"/>
  <c r="K324" i="17" s="1"/>
  <c r="Q653" i="17"/>
  <c r="K653" i="17" s="1"/>
  <c r="Q184" i="17"/>
  <c r="K184" i="17" s="1"/>
  <c r="Q650" i="17"/>
  <c r="K650" i="17" s="1"/>
  <c r="Q249" i="17"/>
  <c r="K249" i="17" s="1"/>
  <c r="Q117" i="17"/>
  <c r="K117" i="17" s="1"/>
  <c r="Q160" i="17"/>
  <c r="K160" i="17" s="1"/>
  <c r="Q156" i="17"/>
  <c r="K156" i="17" s="1"/>
  <c r="Q201" i="17"/>
  <c r="K201" i="17" s="1"/>
  <c r="Q138" i="17"/>
  <c r="K138" i="17" s="1"/>
  <c r="Q390" i="17"/>
  <c r="K390" i="17" s="1"/>
  <c r="Q67" i="17"/>
  <c r="K67" i="17" s="1"/>
  <c r="Q225" i="17"/>
  <c r="K225" i="17" s="1"/>
  <c r="Q377" i="17"/>
  <c r="K377" i="17" s="1"/>
  <c r="Q173" i="17"/>
  <c r="K173" i="17" s="1"/>
  <c r="Q159" i="17"/>
  <c r="K159" i="17" s="1"/>
  <c r="Q1017" i="17"/>
  <c r="K1017" i="17" s="1"/>
  <c r="Q893" i="17"/>
  <c r="K893" i="17" s="1"/>
  <c r="Q867" i="17"/>
  <c r="K867" i="17" s="1"/>
  <c r="Q1036" i="17"/>
  <c r="K1036" i="17" s="1"/>
  <c r="Q955" i="17"/>
  <c r="K955" i="17" s="1"/>
  <c r="Q976" i="17"/>
  <c r="K976" i="17" s="1"/>
  <c r="Q915" i="17"/>
  <c r="K915" i="17" s="1"/>
  <c r="Q1021" i="17"/>
  <c r="K1021" i="17" s="1"/>
  <c r="Q835" i="17"/>
  <c r="K835" i="17" s="1"/>
  <c r="Q827" i="17"/>
  <c r="K827" i="17" s="1"/>
  <c r="Q1024" i="17"/>
  <c r="K1024" i="17" s="1"/>
  <c r="Q764" i="17"/>
  <c r="K764" i="17" s="1"/>
  <c r="Q688" i="17"/>
  <c r="K688" i="17" s="1"/>
  <c r="Q678" i="17"/>
  <c r="K678" i="17" s="1"/>
  <c r="Q777" i="17"/>
  <c r="K777" i="17" s="1"/>
  <c r="Q871" i="17"/>
  <c r="K871" i="17" s="1"/>
  <c r="Q697" i="17"/>
  <c r="K697" i="17" s="1"/>
  <c r="Q625" i="17"/>
  <c r="K625" i="17" s="1"/>
  <c r="Q509" i="17"/>
  <c r="K509" i="17" s="1"/>
  <c r="Q783" i="17"/>
  <c r="K783" i="17" s="1"/>
  <c r="Q538" i="17"/>
  <c r="K538" i="17" s="1"/>
  <c r="Q769" i="17"/>
  <c r="K769" i="17" s="1"/>
  <c r="Q486" i="17"/>
  <c r="K486" i="17" s="1"/>
  <c r="Q842" i="17"/>
  <c r="K842" i="17" s="1"/>
  <c r="Q434" i="17"/>
  <c r="K434" i="17" s="1"/>
  <c r="Q394" i="17"/>
  <c r="K394" i="17" s="1"/>
  <c r="Q226" i="17"/>
  <c r="K226" i="17" s="1"/>
  <c r="Q284" i="17"/>
  <c r="K284" i="17" s="1"/>
  <c r="Q276" i="17"/>
  <c r="K276" i="17" s="1"/>
  <c r="Q483" i="17"/>
  <c r="K483" i="17" s="1"/>
  <c r="Q289" i="17"/>
  <c r="K289" i="17" s="1"/>
  <c r="Q539" i="17"/>
  <c r="K539" i="17" s="1"/>
  <c r="Q149" i="17"/>
  <c r="K149" i="17" s="1"/>
  <c r="Q887" i="17"/>
  <c r="K887" i="17" s="1"/>
  <c r="Q247" i="17"/>
  <c r="K247" i="17" s="1"/>
  <c r="Q78" i="17"/>
  <c r="K78" i="17" s="1"/>
  <c r="Q106" i="17"/>
  <c r="K106" i="17" s="1"/>
  <c r="Q139" i="17"/>
  <c r="K139" i="17" s="1"/>
  <c r="Q192" i="17"/>
  <c r="K192" i="17" s="1"/>
  <c r="Q131" i="17"/>
  <c r="K131" i="17" s="1"/>
  <c r="Q269" i="17"/>
  <c r="K269" i="17" s="1"/>
  <c r="Q53" i="17"/>
  <c r="K53" i="17" s="1"/>
  <c r="Q155" i="17"/>
  <c r="K155" i="17" s="1"/>
  <c r="Q227" i="17"/>
  <c r="K227" i="17" s="1"/>
  <c r="Q101" i="17"/>
  <c r="K101" i="17" s="1"/>
  <c r="Q134" i="17"/>
  <c r="K134" i="17" s="1"/>
  <c r="Q1006" i="17"/>
  <c r="K1006" i="17" s="1"/>
  <c r="Q872" i="17"/>
  <c r="K872" i="17" s="1"/>
  <c r="Q1029" i="17"/>
  <c r="K1029" i="17" s="1"/>
  <c r="Q1018" i="17"/>
  <c r="K1018" i="17" s="1"/>
  <c r="Q948" i="17"/>
  <c r="K948" i="17" s="1"/>
  <c r="Q924" i="17"/>
  <c r="K924" i="17" s="1"/>
  <c r="Q899" i="17"/>
  <c r="K899" i="17" s="1"/>
  <c r="Q1011" i="17"/>
  <c r="K1011" i="17" s="1"/>
  <c r="Q799" i="17"/>
  <c r="K799" i="17" s="1"/>
  <c r="Q797" i="17"/>
  <c r="K797" i="17" s="1"/>
  <c r="Q1012" i="17"/>
  <c r="K1012" i="17" s="1"/>
  <c r="Q732" i="17"/>
  <c r="K732" i="17" s="1"/>
  <c r="Q683" i="17"/>
  <c r="K683" i="17" s="1"/>
  <c r="Q673" i="17"/>
  <c r="K673" i="17" s="1"/>
  <c r="Q772" i="17"/>
  <c r="K772" i="17" s="1"/>
  <c r="Q828" i="17"/>
  <c r="K828" i="17" s="1"/>
  <c r="Q639" i="17"/>
  <c r="K639" i="17" s="1"/>
  <c r="Q623" i="17"/>
  <c r="K623" i="17" s="1"/>
  <c r="Q498" i="17"/>
  <c r="K498" i="17" s="1"/>
  <c r="Q662" i="17"/>
  <c r="K662" i="17" s="1"/>
  <c r="Q512" i="17"/>
  <c r="K512" i="17" s="1"/>
  <c r="Q612" i="17"/>
  <c r="K612" i="17" s="1"/>
  <c r="Q457" i="17"/>
  <c r="K457" i="17" s="1"/>
  <c r="Q790" i="17"/>
  <c r="K790" i="17" s="1"/>
  <c r="Q414" i="17"/>
  <c r="K414" i="17" s="1"/>
  <c r="Q373" i="17"/>
  <c r="K373" i="17" s="1"/>
  <c r="Q215" i="17"/>
  <c r="K215" i="17" s="1"/>
  <c r="Q273" i="17"/>
  <c r="K273" i="17" s="1"/>
  <c r="Q265" i="17"/>
  <c r="K265" i="17" s="1"/>
  <c r="Q425" i="17"/>
  <c r="K425" i="17" s="1"/>
  <c r="Q172" i="17"/>
  <c r="K172" i="17" s="1"/>
  <c r="Q536" i="17"/>
  <c r="K536" i="17" s="1"/>
  <c r="Q125" i="17"/>
  <c r="K125" i="17" s="1"/>
  <c r="Q518" i="17"/>
  <c r="K518" i="17" s="1"/>
  <c r="Q222" i="17"/>
  <c r="K222" i="17" s="1"/>
  <c r="Q62" i="17"/>
  <c r="K62" i="17" s="1"/>
  <c r="Q94" i="17"/>
  <c r="K94" i="17" s="1"/>
  <c r="Q137" i="17"/>
  <c r="K137" i="17" s="1"/>
  <c r="Q169" i="17"/>
  <c r="K169" i="17" s="1"/>
  <c r="Q604" i="17"/>
  <c r="K604" i="17" s="1"/>
  <c r="Q260" i="17"/>
  <c r="K260" i="17" s="1"/>
  <c r="Q626" i="17"/>
  <c r="K626" i="17" s="1"/>
  <c r="Q112" i="17"/>
  <c r="K112" i="17" s="1"/>
  <c r="Q264" i="17"/>
  <c r="K264" i="17" s="1"/>
  <c r="Q76" i="17"/>
  <c r="K76" i="17" s="1"/>
  <c r="Q357" i="17"/>
  <c r="K357" i="17" s="1"/>
  <c r="Q995" i="17"/>
  <c r="K995" i="17" s="1"/>
  <c r="Q851" i="17"/>
  <c r="K851" i="17" s="1"/>
  <c r="Q968" i="17"/>
  <c r="K968" i="17" s="1"/>
  <c r="Q1004" i="17"/>
  <c r="K1004" i="17" s="1"/>
  <c r="Q939" i="17"/>
  <c r="K939" i="17" s="1"/>
  <c r="Q922" i="17"/>
  <c r="K922" i="17" s="1"/>
  <c r="Q897" i="17"/>
  <c r="K897" i="17" s="1"/>
  <c r="Q992" i="17"/>
  <c r="K992" i="17" s="1"/>
  <c r="Q784" i="17"/>
  <c r="K784" i="17" s="1"/>
  <c r="Q1035" i="17"/>
  <c r="K1035" i="17" s="1"/>
  <c r="Q809" i="17"/>
  <c r="K809" i="17" s="1"/>
  <c r="Q730" i="17"/>
  <c r="K730" i="17" s="1"/>
  <c r="Q998" i="17"/>
  <c r="K998" i="17" s="1"/>
  <c r="Q668" i="17"/>
  <c r="K668" i="17" s="1"/>
  <c r="Q770" i="17"/>
  <c r="K770" i="17" s="1"/>
  <c r="Q711" i="17"/>
  <c r="K711" i="17" s="1"/>
  <c r="Q631" i="17"/>
  <c r="K631" i="17" s="1"/>
  <c r="Q617" i="17"/>
  <c r="K617" i="17" s="1"/>
  <c r="Q487" i="17"/>
  <c r="K487" i="17" s="1"/>
  <c r="Q647" i="17"/>
  <c r="K647" i="17" s="1"/>
  <c r="Q477" i="17"/>
  <c r="K477" i="17" s="1"/>
  <c r="Q593" i="17"/>
  <c r="K593" i="17" s="1"/>
  <c r="Q441" i="17"/>
  <c r="K441" i="17" s="1"/>
  <c r="Q590" i="17"/>
  <c r="K590" i="17" s="1"/>
  <c r="Q848" i="17"/>
  <c r="K848" i="17" s="1"/>
  <c r="Q371" i="17"/>
  <c r="K371" i="17" s="1"/>
  <c r="Q204" i="17"/>
  <c r="K204" i="17" s="1"/>
  <c r="Q262" i="17"/>
  <c r="K262" i="17" s="1"/>
  <c r="Q254" i="17"/>
  <c r="K254" i="17" s="1"/>
  <c r="Q358" i="17"/>
  <c r="K358" i="17" s="1"/>
  <c r="Q146" i="17"/>
  <c r="K146" i="17" s="1"/>
  <c r="Q480" i="17"/>
  <c r="K480" i="17" s="1"/>
  <c r="Q114" i="17"/>
  <c r="K114" i="17" s="1"/>
  <c r="Q515" i="17"/>
  <c r="K515" i="17" s="1"/>
  <c r="Q147" i="17"/>
  <c r="K147" i="17" s="1"/>
  <c r="Q51" i="17"/>
  <c r="K51" i="17" s="1"/>
  <c r="Q73" i="17"/>
  <c r="K73" i="17" s="1"/>
  <c r="Q124" i="17"/>
  <c r="K124" i="17" s="1"/>
  <c r="Q152" i="17"/>
  <c r="K152" i="17" s="1"/>
  <c r="Q557" i="17"/>
  <c r="K557" i="17" s="1"/>
  <c r="Q220" i="17"/>
  <c r="K220" i="17" s="1"/>
  <c r="Q315" i="17"/>
  <c r="K315" i="17" s="1"/>
  <c r="Q895" i="17"/>
  <c r="K895" i="17" s="1"/>
  <c r="Q105" i="17"/>
  <c r="K105" i="17" s="1"/>
  <c r="Q513" i="17"/>
  <c r="K513" i="17" s="1"/>
  <c r="Q364" i="17"/>
  <c r="K364" i="17" s="1"/>
  <c r="Q984" i="17"/>
  <c r="K984" i="17" s="1"/>
  <c r="Q997" i="17"/>
  <c r="K997" i="17" s="1"/>
  <c r="Q945" i="17"/>
  <c r="K945" i="17" s="1"/>
  <c r="Q966" i="17"/>
  <c r="K966" i="17" s="1"/>
  <c r="Q912" i="17"/>
  <c r="K912" i="17" s="1"/>
  <c r="Q833" i="17"/>
  <c r="K833" i="17" s="1"/>
  <c r="Q884" i="17"/>
  <c r="K884" i="17" s="1"/>
  <c r="Q963" i="17"/>
  <c r="K963" i="17" s="1"/>
  <c r="Q760" i="17"/>
  <c r="K760" i="17" s="1"/>
  <c r="Q994" i="17"/>
  <c r="K994" i="17" s="1"/>
  <c r="Q734" i="17"/>
  <c r="K734" i="17" s="1"/>
  <c r="Q670" i="17"/>
  <c r="K670" i="17" s="1"/>
  <c r="Q990" i="17"/>
  <c r="K990" i="17" s="1"/>
  <c r="Q789" i="17"/>
  <c r="K789" i="17" s="1"/>
  <c r="Q737" i="17"/>
  <c r="K737" i="17" s="1"/>
  <c r="Q671" i="17"/>
  <c r="K671" i="17" s="1"/>
  <c r="Q591" i="17"/>
  <c r="K591" i="17" s="1"/>
  <c r="Q609" i="17"/>
  <c r="K609" i="17" s="1"/>
  <c r="Q476" i="17"/>
  <c r="K476" i="17" s="1"/>
  <c r="Q596" i="17"/>
  <c r="K596" i="17" s="1"/>
  <c r="Q408" i="17"/>
  <c r="K408" i="17" s="1"/>
  <c r="Q586" i="17"/>
  <c r="K586" i="17" s="1"/>
  <c r="Q411" i="17"/>
  <c r="K411" i="17" s="1"/>
  <c r="Q553" i="17"/>
  <c r="K553" i="17" s="1"/>
  <c r="Q680" i="17"/>
  <c r="K680" i="17" s="1"/>
  <c r="Q362" i="17"/>
  <c r="K362" i="17" s="1"/>
  <c r="Q193" i="17"/>
  <c r="K193" i="17" s="1"/>
  <c r="Q251" i="17"/>
  <c r="K251" i="17" s="1"/>
  <c r="Q243" i="17"/>
  <c r="K243" i="17" s="1"/>
  <c r="Q346" i="17"/>
  <c r="K346" i="17" s="1"/>
  <c r="Q618" i="17"/>
  <c r="K618" i="17" s="1"/>
  <c r="Q396" i="17"/>
  <c r="K396" i="17" s="1"/>
  <c r="Q103" i="17"/>
  <c r="K103" i="17" s="1"/>
  <c r="Q388" i="17"/>
  <c r="K388" i="17" s="1"/>
  <c r="Q516" i="17"/>
  <c r="K516" i="17" s="1"/>
  <c r="Q40" i="17"/>
  <c r="K40" i="17" s="1"/>
  <c r="Q65" i="17"/>
  <c r="K65" i="17" s="1"/>
  <c r="Q89" i="17"/>
  <c r="K89" i="17" s="1"/>
  <c r="Q118" i="17"/>
  <c r="K118" i="17" s="1"/>
  <c r="Q413" i="17"/>
  <c r="K413" i="17" s="1"/>
  <c r="Q190" i="17"/>
  <c r="K190" i="17" s="1"/>
  <c r="Q212" i="17"/>
  <c r="K212" i="17" s="1"/>
  <c r="Q447" i="17"/>
  <c r="K447" i="17" s="1"/>
  <c r="Q66" i="17"/>
  <c r="K66" i="17" s="1"/>
  <c r="Q417" i="17"/>
  <c r="K417" i="17" s="1"/>
  <c r="Q120" i="17"/>
  <c r="K120" i="17" s="1"/>
  <c r="Q973" i="17"/>
  <c r="K973" i="17" s="1"/>
  <c r="Q934" i="17"/>
  <c r="K934" i="17" s="1"/>
  <c r="Q936" i="17"/>
  <c r="K936" i="17" s="1"/>
  <c r="Q1002" i="17"/>
  <c r="K1002" i="17" s="1"/>
  <c r="Q903" i="17"/>
  <c r="K903" i="17" s="1"/>
  <c r="Q816" i="17"/>
  <c r="K816" i="17" s="1"/>
  <c r="Q860" i="17"/>
  <c r="K860" i="17" s="1"/>
  <c r="Q956" i="17"/>
  <c r="K956" i="17" s="1"/>
  <c r="Q755" i="17"/>
  <c r="K755" i="17" s="1"/>
  <c r="Q965" i="17"/>
  <c r="K965" i="17" s="1"/>
  <c r="Q714" i="17"/>
  <c r="K714" i="17" s="1"/>
  <c r="Q665" i="17"/>
  <c r="K665" i="17" s="1"/>
  <c r="Q894" i="17"/>
  <c r="K894" i="17" s="1"/>
  <c r="Q768" i="17"/>
  <c r="K768" i="17" s="1"/>
  <c r="Q717" i="17"/>
  <c r="K717" i="17" s="1"/>
  <c r="Q656" i="17"/>
  <c r="K656" i="17" s="1"/>
  <c r="Q563" i="17"/>
  <c r="K563" i="17" s="1"/>
  <c r="Q589" i="17"/>
  <c r="K589" i="17" s="1"/>
  <c r="Q465" i="17"/>
  <c r="K465" i="17" s="1"/>
  <c r="Q666" i="17"/>
  <c r="K666" i="17" s="1"/>
  <c r="Q400" i="17"/>
  <c r="K400" i="17" s="1"/>
  <c r="Q581" i="17"/>
  <c r="K581" i="17" s="1"/>
  <c r="Q403" i="17"/>
  <c r="K403" i="17" s="1"/>
  <c r="Q527" i="17"/>
  <c r="K527" i="17" s="1"/>
  <c r="Q585" i="17"/>
  <c r="K585" i="17" s="1"/>
  <c r="Q355" i="17"/>
  <c r="K355" i="17" s="1"/>
  <c r="Q182" i="17"/>
  <c r="K182" i="17" s="1"/>
  <c r="Q240" i="17"/>
  <c r="K240" i="17" s="1"/>
  <c r="Q232" i="17"/>
  <c r="K232" i="17" s="1"/>
  <c r="Q341" i="17"/>
  <c r="K341" i="17" s="1"/>
  <c r="Q501" i="17"/>
  <c r="K501" i="17" s="1"/>
  <c r="Q391" i="17"/>
  <c r="K391" i="17" s="1"/>
  <c r="Q92" i="17"/>
  <c r="K92" i="17" s="1"/>
  <c r="Q336" i="17"/>
  <c r="K336" i="17" s="1"/>
  <c r="Q496" i="17"/>
  <c r="K496" i="17" s="1"/>
  <c r="Q499" i="17"/>
  <c r="K499" i="17" s="1"/>
  <c r="Q54" i="17"/>
  <c r="K54" i="17" s="1"/>
  <c r="Q68" i="17"/>
  <c r="K68" i="17" s="1"/>
  <c r="Q79" i="17"/>
  <c r="K79" i="17" s="1"/>
  <c r="Q296" i="17"/>
  <c r="K296" i="17" s="1"/>
  <c r="Q61" i="17"/>
  <c r="K61" i="17" s="1"/>
  <c r="Q167" i="17"/>
  <c r="K167" i="17" s="1"/>
  <c r="Q340" i="17"/>
  <c r="K340" i="17" s="1"/>
  <c r="Q58" i="17"/>
  <c r="K58" i="17" s="1"/>
  <c r="Q286" i="17"/>
  <c r="K286" i="17" s="1"/>
  <c r="Q219" i="17"/>
  <c r="K219" i="17" s="1"/>
  <c r="Q962" i="17"/>
  <c r="K962" i="17" s="1"/>
  <c r="Q896" i="17"/>
  <c r="K896" i="17" s="1"/>
  <c r="Q925" i="17"/>
  <c r="K925" i="17" s="1"/>
  <c r="Q975" i="17"/>
  <c r="K975" i="17" s="1"/>
  <c r="Q882" i="17"/>
  <c r="K882" i="17" s="1"/>
  <c r="Q814" i="17"/>
  <c r="K814" i="17" s="1"/>
  <c r="Q856" i="17"/>
  <c r="K856" i="17" s="1"/>
  <c r="Q946" i="17"/>
  <c r="K946" i="17" s="1"/>
  <c r="Q1033" i="17"/>
  <c r="K1033" i="17" s="1"/>
  <c r="Q937" i="17"/>
  <c r="K937" i="17" s="1"/>
  <c r="Q705" i="17"/>
  <c r="K705" i="17" s="1"/>
  <c r="Q806" i="17"/>
  <c r="K806" i="17" s="1"/>
  <c r="Q873" i="17"/>
  <c r="K873" i="17" s="1"/>
  <c r="Q741" i="17"/>
  <c r="K741" i="17" s="1"/>
  <c r="Q655" i="17"/>
  <c r="K655" i="17" s="1"/>
  <c r="Q600" i="17"/>
  <c r="K600" i="17" s="1"/>
  <c r="Q554" i="17"/>
  <c r="K554" i="17" s="1"/>
  <c r="Q575" i="17"/>
  <c r="K575" i="17" s="1"/>
  <c r="Q454" i="17"/>
  <c r="K454" i="17" s="1"/>
  <c r="Q594" i="17"/>
  <c r="K594" i="17" s="1"/>
  <c r="Q389" i="17"/>
  <c r="K389" i="17" s="1"/>
  <c r="Q579" i="17"/>
  <c r="K579" i="17" s="1"/>
  <c r="Q636" i="17"/>
  <c r="K636" i="17" s="1"/>
  <c r="Q523" i="17"/>
  <c r="K523" i="17" s="1"/>
  <c r="Q578" i="17"/>
  <c r="K578" i="17" s="1"/>
  <c r="Q327" i="17"/>
  <c r="K327" i="17" s="1"/>
  <c r="Q171" i="17"/>
  <c r="K171" i="17" s="1"/>
  <c r="Q229" i="17"/>
  <c r="K229" i="17" s="1"/>
  <c r="Q221" i="17"/>
  <c r="K221" i="17" s="1"/>
  <c r="Q312" i="17"/>
  <c r="K312" i="17" s="1"/>
  <c r="Q463" i="17"/>
  <c r="K463" i="17" s="1"/>
  <c r="Q349" i="17"/>
  <c r="K349" i="17" s="1"/>
  <c r="Q81" i="17"/>
  <c r="K81" i="17" s="1"/>
  <c r="Q311" i="17"/>
  <c r="K311" i="17" s="1"/>
  <c r="Q456" i="17"/>
  <c r="K456" i="17" s="1"/>
  <c r="Q319" i="17"/>
  <c r="K319" i="17" s="1"/>
  <c r="Q43" i="17"/>
  <c r="K43" i="17" s="1"/>
  <c r="Q57" i="17"/>
  <c r="K57" i="17" s="1"/>
  <c r="Q63" i="17"/>
  <c r="K63" i="17" s="1"/>
  <c r="Q175" i="17"/>
  <c r="K175" i="17" s="1"/>
  <c r="Q606" i="17"/>
  <c r="K606" i="17" s="1"/>
  <c r="Q153" i="17"/>
  <c r="K153" i="17" s="1"/>
  <c r="Q337" i="17"/>
  <c r="K337" i="17" s="1"/>
  <c r="Q50" i="17"/>
  <c r="K50" i="17" s="1"/>
  <c r="Q283" i="17"/>
  <c r="K283" i="17" s="1"/>
  <c r="Q181" i="17"/>
  <c r="K181" i="17" s="1"/>
  <c r="Q951" i="17"/>
  <c r="K951" i="17" s="1"/>
  <c r="Q875" i="17"/>
  <c r="K875" i="17" s="1"/>
  <c r="Q886" i="17"/>
  <c r="K886" i="17" s="1"/>
  <c r="Q932" i="17"/>
  <c r="K932" i="17" s="1"/>
  <c r="Q868" i="17"/>
  <c r="K868" i="17" s="1"/>
  <c r="Q812" i="17"/>
  <c r="K812" i="17" s="1"/>
  <c r="Q786" i="17"/>
  <c r="K786" i="17" s="1"/>
  <c r="Q933" i="17"/>
  <c r="K933" i="17" s="1"/>
  <c r="Q987" i="17"/>
  <c r="K987" i="17" s="1"/>
  <c r="Q823" i="17"/>
  <c r="K823" i="17" s="1"/>
  <c r="Q654" i="17"/>
  <c r="K654" i="17" s="1"/>
  <c r="Q751" i="17"/>
  <c r="K751" i="17" s="1"/>
  <c r="Q822" i="17"/>
  <c r="K822" i="17" s="1"/>
  <c r="Q728" i="17"/>
  <c r="K728" i="17" s="1"/>
  <c r="Q644" i="17"/>
  <c r="K644" i="17" s="1"/>
  <c r="Q598" i="17"/>
  <c r="K598" i="17" s="1"/>
  <c r="Q658" i="17"/>
  <c r="K658" i="17" s="1"/>
  <c r="Q568" i="17"/>
  <c r="K568" i="17" s="1"/>
  <c r="Q443" i="17"/>
  <c r="K443" i="17" s="1"/>
  <c r="Q580" i="17"/>
  <c r="K580" i="17" s="1"/>
  <c r="Q378" i="17"/>
  <c r="K378" i="17" s="1"/>
  <c r="Q565" i="17"/>
  <c r="K565" i="17" s="1"/>
  <c r="Q607" i="17"/>
  <c r="K607" i="17" s="1"/>
  <c r="Q502" i="17"/>
  <c r="K502" i="17" s="1"/>
  <c r="Q548" i="17"/>
  <c r="K548" i="17" s="1"/>
  <c r="Q817" i="17"/>
  <c r="K817" i="17" s="1"/>
  <c r="Q674" i="17"/>
  <c r="K674" i="17" s="1"/>
  <c r="Q218" i="17"/>
  <c r="K218" i="17" s="1"/>
  <c r="Q210" i="17"/>
  <c r="K210" i="17" s="1"/>
  <c r="Q301" i="17"/>
  <c r="K301" i="17" s="1"/>
  <c r="Q438" i="17"/>
  <c r="K438" i="17" s="1"/>
  <c r="Q347" i="17"/>
  <c r="K347" i="17" s="1"/>
  <c r="Q70" i="17"/>
  <c r="K70" i="17" s="1"/>
  <c r="Q280" i="17"/>
  <c r="K280" i="17" s="1"/>
  <c r="Q354" i="17"/>
  <c r="K354" i="17" s="1"/>
  <c r="Q268" i="17"/>
  <c r="K268" i="17" s="1"/>
  <c r="Q397" i="17"/>
  <c r="K397" i="17" s="1"/>
  <c r="Q46" i="17"/>
  <c r="K46" i="17" s="1"/>
  <c r="Q52" i="17"/>
  <c r="K52" i="17" s="1"/>
  <c r="Q113" i="17"/>
  <c r="K113" i="17" s="1"/>
  <c r="Q546" i="17"/>
  <c r="K546" i="17" s="1"/>
  <c r="Q110" i="17"/>
  <c r="K110" i="17" s="1"/>
  <c r="Q214" i="17"/>
  <c r="K214" i="17" s="1"/>
  <c r="Q96" i="17"/>
  <c r="K96" i="17" s="1"/>
  <c r="Q109" i="17"/>
  <c r="K109" i="17" s="1"/>
  <c r="Q64" i="17"/>
  <c r="K64" i="17" s="1"/>
  <c r="Q940" i="17"/>
  <c r="K940" i="17" s="1"/>
  <c r="Q854" i="17"/>
  <c r="K854" i="17" s="1"/>
  <c r="Q879" i="17"/>
  <c r="K879" i="17" s="1"/>
  <c r="Q923" i="17"/>
  <c r="K923" i="17" s="1"/>
  <c r="Q801" i="17"/>
  <c r="K801" i="17" s="1"/>
  <c r="Q980" i="17"/>
  <c r="K980" i="17" s="1"/>
  <c r="Q752" i="17"/>
  <c r="K752" i="17" s="1"/>
  <c r="Q819" i="17"/>
  <c r="K819" i="17" s="1"/>
  <c r="Q877" i="17"/>
  <c r="K877" i="17" s="1"/>
  <c r="Q791" i="17"/>
  <c r="K791" i="17" s="1"/>
  <c r="Q643" i="17"/>
  <c r="K643" i="17" s="1"/>
  <c r="Q721" i="17"/>
  <c r="K721" i="17" s="1"/>
  <c r="Q753" i="17"/>
  <c r="K753" i="17" s="1"/>
  <c r="Q708" i="17"/>
  <c r="K708" i="17" s="1"/>
  <c r="Q989" i="17"/>
  <c r="K989" i="17" s="1"/>
  <c r="Q549" i="17"/>
  <c r="K549" i="17" s="1"/>
  <c r="Q530" i="17"/>
  <c r="K530" i="17" s="1"/>
  <c r="Q561" i="17"/>
  <c r="K561" i="17" s="1"/>
  <c r="Q861" i="17"/>
  <c r="K861" i="17" s="1"/>
  <c r="Q552" i="17"/>
  <c r="K552" i="17" s="1"/>
  <c r="Q367" i="17"/>
  <c r="K367" i="17" s="1"/>
  <c r="Q466" i="17"/>
  <c r="K466" i="17" s="1"/>
  <c r="Q583" i="17"/>
  <c r="K583" i="17" s="1"/>
  <c r="Q491" i="17"/>
  <c r="K491" i="17" s="1"/>
  <c r="Q469" i="17"/>
  <c r="K469" i="17" s="1"/>
  <c r="Q738" i="17"/>
  <c r="K738" i="17" s="1"/>
  <c r="Q500" i="17"/>
  <c r="K500" i="17" s="1"/>
  <c r="Q207" i="17"/>
  <c r="K207" i="17" s="1"/>
  <c r="Q199" i="17"/>
  <c r="K199" i="17" s="1"/>
  <c r="Q290" i="17"/>
  <c r="K290" i="17" s="1"/>
  <c r="Q435" i="17"/>
  <c r="K435" i="17" s="1"/>
  <c r="Q307" i="17"/>
  <c r="K307" i="17" s="1"/>
  <c r="Q659" i="17"/>
  <c r="K659" i="17" s="1"/>
  <c r="Q189" i="17"/>
  <c r="K189" i="17" s="1"/>
  <c r="Q339" i="17"/>
  <c r="K339" i="17" s="1"/>
  <c r="Q233" i="17"/>
  <c r="K233" i="17" s="1"/>
  <c r="Q245" i="17"/>
  <c r="K245" i="17" s="1"/>
  <c r="Q592" i="17"/>
  <c r="K592" i="17" s="1"/>
  <c r="Q707" i="17"/>
  <c r="K707" i="17" s="1"/>
  <c r="Q102" i="17"/>
  <c r="K102" i="17" s="1"/>
  <c r="Q332" i="17"/>
  <c r="K332" i="17" s="1"/>
  <c r="Q91" i="17"/>
  <c r="K91" i="17" s="1"/>
  <c r="Q209" i="17"/>
  <c r="K209" i="17" s="1"/>
  <c r="Q74" i="17"/>
  <c r="K74" i="17" s="1"/>
  <c r="Q246" i="17"/>
  <c r="K246" i="17" s="1"/>
  <c r="Q88" i="17"/>
  <c r="K88" i="17" s="1"/>
  <c r="Q929" i="17"/>
  <c r="K929" i="17" s="1"/>
  <c r="Q825" i="17"/>
  <c r="K825" i="17" s="1"/>
  <c r="Q846" i="17"/>
  <c r="K846" i="17" s="1"/>
  <c r="Q914" i="17"/>
  <c r="K914" i="17" s="1"/>
  <c r="Q1010" i="17"/>
  <c r="K1010" i="17" s="1"/>
  <c r="Q959" i="17"/>
  <c r="K959" i="17" s="1"/>
  <c r="Q731" i="17"/>
  <c r="K731" i="17" s="1"/>
  <c r="Q805" i="17"/>
  <c r="K805" i="17" s="1"/>
  <c r="Q866" i="17"/>
  <c r="K866" i="17" s="1"/>
  <c r="Q729" i="17"/>
  <c r="K729" i="17" s="1"/>
  <c r="Q632" i="17"/>
  <c r="K632" i="17" s="1"/>
  <c r="Q657" i="17"/>
  <c r="K657" i="17" s="1"/>
  <c r="Q749" i="17"/>
  <c r="K749" i="17" s="1"/>
  <c r="Q663" i="17"/>
  <c r="K663" i="17" s="1"/>
  <c r="Q983" i="17"/>
  <c r="K983" i="17" s="1"/>
  <c r="Q542" i="17"/>
  <c r="K542" i="17" s="1"/>
  <c r="Q517" i="17"/>
  <c r="K517" i="17" s="1"/>
  <c r="Q547" i="17"/>
  <c r="K547" i="17" s="1"/>
  <c r="Q778" i="17"/>
  <c r="K778" i="17" s="1"/>
  <c r="Q1005" i="17"/>
  <c r="K1005" i="17" s="1"/>
  <c r="Q356" i="17"/>
  <c r="K356" i="17" s="1"/>
  <c r="Q436" i="17"/>
  <c r="K436" i="17" s="1"/>
  <c r="Q567" i="17"/>
  <c r="K567" i="17" s="1"/>
  <c r="Q482" i="17"/>
  <c r="K482" i="17" s="1"/>
  <c r="Q460" i="17"/>
  <c r="K460" i="17" s="1"/>
  <c r="Q640" i="17"/>
  <c r="K640" i="17" s="1"/>
  <c r="Q467" i="17"/>
  <c r="K467" i="17" s="1"/>
  <c r="Q196" i="17"/>
  <c r="K196" i="17" s="1"/>
  <c r="Q188" i="17"/>
  <c r="K188" i="17" s="1"/>
  <c r="Q279" i="17"/>
  <c r="K279" i="17" s="1"/>
  <c r="Q372" i="17"/>
  <c r="K372" i="17" s="1"/>
  <c r="Q305" i="17"/>
  <c r="K305" i="17" s="1"/>
  <c r="Q560" i="17"/>
  <c r="K560" i="17" s="1"/>
  <c r="Q620" i="17"/>
  <c r="K620" i="17" s="1"/>
  <c r="Q266" i="17"/>
  <c r="K266" i="17" s="1"/>
  <c r="Q158" i="17"/>
  <c r="K158" i="17" s="1"/>
  <c r="Q208" i="17"/>
  <c r="K208" i="17" s="1"/>
  <c r="Q418" i="17"/>
  <c r="K418" i="17" s="1"/>
  <c r="Q511" i="17"/>
  <c r="K511" i="17" s="1"/>
  <c r="Q379" i="17"/>
  <c r="K379" i="17" s="1"/>
  <c r="Q285" i="17"/>
  <c r="K285" i="17" s="1"/>
  <c r="Q75" i="17"/>
  <c r="K75" i="17" s="1"/>
  <c r="Q194" i="17"/>
  <c r="K194" i="17" s="1"/>
  <c r="Q42" i="17"/>
  <c r="K42" i="17" s="1"/>
  <c r="Q230" i="17"/>
  <c r="K230" i="17" s="1"/>
  <c r="Q1032" i="17"/>
  <c r="K1032" i="17" s="1"/>
  <c r="Q891" i="17"/>
  <c r="K891" i="17" s="1"/>
  <c r="Q765" i="17"/>
  <c r="K765" i="17" s="1"/>
  <c r="Q798" i="17"/>
  <c r="K798" i="17" s="1"/>
  <c r="Q953" i="17"/>
  <c r="K953" i="17" s="1"/>
  <c r="Q767" i="17"/>
  <c r="K767" i="17" s="1"/>
  <c r="Q687" i="17"/>
  <c r="K687" i="17" s="1"/>
  <c r="Q712" i="17"/>
  <c r="K712" i="17" s="1"/>
  <c r="Q780" i="17"/>
  <c r="K780" i="17" s="1"/>
  <c r="Q793" i="17"/>
  <c r="K793" i="17" s="1"/>
  <c r="Q588" i="17"/>
  <c r="K588" i="17" s="1"/>
  <c r="Q613" i="17"/>
  <c r="K613" i="17" s="1"/>
  <c r="Q638" i="17"/>
  <c r="K638" i="17" s="1"/>
  <c r="Q619" i="17"/>
  <c r="K619" i="17" s="1"/>
  <c r="Q699" i="17"/>
  <c r="K699" i="17" s="1"/>
  <c r="Q492" i="17"/>
  <c r="K492" i="17" s="1"/>
  <c r="Q473" i="17"/>
  <c r="K473" i="17" s="1"/>
  <c r="Q727" i="17"/>
  <c r="K727" i="17" s="1"/>
  <c r="Q615" i="17"/>
  <c r="K615" i="17" s="1"/>
  <c r="Q571" i="17"/>
  <c r="K571" i="17" s="1"/>
  <c r="Q1007" i="17"/>
  <c r="K1007" i="17" s="1"/>
  <c r="Q392" i="17"/>
  <c r="K392" i="17" s="1"/>
  <c r="Q455" i="17"/>
  <c r="K455" i="17" s="1"/>
  <c r="Q406" i="17"/>
  <c r="K406" i="17" s="1"/>
  <c r="Q838" i="17"/>
  <c r="K838" i="17" s="1"/>
  <c r="Q402" i="17"/>
  <c r="K402" i="17" s="1"/>
  <c r="Q360" i="17"/>
  <c r="K360" i="17" s="1"/>
  <c r="Q338" i="17"/>
  <c r="K338" i="17" s="1"/>
  <c r="Q412" i="17"/>
  <c r="K412" i="17" s="1"/>
  <c r="Q519" i="17"/>
  <c r="K519" i="17" s="1"/>
  <c r="Q223" i="17"/>
  <c r="K223" i="17" s="1"/>
  <c r="Q177" i="17"/>
  <c r="K177" i="17" s="1"/>
  <c r="Q213" i="17"/>
  <c r="K213" i="17" s="1"/>
  <c r="Q282" i="17"/>
  <c r="K282" i="17" s="1"/>
  <c r="Q151" i="17"/>
  <c r="K151" i="17" s="1"/>
  <c r="Q108" i="17"/>
  <c r="K108" i="17" s="1"/>
  <c r="Q850" i="17"/>
  <c r="K850" i="17" s="1"/>
  <c r="Q60" i="17"/>
  <c r="K60" i="17" s="1"/>
  <c r="Q308" i="17"/>
  <c r="K308" i="17" s="1"/>
  <c r="Q310" i="17"/>
  <c r="K310" i="17" s="1"/>
  <c r="Q85" i="17"/>
  <c r="K85" i="17" s="1"/>
  <c r="Q121" i="17"/>
  <c r="K121" i="17" s="1"/>
  <c r="Q271" i="17"/>
  <c r="K271" i="17" s="1"/>
  <c r="Q161" i="17"/>
  <c r="K161" i="17" s="1"/>
  <c r="Q148" i="17"/>
  <c r="K148" i="17" s="1"/>
  <c r="Q331" i="17"/>
  <c r="K331" i="17" s="1"/>
  <c r="Q421" i="17"/>
  <c r="K421" i="17" s="1"/>
  <c r="Q982" i="17"/>
  <c r="K982" i="17" s="1"/>
  <c r="Q293" i="17"/>
  <c r="K293" i="17" s="1"/>
  <c r="Q1001" i="17"/>
  <c r="K1001" i="17" s="1"/>
  <c r="Q80" i="17"/>
  <c r="K80" i="17" s="1"/>
  <c r="Q179" i="17"/>
  <c r="K179" i="17" s="1"/>
  <c r="Q47" i="17"/>
  <c r="K47" i="17" s="1"/>
  <c r="Q299" i="17"/>
  <c r="K299" i="17" s="1"/>
  <c r="Q143" i="17"/>
  <c r="K143" i="17" s="1"/>
  <c r="Q383" i="17"/>
  <c r="K383" i="17" s="1"/>
  <c r="Q313" i="17"/>
  <c r="K313" i="17" s="1"/>
  <c r="Q423" i="17"/>
  <c r="K423" i="17" s="1"/>
  <c r="Q690" i="17"/>
  <c r="K690" i="17" s="1"/>
  <c r="Q543" i="17"/>
  <c r="K543" i="17" s="1"/>
  <c r="Q521" i="17"/>
  <c r="K521" i="17" s="1"/>
  <c r="Q497" i="17"/>
  <c r="K497" i="17" s="1"/>
  <c r="Q573" i="17"/>
  <c r="K573" i="17" s="1"/>
  <c r="Q462" i="17"/>
  <c r="K462" i="17" s="1"/>
  <c r="Q779" i="17"/>
  <c r="K779" i="17" s="1"/>
  <c r="Q743" i="17"/>
  <c r="K743" i="17" s="1"/>
  <c r="Q943" i="17"/>
  <c r="K943" i="17" s="1"/>
  <c r="Q958" i="17"/>
  <c r="K958" i="17" s="1"/>
  <c r="Q930" i="17"/>
  <c r="K930" i="17" s="1"/>
  <c r="Q863" i="17"/>
  <c r="K863" i="17" s="1"/>
  <c r="Q916" i="17"/>
  <c r="K916" i="17" s="1"/>
  <c r="Q116" i="17"/>
  <c r="K116" i="17" s="1"/>
  <c r="Q351" i="17"/>
  <c r="K351" i="17" s="1"/>
  <c r="Q303" i="17"/>
  <c r="K303" i="17" s="1"/>
  <c r="Q880" i="17"/>
  <c r="K880" i="17" s="1"/>
  <c r="Q919" i="17"/>
  <c r="K919" i="17" s="1"/>
  <c r="Q545" i="17"/>
  <c r="K545" i="17" s="1"/>
  <c r="Q48" i="17"/>
  <c r="K48" i="17" s="1"/>
  <c r="Q257" i="17"/>
  <c r="K257" i="17" s="1"/>
  <c r="Q55" i="17"/>
  <c r="K55" i="17" s="1"/>
  <c r="Q452" i="17"/>
  <c r="K452" i="17" s="1"/>
  <c r="Q197" i="17"/>
  <c r="K197" i="17" s="1"/>
  <c r="Q562" i="17"/>
  <c r="K562" i="17" s="1"/>
  <c r="Q672" i="17"/>
  <c r="K672" i="17" s="1"/>
  <c r="Q471" i="17"/>
  <c r="K471" i="17" s="1"/>
  <c r="Q524" i="17"/>
  <c r="K524" i="17" s="1"/>
  <c r="Q608" i="17"/>
  <c r="K608" i="17" s="1"/>
  <c r="Q572" i="17"/>
  <c r="K572" i="17" s="1"/>
  <c r="Q595" i="17"/>
  <c r="K595" i="17" s="1"/>
  <c r="Q587" i="17"/>
  <c r="K587" i="17" s="1"/>
  <c r="Q484" i="17"/>
  <c r="K484" i="17" s="1"/>
  <c r="Q826" i="17"/>
  <c r="K826" i="17" s="1"/>
  <c r="Q745" i="17"/>
  <c r="K745" i="17" s="1"/>
  <c r="Q853" i="17"/>
  <c r="K853" i="17" s="1"/>
  <c r="Q978" i="17"/>
  <c r="K978" i="17" s="1"/>
  <c r="Q781" i="17"/>
  <c r="K781" i="17" s="1"/>
  <c r="Q898" i="17"/>
  <c r="K898" i="17" s="1"/>
  <c r="Q921" i="17"/>
  <c r="K921" i="17" s="1"/>
  <c r="D14" i="15"/>
  <c r="O39" i="14"/>
  <c r="Q409" i="17"/>
  <c r="K409" i="17" s="1"/>
  <c r="Q627" i="17"/>
  <c r="K627" i="17" s="1"/>
  <c r="Q239" i="17"/>
  <c r="K239" i="17" s="1"/>
  <c r="Q649" i="17"/>
  <c r="K649" i="17" s="1"/>
  <c r="Q967" i="17"/>
  <c r="K967" i="17" s="1"/>
  <c r="Q56" i="17"/>
  <c r="K56" i="17" s="1"/>
  <c r="Q300" i="17"/>
  <c r="K300" i="17" s="1"/>
  <c r="Q71" i="17"/>
  <c r="K71" i="17" s="1"/>
  <c r="Q489" i="17"/>
  <c r="K489" i="17" s="1"/>
  <c r="Q224" i="17"/>
  <c r="K224" i="17" s="1"/>
  <c r="Q661" i="17"/>
  <c r="K661" i="17" s="1"/>
  <c r="Q788" i="17"/>
  <c r="K788" i="17" s="1"/>
  <c r="Q490" i="17"/>
  <c r="K490" i="17" s="1"/>
  <c r="Q750" i="17"/>
  <c r="K750" i="17" s="1"/>
  <c r="Q453" i="17"/>
  <c r="K453" i="17" s="1"/>
  <c r="Q614" i="17"/>
  <c r="K614" i="17" s="1"/>
  <c r="Q634" i="17"/>
  <c r="K634" i="17" s="1"/>
  <c r="Q611" i="17"/>
  <c r="K611" i="17" s="1"/>
  <c r="Q495" i="17"/>
  <c r="K495" i="17" s="1"/>
  <c r="Q878" i="17"/>
  <c r="K878" i="17" s="1"/>
  <c r="Q766" i="17"/>
  <c r="K766" i="17" s="1"/>
  <c r="Q881" i="17"/>
  <c r="K881" i="17" s="1"/>
  <c r="Q701" i="17"/>
  <c r="K701" i="17" s="1"/>
  <c r="Q831" i="17"/>
  <c r="K831" i="17" s="1"/>
  <c r="Q841" i="17"/>
  <c r="K841" i="17" s="1"/>
  <c r="Q926" i="17"/>
  <c r="K926" i="17" s="1"/>
  <c r="Q938" i="17"/>
  <c r="K938" i="17" s="1"/>
  <c r="Q449" i="17"/>
  <c r="K449" i="17" s="1"/>
  <c r="Q431" i="17"/>
  <c r="K431" i="17" s="1"/>
  <c r="Q763" i="17"/>
  <c r="K763" i="17" s="1"/>
  <c r="Q72" i="17"/>
  <c r="K72" i="17" s="1"/>
  <c r="Q132" i="17"/>
  <c r="K132" i="17" s="1"/>
  <c r="Q87" i="17"/>
  <c r="K87" i="17" s="1"/>
  <c r="Q442" i="17"/>
  <c r="K442" i="17" s="1"/>
  <c r="Q231" i="17"/>
  <c r="K231" i="17" s="1"/>
  <c r="Q904" i="17"/>
  <c r="K904" i="17" s="1"/>
  <c r="Q141" i="17"/>
  <c r="K141" i="17" s="1"/>
  <c r="Q558" i="17"/>
  <c r="K558" i="17" s="1"/>
  <c r="Q185" i="17"/>
  <c r="K185" i="17" s="1"/>
  <c r="Q472" i="17"/>
  <c r="K472" i="17" s="1"/>
  <c r="Q700" i="17"/>
  <c r="K700" i="17" s="1"/>
  <c r="Q692" i="17"/>
  <c r="K692" i="17" s="1"/>
  <c r="Q629" i="17"/>
  <c r="K629" i="17" s="1"/>
  <c r="Q506" i="17"/>
  <c r="K506" i="17" s="1"/>
  <c r="Q902" i="17"/>
  <c r="K902" i="17" s="1"/>
  <c r="Q775" i="17"/>
  <c r="K775" i="17" s="1"/>
  <c r="Q892" i="17"/>
  <c r="K892" i="17" s="1"/>
  <c r="Q723" i="17"/>
  <c r="K723" i="17" s="1"/>
  <c r="Q928" i="17"/>
  <c r="K928" i="17" s="1"/>
  <c r="Q858" i="17"/>
  <c r="K858" i="17" s="1"/>
  <c r="Q969" i="17"/>
  <c r="K969" i="17" s="1"/>
  <c r="Q398" i="17"/>
  <c r="K398" i="17" s="1"/>
  <c r="Q178" i="17"/>
  <c r="K178" i="17" s="1"/>
  <c r="Q335" i="17"/>
  <c r="K335" i="17" s="1"/>
  <c r="Q909" i="17"/>
  <c r="K909" i="17" s="1"/>
  <c r="Q107" i="17"/>
  <c r="K107" i="17" s="1"/>
  <c r="Q205" i="17"/>
  <c r="K205" i="17" s="1"/>
  <c r="Q261" i="17"/>
  <c r="K261" i="17" s="1"/>
  <c r="Q363" i="17"/>
  <c r="K363" i="17" s="1"/>
  <c r="Q350" i="17"/>
  <c r="K350" i="17" s="1"/>
  <c r="Q440" i="17"/>
  <c r="K440" i="17" s="1"/>
  <c r="Q278" i="17"/>
  <c r="K278" i="17" s="1"/>
  <c r="Q216" i="17"/>
  <c r="K216" i="17" s="1"/>
  <c r="Q93" i="17"/>
  <c r="K93" i="17" s="1"/>
  <c r="Q291" i="17"/>
  <c r="K291" i="17" s="1"/>
  <c r="Q304" i="17"/>
  <c r="K304" i="17" s="1"/>
  <c r="Q228" i="17"/>
  <c r="K228" i="17" s="1"/>
  <c r="Q162" i="17"/>
  <c r="K162" i="17" s="1"/>
  <c r="Q642" i="17"/>
  <c r="K642" i="17" s="1"/>
  <c r="Q330" i="17"/>
  <c r="K330" i="17" s="1"/>
  <c r="Q474" i="17"/>
  <c r="K474" i="17" s="1"/>
  <c r="Q832" i="17"/>
  <c r="K832" i="17" s="1"/>
  <c r="Q947" i="17"/>
  <c r="K947" i="17" s="1"/>
  <c r="Q744" i="17"/>
  <c r="K744" i="17" s="1"/>
  <c r="Q415" i="17"/>
  <c r="K415" i="17" s="1"/>
  <c r="Q1000" i="17"/>
  <c r="K1000" i="17" s="1"/>
  <c r="Q794" i="17"/>
  <c r="K794" i="17" s="1"/>
  <c r="Q758" i="17"/>
  <c r="K758" i="17" s="1"/>
  <c r="Q747" i="17"/>
  <c r="K747" i="17" s="1"/>
  <c r="Q757" i="17"/>
  <c r="K757" i="17" s="1"/>
  <c r="Q865" i="17"/>
  <c r="K865" i="17" s="1"/>
  <c r="Q974" i="17"/>
  <c r="K974" i="17" s="1"/>
  <c r="Q187" i="17"/>
  <c r="K187" i="17" s="1"/>
  <c r="Q1034" i="17"/>
  <c r="K1034" i="17" s="1"/>
  <c r="Q320" i="17"/>
  <c r="K320" i="17" s="1"/>
  <c r="Q883" i="17"/>
  <c r="K883" i="17" s="1"/>
  <c r="Q424" i="17"/>
  <c r="K424" i="17" s="1"/>
  <c r="Q100" i="17"/>
  <c r="K100" i="17" s="1"/>
  <c r="Q375" i="17"/>
  <c r="K375" i="17" s="1"/>
  <c r="Q95" i="17"/>
  <c r="K95" i="17" s="1"/>
  <c r="Q318" i="17"/>
  <c r="K318" i="17" s="1"/>
  <c r="Q329" i="17"/>
  <c r="K329" i="17" s="1"/>
  <c r="Q234" i="17"/>
  <c r="K234" i="17" s="1"/>
  <c r="Q236" i="17"/>
  <c r="K236" i="17" s="1"/>
  <c r="Q942" i="17"/>
  <c r="K942" i="17" s="1"/>
  <c r="Q343" i="17"/>
  <c r="K343" i="17" s="1"/>
  <c r="Q628" i="17"/>
  <c r="K628" i="17" s="1"/>
  <c r="Q384" i="17"/>
  <c r="K384" i="17" s="1"/>
  <c r="Q323" i="17"/>
  <c r="K323" i="17" s="1"/>
  <c r="Q754" i="17"/>
  <c r="K754" i="17" s="1"/>
  <c r="Q426" i="17"/>
  <c r="K426" i="17" s="1"/>
  <c r="Q686" i="17"/>
  <c r="K686" i="17" s="1"/>
  <c r="Q876" i="17"/>
  <c r="K876" i="17" s="1"/>
  <c r="Q849" i="17"/>
  <c r="K849" i="17" s="1"/>
  <c r="Q773" i="17"/>
  <c r="K773" i="17" s="1"/>
  <c r="Q762" i="17"/>
  <c r="K762" i="17" s="1"/>
  <c r="Q952" i="17"/>
  <c r="K952" i="17" s="1"/>
  <c r="Q979" i="17"/>
  <c r="K979" i="17" s="1"/>
  <c r="Q864" i="17"/>
  <c r="K864" i="17" s="1"/>
  <c r="Q294" i="17"/>
  <c r="K294" i="17" s="1"/>
  <c r="Q528" i="17"/>
  <c r="K528" i="17" s="1"/>
  <c r="Q694" i="17"/>
  <c r="K694" i="17" s="1"/>
  <c r="Q166" i="17"/>
  <c r="K166" i="17" s="1"/>
  <c r="Q667" i="17"/>
  <c r="K667" i="17" s="1"/>
  <c r="Q458" i="17"/>
  <c r="K458" i="17" s="1"/>
  <c r="Q361" i="17"/>
  <c r="K361" i="17" s="1"/>
  <c r="Q564" i="17"/>
  <c r="K564" i="17" s="1"/>
  <c r="Q274" i="17"/>
  <c r="K274" i="17" s="1"/>
  <c r="Q238" i="17"/>
  <c r="K238" i="17" s="1"/>
  <c r="Q724" i="17"/>
  <c r="K724" i="17" s="1"/>
  <c r="Q369" i="17"/>
  <c r="K369" i="17" s="1"/>
  <c r="Q669" i="17"/>
  <c r="K669" i="17" s="1"/>
  <c r="Q395" i="17"/>
  <c r="K395" i="17" s="1"/>
  <c r="Q334" i="17"/>
  <c r="K334" i="17" s="1"/>
  <c r="Q645" i="17"/>
  <c r="K645" i="17" s="1"/>
  <c r="Q437" i="17"/>
  <c r="K437" i="17" s="1"/>
  <c r="Q691" i="17"/>
  <c r="K691" i="17" s="1"/>
  <c r="Q889" i="17"/>
  <c r="K889" i="17" s="1"/>
  <c r="Q890" i="17"/>
  <c r="K890" i="17" s="1"/>
  <c r="Q901" i="17"/>
  <c r="K901" i="17" s="1"/>
  <c r="Q792" i="17"/>
  <c r="K792" i="17" s="1"/>
  <c r="Q977" i="17"/>
  <c r="K977" i="17" s="1"/>
  <c r="Q1027" i="17"/>
  <c r="K1027" i="17" s="1"/>
  <c r="Q119" i="17"/>
  <c r="K119" i="17" s="1"/>
  <c r="Q610" i="17"/>
  <c r="K610" i="17" s="1"/>
  <c r="Q176" i="17"/>
  <c r="K176" i="17" s="1"/>
  <c r="Q522" i="17"/>
  <c r="K522" i="17" s="1"/>
  <c r="Q419" i="17"/>
  <c r="K419" i="17" s="1"/>
  <c r="Q450" i="17"/>
  <c r="K450" i="17" s="1"/>
  <c r="Q129" i="17"/>
  <c r="K129" i="17" s="1"/>
  <c r="Q123" i="17"/>
  <c r="K123" i="17" s="1"/>
  <c r="Q494" i="17"/>
  <c r="K494" i="17" s="1"/>
  <c r="Q385" i="17"/>
  <c r="K385" i="17" s="1"/>
  <c r="Q86" i="17"/>
  <c r="K86" i="17" s="1"/>
  <c r="Q288" i="17"/>
  <c r="K288" i="17" s="1"/>
  <c r="Q242" i="17"/>
  <c r="K242" i="17" s="1"/>
  <c r="Q785" i="17"/>
  <c r="K785" i="17" s="1"/>
  <c r="Q386" i="17"/>
  <c r="K386" i="17" s="1"/>
  <c r="Q716" i="17"/>
  <c r="K716" i="17" s="1"/>
  <c r="Q493" i="17"/>
  <c r="K493" i="17" s="1"/>
  <c r="Q345" i="17"/>
  <c r="K345" i="17" s="1"/>
  <c r="Q664" i="17"/>
  <c r="K664" i="17" s="1"/>
  <c r="Q448" i="17"/>
  <c r="K448" i="17" s="1"/>
  <c r="Q696" i="17"/>
  <c r="K696" i="17" s="1"/>
  <c r="Q624" i="17"/>
  <c r="K624" i="17" s="1"/>
  <c r="Q718" i="17"/>
  <c r="K718" i="17" s="1"/>
  <c r="Q910" i="17"/>
  <c r="K910" i="17" s="1"/>
  <c r="Q818" i="17"/>
  <c r="K818" i="17" s="1"/>
  <c r="Q986" i="17"/>
  <c r="K986" i="17" s="1"/>
  <c r="Q1037" i="17"/>
  <c r="K1037" i="17" s="1"/>
  <c r="Q168" i="17"/>
  <c r="K168" i="17" s="1"/>
  <c r="Q830" i="17"/>
  <c r="K830" i="17" s="1"/>
  <c r="Q771" i="17"/>
  <c r="K771" i="17" s="1"/>
  <c r="Q505" i="17"/>
  <c r="K505" i="17" s="1"/>
  <c r="Q534" i="17"/>
  <c r="K534" i="17" s="1"/>
  <c r="Q660" i="17"/>
  <c r="K660" i="17" s="1"/>
  <c r="C37" i="2"/>
  <c r="F55" i="13"/>
  <c r="Q145" i="17"/>
  <c r="K145" i="17" s="1"/>
  <c r="Q352" i="17"/>
  <c r="K352" i="17" s="1"/>
  <c r="Q648" i="17"/>
  <c r="K648" i="17" s="1"/>
  <c r="Q433" i="17"/>
  <c r="K433" i="17" s="1"/>
  <c r="Q99" i="17"/>
  <c r="K99" i="17" s="1"/>
  <c r="Q321" i="17"/>
  <c r="K321" i="17" s="1"/>
  <c r="Q733" i="17"/>
  <c r="K733" i="17" s="1"/>
  <c r="Q325" i="17"/>
  <c r="K325" i="17" s="1"/>
  <c r="Q488" i="17"/>
  <c r="K488" i="17" s="1"/>
  <c r="Q722" i="17"/>
  <c r="K722" i="17" s="1"/>
  <c r="Q531" i="17"/>
  <c r="K531" i="17" s="1"/>
  <c r="Q944" i="17"/>
  <c r="K944" i="17" s="1"/>
  <c r="Q675" i="17"/>
  <c r="K675" i="17" s="1"/>
  <c r="Q459" i="17"/>
  <c r="K459" i="17" s="1"/>
  <c r="Q971" i="17"/>
  <c r="K971" i="17" s="1"/>
  <c r="Q635" i="17"/>
  <c r="K635" i="17" s="1"/>
  <c r="Q847" i="17"/>
  <c r="K847" i="17" s="1"/>
  <c r="Q917" i="17"/>
  <c r="K917" i="17" s="1"/>
  <c r="Q888" i="17"/>
  <c r="K888" i="17" s="1"/>
  <c r="Q1020" i="17"/>
  <c r="K1020" i="17" s="1"/>
  <c r="Q907" i="17"/>
  <c r="K907" i="17" s="1"/>
  <c r="Q380" i="17"/>
  <c r="K380" i="17" s="1"/>
  <c r="Q810" i="17"/>
  <c r="K810" i="17" s="1"/>
  <c r="Q621" i="17"/>
  <c r="K621" i="17" s="1"/>
  <c r="Q191" i="17"/>
  <c r="K191" i="17" s="1"/>
  <c r="Q931" i="17"/>
  <c r="K931" i="17" s="1"/>
  <c r="C11" i="12"/>
  <c r="B44" i="2"/>
  <c r="Q198" i="17"/>
  <c r="K198" i="17" s="1"/>
  <c r="Q405" i="17"/>
  <c r="K405" i="17" s="1"/>
  <c r="Q69" i="17"/>
  <c r="K69" i="17" s="1"/>
  <c r="Q885" i="17"/>
  <c r="K885" i="17" s="1"/>
  <c r="Q115" i="17"/>
  <c r="K115" i="17" s="1"/>
  <c r="Q541" i="17"/>
  <c r="K541" i="17" s="1"/>
  <c r="Q111" i="17"/>
  <c r="K111" i="17" s="1"/>
  <c r="Q333" i="17"/>
  <c r="K333" i="17" s="1"/>
  <c r="Q314" i="17"/>
  <c r="K314" i="17" s="1"/>
  <c r="Q422" i="17"/>
  <c r="K422" i="17" s="1"/>
  <c r="Q551" i="17"/>
  <c r="K551" i="17" s="1"/>
  <c r="Q950" i="17"/>
  <c r="K950" i="17" s="1"/>
  <c r="Q677" i="17"/>
  <c r="K677" i="17" s="1"/>
  <c r="Q470" i="17"/>
  <c r="K470" i="17" s="1"/>
  <c r="Q630" i="17"/>
  <c r="K630" i="17" s="1"/>
  <c r="Q646" i="17"/>
  <c r="K646" i="17" s="1"/>
  <c r="Q905" i="17"/>
  <c r="K905" i="17" s="1"/>
  <c r="Q985" i="17"/>
  <c r="K985" i="17" s="1"/>
  <c r="Q920" i="17"/>
  <c r="K920" i="17" s="1"/>
  <c r="Q776" i="17"/>
  <c r="K776" i="17" s="1"/>
  <c r="Q918" i="17"/>
  <c r="K918" i="17" s="1"/>
  <c r="B31" i="17" l="1"/>
  <c r="B29" i="17"/>
  <c r="B30" i="17"/>
  <c r="G40" i="14"/>
  <c r="F40" i="14"/>
  <c r="E40" i="14"/>
  <c r="D40" i="14"/>
  <c r="C40" i="14"/>
  <c r="C41" i="14" s="1"/>
  <c r="I40" i="14"/>
  <c r="N40" i="14"/>
  <c r="M40" i="14"/>
  <c r="O40" i="14"/>
  <c r="L40" i="14"/>
  <c r="J40" i="14"/>
  <c r="H40" i="14"/>
  <c r="K40" i="14"/>
  <c r="H14" i="15"/>
  <c r="C51" i="14" l="1"/>
  <c r="C47" i="14"/>
  <c r="C42" i="14"/>
  <c r="D41" i="14"/>
  <c r="C52" i="14" l="1"/>
  <c r="C53" i="14" s="1"/>
  <c r="D47" i="14"/>
  <c r="D51" i="14"/>
  <c r="D42" i="14"/>
  <c r="C49" i="14"/>
  <c r="E41" i="14"/>
  <c r="F41" i="14" s="1"/>
  <c r="F47" i="14" l="1"/>
  <c r="F51" i="14"/>
  <c r="F42" i="14"/>
  <c r="G41" i="14"/>
  <c r="H41" i="14"/>
  <c r="D52" i="14"/>
  <c r="D53" i="14" s="1"/>
  <c r="E51" i="14"/>
  <c r="E47" i="14"/>
  <c r="E42" i="14"/>
  <c r="D48" i="14"/>
  <c r="D49" i="14" s="1"/>
  <c r="E48" i="14" s="1"/>
  <c r="E52" i="14" l="1"/>
  <c r="E53" i="14" s="1"/>
  <c r="G51" i="14"/>
  <c r="H52" i="14" s="1"/>
  <c r="G47" i="14"/>
  <c r="G42" i="14"/>
  <c r="I41" i="14"/>
  <c r="J41" i="14" s="1"/>
  <c r="F52" i="14"/>
  <c r="F53" i="14" s="1"/>
  <c r="H47" i="14"/>
  <c r="H51" i="14"/>
  <c r="H42" i="14"/>
  <c r="E49" i="14"/>
  <c r="J47" i="14" l="1"/>
  <c r="J51" i="14"/>
  <c r="J42" i="14"/>
  <c r="K41" i="14"/>
  <c r="G52" i="14"/>
  <c r="G53" i="14" s="1"/>
  <c r="I47" i="14"/>
  <c r="I51" i="14"/>
  <c r="I52" i="14" s="1"/>
  <c r="I53" i="14" s="1"/>
  <c r="I42" i="14"/>
  <c r="F48" i="14"/>
  <c r="F49" i="14" s="1"/>
  <c r="J52" i="14" l="1"/>
  <c r="J53" i="14" s="1"/>
  <c r="G48" i="14"/>
  <c r="G49" i="14" s="1"/>
  <c r="H53" i="14"/>
  <c r="K51" i="14"/>
  <c r="K52" i="14" s="1"/>
  <c r="K53" i="14" s="1"/>
  <c r="K47" i="14"/>
  <c r="K42" i="14"/>
  <c r="L41" i="14"/>
  <c r="L51" i="14" l="1"/>
  <c r="L52" i="14" s="1"/>
  <c r="L53" i="14" s="1"/>
  <c r="L47" i="14"/>
  <c r="L42" i="14"/>
  <c r="M41" i="14"/>
  <c r="H48" i="14"/>
  <c r="H49" i="14" s="1"/>
  <c r="M51" i="14" l="1"/>
  <c r="M52" i="14" s="1"/>
  <c r="M53" i="14" s="1"/>
  <c r="M47" i="14"/>
  <c r="M42" i="14"/>
  <c r="N41" i="14"/>
  <c r="I48" i="14"/>
  <c r="I49" i="14" s="1"/>
  <c r="J48" i="14" l="1"/>
  <c r="J49" i="14" s="1"/>
  <c r="N51" i="14"/>
  <c r="N52" i="14" s="1"/>
  <c r="N53" i="14" s="1"/>
  <c r="N47" i="14"/>
  <c r="N42" i="14"/>
  <c r="O41" i="14"/>
  <c r="D15" i="15" l="1"/>
  <c r="O51" i="14"/>
  <c r="O47" i="14"/>
  <c r="O42" i="14"/>
  <c r="C15" i="15"/>
  <c r="H15" i="15" s="1"/>
  <c r="K48" i="14"/>
  <c r="K49" i="14" s="1"/>
  <c r="D16" i="15" l="1"/>
  <c r="C16" i="15"/>
  <c r="H16" i="15" s="1"/>
  <c r="D18" i="15"/>
  <c r="C18" i="15"/>
  <c r="L48" i="14"/>
  <c r="L49" i="14" s="1"/>
  <c r="M48" i="14" s="1"/>
  <c r="M49" i="14" s="1"/>
  <c r="N48" i="14" s="1"/>
  <c r="N49" i="14" s="1"/>
  <c r="D17" i="15"/>
  <c r="D29" i="15" s="1"/>
  <c r="E32" i="15" s="1"/>
  <c r="C17" i="15"/>
  <c r="O52" i="14"/>
  <c r="P53" i="14" l="1"/>
  <c r="O53" i="14"/>
  <c r="C19" i="15"/>
  <c r="O48" i="14"/>
  <c r="O49" i="14" s="1"/>
  <c r="H17" i="15"/>
  <c r="C29" i="15"/>
  <c r="H18" i="15"/>
  <c r="B18" i="2" l="1"/>
  <c r="C18" i="2" s="1"/>
  <c r="B43" i="2"/>
  <c r="D32" i="15"/>
  <c r="C30" i="15" s="1"/>
  <c r="B26" i="2" s="1"/>
  <c r="C31" i="15"/>
  <c r="B25" i="2"/>
  <c r="D31" i="15" l="1"/>
  <c r="B19" i="2"/>
  <c r="C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Model</author>
  </authors>
  <commentList>
    <comment ref="H4" authorId="0" shapeId="0" xr:uid="{00000000-0006-0000-0200-000001000000}">
      <text>
        <r>
          <rPr>
            <sz val="11"/>
            <color theme="1"/>
            <rFont val="Calibri"/>
            <family val="2"/>
            <charset val="1"/>
          </rPr>
          <t>1 = all equipment bought (CAPEX (Buy)); 2 = routes chosen per line on CAPEX (Rent): leases, rentals and sponsor deals. Feeds Funding, PnL, Scenarios, Annual, Dashboard.</t>
        </r>
      </text>
    </comment>
  </commentList>
</comments>
</file>

<file path=xl/sharedStrings.xml><?xml version="1.0" encoding="utf-8"?>
<sst xmlns="http://schemas.openxmlformats.org/spreadsheetml/2006/main" count="3782" uniqueCount="2433">
  <si>
    <t>Menu, Pricing &amp; Food Cost (Kasavana–Smith menu engineering)</t>
  </si>
  <si>
    <t>ILLUSTRATIVE placeholder menu – replace prices with your pricing decision and food costs with recipe costing from supplier quotes. Prices are NET of 10% PBJT.</t>
  </si>
  <si>
    <t>Note Jonas</t>
  </si>
  <si>
    <t>This sheets gives an idea of pricing of potential dishes and takes as source the comparisons  provided by expanding Tiago's datasets (italian restaurants in Jakarta)</t>
  </si>
  <si>
    <t xml:space="preserve">It will be more relevant with team 1 inputs on potential menu, numbers such as COGS, popularity will be much better estimated </t>
  </si>
  <si>
    <t>The CORSA pricing is here to give an idea, but not definitive at all</t>
  </si>
  <si>
    <t>Category</t>
  </si>
  <si>
    <t>Item</t>
  </si>
  <si>
    <t>Price net (IDR)</t>
  </si>
  <si>
    <t>Food cost (IDR)</t>
  </si>
  <si>
    <t>Cost %</t>
  </si>
  <si>
    <t>Contribution (IDR)</t>
  </si>
  <si>
    <t>Units per 100 guests</t>
  </si>
  <si>
    <t>Revenue / 100 guests</t>
  </si>
  <si>
    <t>Cost / 100 guests</t>
  </si>
  <si>
    <t>Revenue mix</t>
  </si>
  <si>
    <t>Popularity in category</t>
  </si>
  <si>
    <t>Menu-engineering class</t>
  </si>
  <si>
    <t>CM × units (helper)</t>
  </si>
  <si>
    <t>Guest price incl. PBJT</t>
  </si>
  <si>
    <t>Price benchmark (source)</t>
  </si>
  <si>
    <t>Food-cost benchmark &amp; check</t>
  </si>
  <si>
    <t>Evidence status</t>
  </si>
  <si>
    <t>Pasta</t>
  </si>
  <si>
    <t>Cacio e pepe</t>
  </si>
  <si>
    <t>S46: in-zone pasta venue medians avg ~133k (9 venues), mid-premium tier 80–165k; PBTP Blok M ~80k; S33 Pasta, Bitte! 86k, Toscana 155k</t>
  </si>
  <si>
    <t>Cost 27% vs S50 food 28–35%; S49 FSR max 30.3% → below range. Item cost itself = estimate, recipe costing pending.</t>
  </si>
  <si>
    <t>Partly sourced</t>
  </si>
  <si>
    <t>Carbonara (beef bacon, halal)</t>
  </si>
  <si>
    <t>Cost 31% vs S50 food 28–35%; S49 FSR max 30.3% → within range. Item cost itself = estimate, recipe costing pending.</t>
  </si>
  <si>
    <t>Ragù bolognese</t>
  </si>
  <si>
    <t>Cost 32% vs S50 food 28–35%; S49 FSR max 30.3% → within range. Item cost itself = estimate, recipe costing pending.</t>
  </si>
  <si>
    <t>Pesto genovese</t>
  </si>
  <si>
    <t>Cost 29% vs S50 food 28–35%; S49 FSR max 30.3% → within range. Item cost itself = estimate, recipe costing pending.</t>
  </si>
  <si>
    <t>Truffle cream</t>
  </si>
  <si>
    <t>Cost 33% vs S50 food 28–35%; S49 FSR max 30.3% → within range. Item cost itself = estimate, recipe costing pending.</t>
  </si>
  <si>
    <t>Arrabbiata (vegan)</t>
  </si>
  <si>
    <t>Cost 24% vs S50 food 28–35%; S49 FSR max 30.3% → below range. Item cost itself = estimate, recipe costing pending.</t>
  </si>
  <si>
    <t>Coffee</t>
  </si>
  <si>
    <t>Espresso</t>
  </si>
  <si>
    <t>S31: Common Grounds espresso 32k (= model price)</t>
  </si>
  <si>
    <t>Cost 19% vs S49 coffee bev. cost 15–20%; S50 beverage 15–25% → within range. Item cost itself = estimate, recipe costing pending.</t>
  </si>
  <si>
    <t>Americano (hot/iced)</t>
  </si>
  <si>
    <t>S46: latte 27–30k casual, 38–48k smart-casual/specialty, 55–60k mall; S31 Common Grounds latte 45–52k, espresso 32k</t>
  </si>
  <si>
    <t>Cost 18% vs S49 coffee bev. cost 15–20%; S50 beverage 15–25% → within range. Item cost itself = estimate, recipe costing pending.</t>
  </si>
  <si>
    <t>Latte / flat white</t>
  </si>
  <si>
    <t>Cost 24% vs S49 coffee bev. cost 15–20%; S50 beverage 15–25% → within range. Item cost itself = estimate, recipe costing pending.</t>
  </si>
  <si>
    <t>Signature iced coffee</t>
  </si>
  <si>
    <t>Filter / manual brew</t>
  </si>
  <si>
    <t>Cost 22% vs S49 coffee bev. cost 15–20%; S50 beverage 15–25% → within range. Item cost itself = estimate, recipe costing pending.</t>
  </si>
  <si>
    <t>Functional drinks</t>
  </si>
  <si>
    <t>Matcha / protein shake</t>
  </si>
  <si>
    <t>S46: non-coffee drinks in-zone avg ~44k (5 venues); S46 PBTP matcha latte 55k</t>
  </si>
  <si>
    <t>Cost 27% vs S50 beverage 15–25% → ABOVE range. Item cost itself = estimate, recipe costing pending.</t>
  </si>
  <si>
    <t>Kombucha / ginger shot</t>
  </si>
  <si>
    <t>Cost 29% vs S50 beverage 15–25% → ABOVE range. Item cost itself = estimate, recipe costing pending.</t>
  </si>
  <si>
    <t>Breakfast &amp; snacks</t>
  </si>
  <si>
    <t>Croissant / pastry</t>
  </si>
  <si>
    <t>S31: Common Grounds breakfast 65–95k; S46: dessert in-zone avg ~65k</t>
  </si>
  <si>
    <t>Cost 34% vs S50 food 28–35% → within range. Item cost itself = estimate, recipe costing pending.</t>
  </si>
  <si>
    <t>Focaccia sandwich</t>
  </si>
  <si>
    <t>Cost 32% vs S50 food 28–35% → within range. Item cost itself = estimate, recipe costing pending.</t>
  </si>
  <si>
    <t>Yogurt / oat bowl</t>
  </si>
  <si>
    <t>Cost 31% vs S50 food 28–35% → within range. Item cost itself = estimate, recipe costing pending.</t>
  </si>
  <si>
    <t>Tiramisu</t>
  </si>
  <si>
    <t>S46: dessert in-zone avg ~65k; bon! dessert 55k</t>
  </si>
  <si>
    <t>Cost 29% vs S50 food 28–35% → within range. Item cost itself = estimate, recipe costing pending.</t>
  </si>
  <si>
    <t>Add-ons</t>
  </si>
  <si>
    <t>Extra parmigiano</t>
  </si>
  <si>
    <t>No direct benchmark – priced as % uplift on mains</t>
  </si>
  <si>
    <t>Cost 33% vs S50 food 28–35% → within range. Item cost itself = estimate, recipe costing pending.</t>
  </si>
  <si>
    <t>Burrata add-on</t>
  </si>
  <si>
    <t>Cost 49% vs S50 food 28–35% → ABOVE range. Item cost itself = estimate, recipe costing pending.</t>
  </si>
  <si>
    <t>Oat milk / extra shot</t>
  </si>
  <si>
    <t>TOTAL / BLENDED</t>
  </si>
  <si>
    <t>Blended F&amp;B food &amp; beverage cost % (feeds the model)</t>
  </si>
  <si>
    <t>Implied average net spend per guest (menu mix)</t>
  </si>
  <si>
    <t>vs. revenue model blended spend →</t>
  </si>
  <si>
    <t>Revenue share</t>
  </si>
  <si>
    <t>COMPETITOR PRICE BENCHMARKS (collect 10–15 comparables; dine-in prices preferred over delivery-app prices)</t>
  </si>
  <si>
    <t>Venue</t>
  </si>
  <si>
    <t>Price (IDR)</t>
  </si>
  <si>
    <t>Channel</t>
  </si>
  <si>
    <t>Area</t>
  </si>
  <si>
    <t>Source</t>
  </si>
  <si>
    <t>Common Grounds</t>
  </si>
  <si>
    <t>Latte</t>
  </si>
  <si>
    <t>Dine-in (range 45–52k)</t>
  </si>
  <si>
    <t>Various</t>
  </si>
  <si>
    <t>S31</t>
  </si>
  <si>
    <t>Dine-in</t>
  </si>
  <si>
    <t>Tobiko truffle pasta</t>
  </si>
  <si>
    <t>Dine-in (85–110k)</t>
  </si>
  <si>
    <t>Common Grounds Citywalk</t>
  </si>
  <si>
    <t>Café latte</t>
  </si>
  <si>
    <t>Delivery app</t>
  </si>
  <si>
    <t>Sudirman</t>
  </si>
  <si>
    <t>S32</t>
  </si>
  <si>
    <t>Mac and cheese</t>
  </si>
  <si>
    <t>Pasta, Bitte!</t>
  </si>
  <si>
    <t>Smoked beef carbonara</t>
  </si>
  <si>
    <t>Kemang</t>
  </si>
  <si>
    <t>S33</t>
  </si>
  <si>
    <t>Toscana</t>
  </si>
  <si>
    <t>Spaghetti con vongole</t>
  </si>
  <si>
    <t>Caffè Milano</t>
  </si>
  <si>
    <t>Per person band</t>
  </si>
  <si>
    <t>Mid-point of 50–100k</t>
  </si>
  <si>
    <t>Grand Indonesia</t>
  </si>
  <si>
    <t>S34</t>
  </si>
  <si>
    <t>Warung Pasta</t>
  </si>
  <si>
    <t>Mid-point of 18–47k (value)</t>
  </si>
  <si>
    <t>Kasavana–Smith rule: Star = high contribution &amp; popularity ≥ 70% of fair share in its category; Plowhorse = popular/low CM; Puzzle = high CM/unpopular; Dog = both low (S39).</t>
  </si>
  <si>
    <t>SOURCES &amp; CALCULATION BASIS – Menu</t>
  </si>
  <si>
    <t>Figure / cells</t>
  </si>
  <si>
    <t>Value used (live)</t>
  </si>
  <si>
    <t>Source ID(s) → Sources sheet</t>
  </si>
  <si>
    <t>How the figure was derived from the source</t>
  </si>
  <si>
    <t>Net prices C5:C24</t>
  </si>
  <si>
    <t>S46, S31, S33, S34</t>
  </si>
  <si>
    <t>Placeholder prices positioned against competitor medians (col O). Typical pasta 98k is ~26% below the in-zone average of ~133k (S46 Price_Summary).</t>
  </si>
  <si>
    <t>Food costs D5:D24</t>
  </si>
  <si>
    <t>S49, S50</t>
  </si>
  <si>
    <t>Unit costs are estimates; their cost % is checked against category benchmarks (col P). Blended cost % (E27) feeds the model.</t>
  </si>
  <si>
    <t>Units per 100 guests G5:G24</t>
  </si>
  <si>
    <t>—</t>
  </si>
  <si>
    <t>Menu mix is an assumption; replace with POS data from the Zurich pop-up.</t>
  </si>
  <si>
    <t>Assumption – validate</t>
  </si>
  <si>
    <t>Guest price incl. PBJT (col N)</t>
  </si>
  <si>
    <t>S13</t>
  </si>
  <si>
    <t>Net price × (1 + 10% PBJT).</t>
  </si>
  <si>
    <t>Sourced</t>
  </si>
  <si>
    <t>Competitor benchmark table A38:F47</t>
  </si>
  <si>
    <t>S31–S34</t>
  </si>
  <si>
    <t>Prices as published (dine-in or delivery app, marked in col D).</t>
  </si>
  <si>
    <t>Menu-engineering classes (col L)</t>
  </si>
  <si>
    <t>S39</t>
  </si>
  <si>
    <t>Kasavana–Smith: contribution vs category average, popularity vs 70% rule.</t>
  </si>
  <si>
    <t>Model formula</t>
  </si>
  <si>
    <t>CORSA Jakarta Flagship – Financial Model v0.2</t>
  </si>
  <si>
    <t xml:space="preserve"> Preliminary – most inputs are placeholders to be validated.</t>
  </si>
  <si>
    <t xml:space="preserve">Note from Jonas </t>
  </si>
  <si>
    <t xml:space="preserve">I created this Financial model to give me a general overview of all the components to take into account. I'm using it to. However, even if most data are sourced, I'm currently working on checking all the numbers and data, and verify the accuracy of the finidngs. Many data need to be discussed with the Pillar 1 team, and I'm waiting for their inputs to adjust the model. </t>
  </si>
  <si>
    <t>Purpose</t>
  </si>
  <si>
    <t>Test whether a 120–180 m² CORSA flagship in Jakarta works commercially, what it costs, whether CHF 200k is enough and which assumptions matter most.</t>
  </si>
  <si>
    <t>How to use</t>
  </si>
  <si>
    <t>1) Pick scenario in Inputs!D4.  2) Edit blue cells only (Inputs, Rent_Data, Menu, Staffing, CAPEX unit costs, Revenue dwell times).  3) Read Dashboard, Scenarios, Sensitivity, MonteCarlo.</t>
  </si>
  <si>
    <t>Colour code</t>
  </si>
  <si>
    <t>Blue text = hard-coded input · Black = formula · Green = link to another sheet · Yellow fill = key assumption · Light-green fill = key output.</t>
  </si>
  <si>
    <t>Currency</t>
  </si>
  <si>
    <t>Model runs in IDR; CHF shown at the Inputs FX rate. Menu prices are NET of the 10% restaurant tax (PBJT), which is passed through to guests.</t>
  </si>
  <si>
    <t>Sheet map</t>
  </si>
  <si>
    <t>Dashboard → Inputs → Rent_Data → Location → Menu → Revenue → Staffing → OPEX → CAPEX → Funding → Scenarios → PnL_Monthly → Annual → Sensitivity → MonteCarlo → Sources → Research_Tracker → Methods</t>
  </si>
  <si>
    <t>Scenario logic</t>
  </si>
  <si>
    <t>Conservative = fewer guests, lower spend, higher costs/rent, longer ramp-up. Optimistic = the reverse. Scenarios sheet calculates all three in parallel (steady state); PnL_Monthly runs the active one month by month.</t>
  </si>
  <si>
    <t>Biggest early finding</t>
  </si>
  <si>
    <t>Foreign-owned PT PMA rules (IDR 2.5bn paid-up ≈ CHF 115k, IDR 10bn investment plan ≈ CHF 460k per KBLI) may matter more for the CHF 200k question than the CAPEX itself – verify with a lawyer.</t>
  </si>
  <si>
    <t>Status</t>
  </si>
  <si>
    <t>v0.2 – structure complete, numbers indicative, every input traced to a source or marked as an assumption. See Research_Tracker for what to validate before 22 Oct.</t>
  </si>
  <si>
    <t>Sources (v0.2)</t>
  </si>
  <si>
    <t>Added 8 Oct 2026: 32 new sources (S46–S77) and a source trail on every sheet – per-row columns in Inputs (I, K, L), Staffing (K–M), CAPEX (K–M), Menu (O–Q), and a 'Sources &amp; calculation basis' table at the bottom of every other sheet (MonteCarlo: top right).</t>
  </si>
  <si>
    <t>v0.6 (16 Oct 2026)</t>
  </si>
  <si>
    <t>CAPEX (Rent) completed: per-item financing route (buy / finance lease / rental / sponsor), BFI-based lease maths, provider directory, Buy-vs-Lease summary; new switch Inputs!H4 (1 = Buy, 2 = Lease) feeds Funding, PnL, Scenarios, Annual, Dashboard. Sources S83–S104.</t>
  </si>
  <si>
    <t>CORSA Jakarta Flagship – Dashboard</t>
  </si>
  <si>
    <t>Live outputs for the ACTIVE scenario (change it in Inputs!D4). All figures are preliminary estimates.</t>
  </si>
  <si>
    <t xml:space="preserve">Not from Jonas: </t>
  </si>
  <si>
    <t>This sheet will make more sense once many more data will be confirmed and scenario tested</t>
  </si>
  <si>
    <t xml:space="preserve">But the KPIs are relevant in my opinion </t>
  </si>
  <si>
    <t>Active scenario</t>
  </si>
  <si>
    <t>CAPEX mode</t>
  </si>
  <si>
    <t>Key question (brief)</t>
  </si>
  <si>
    <t>IDR</t>
  </si>
  <si>
    <t>CHF</t>
  </si>
  <si>
    <t>Total investment requirement</t>
  </si>
  <si>
    <t>Founder equity</t>
  </si>
  <si>
    <t>Funding gap (+) / surplus (−)</t>
  </si>
  <si>
    <t>Bank loan needed</t>
  </si>
  <si>
    <t>Mature monthly revenue (year-1 prices)</t>
  </si>
  <si>
    <t>Steady-state monthly EBITDA</t>
  </si>
  <si>
    <t>Break-even revenue per trading day</t>
  </si>
  <si>
    <t>Year-1 revenue (with ramp-up)</t>
  </si>
  <si>
    <t>Year-1 EBITDA</t>
  </si>
  <si>
    <t>Year-3 EBITDA</t>
  </si>
  <si>
    <t>Lowest cash balance over 60 months</t>
  </si>
  <si>
    <t>NPV of 5-year project cash flows</t>
  </si>
  <si>
    <t>Break-even guests per day</t>
  </si>
  <si>
    <t>Mature guests per day (model)</t>
  </si>
  <si>
    <t>EBITDA margin at maturity</t>
  </si>
  <si>
    <t>Prime cost % (COGS + staff)</t>
  </si>
  <si>
    <t>Occupancy cost % (rent + SC)</t>
  </si>
  <si>
    <t>Payback month (full model, incl. ramp-up)</t>
  </si>
  <si>
    <t>Project IRR (5 yrs incl. terminal value)</t>
  </si>
  <si>
    <t>PT PMA paid-up capital check</t>
  </si>
  <si>
    <t>Seats</t>
  </si>
  <si>
    <t>Equipment lease/rental/sponsor payments per month (months 1–36)</t>
  </si>
  <si>
    <t>Scenario comparison (steady state)</t>
  </si>
  <si>
    <t>Conservative</t>
  </si>
  <si>
    <t>Base</t>
  </si>
  <si>
    <t>Optimistic</t>
  </si>
  <si>
    <t>Revenue / month (IDR)</t>
  </si>
  <si>
    <t>EBITDA / month (IDR)</t>
  </si>
  <si>
    <t>EBITDA margin</t>
  </si>
  <si>
    <t>Break-even revenue / day (IDR)</t>
  </si>
  <si>
    <t>Break-even guests / day</t>
  </si>
  <si>
    <t>Total investment (CHF)</t>
  </si>
  <si>
    <t>Gap vs CHF 200k equity (CHF)</t>
  </si>
  <si>
    <t>Simple payback (years)</t>
  </si>
  <si>
    <t>MODEL CHECKS</t>
  </si>
  <si>
    <t>Scenario engine = CAPEX sheet</t>
  </si>
  <si>
    <t>Scenario engine = Revenue sheet</t>
  </si>
  <si>
    <t>Cash never negative</t>
  </si>
  <si>
    <t>Additional equity required</t>
  </si>
  <si>
    <t>Staff salaries ≥ UMP</t>
  </si>
  <si>
    <t>Capacity</t>
  </si>
  <si>
    <t>Menu vs revenue spend</t>
  </si>
  <si>
    <t>Seasonality average ≈ 1.00</t>
  </si>
  <si>
    <t>SOURCES &amp; CALCULATION BASIS – Dashboard</t>
  </si>
  <si>
    <t>All figures on this sheet</t>
  </si>
  <si>
    <t>Scenarios, PnL_Monthly, Annual, Funding, CAPEX</t>
  </si>
  <si>
    <t>Pure links – trace each number to its sheet, then to Inputs col I/K and the Sources sheet.</t>
  </si>
  <si>
    <t>Total investment &amp; funding gap</t>
  </si>
  <si>
    <t>S10, S64–S70; Brief; S16</t>
  </si>
  <si>
    <t>CAPEX total vs CHF 200k × FX.</t>
  </si>
  <si>
    <t>Mature revenue &amp; guests/day</t>
  </si>
  <si>
    <t>S46, S43, S31, S33</t>
  </si>
  <si>
    <t>Weakest-evidenced block: 200 guests/day is above every measured pasta comparable (S46).</t>
  </si>
  <si>
    <t>Break-even, EBITDA, payback, IRR, NPV</t>
  </si>
  <si>
    <t>S49–S57, S62, S63</t>
  </si>
  <si>
    <t>Driven by sourced cost rates + assumed volume.</t>
  </si>
  <si>
    <t>PT PMA check</t>
  </si>
  <si>
    <t>S01, S02</t>
  </si>
  <si>
    <t>Equity vs IDR 2.5bn paid-up per KBLI.</t>
  </si>
  <si>
    <t>Check thresholds (rows 40–47)</t>
  </si>
  <si>
    <t>Model QA tolerances (85% capacity, 15% menu gap, seasonality ±2%) – team choices.</t>
  </si>
  <si>
    <t>Decision / policy</t>
  </si>
  <si>
    <t>Inputs &amp; Scenario Assumptions</t>
  </si>
  <si>
    <t>Every assumption lives here. Edit blue cells (columns E–G). Column H = active scenario. Column I = source IDs (Sources sheet), column K = how each value was calculated, column L = evidence status (green = sourced/derived, yellow = partly sourced, orange = assumption to validate).</t>
  </si>
  <si>
    <t>ACTIVE SCENARIO (1 = Conservative, 2 = Base, 3 = Optimistic) →</t>
  </si>
  <si>
    <t>CAPEX MODE (1 = Buy, 2 = Lease/sponsor) →</t>
  </si>
  <si>
    <t>Note from Jonas:</t>
  </si>
  <si>
    <t xml:space="preserve">These Inputs and scenarios have not been carefully reviewed yet. This sheet will be more relevant once other assumptions will be confirmed or infirmed </t>
  </si>
  <si>
    <t>Regarding the seasonality, the impact of Ramadan and seasons on the scheduling of consumptions as well as the quantity must be assessed (culture and society?)</t>
  </si>
  <si>
    <t>Key</t>
  </si>
  <si>
    <t>Parameter</t>
  </si>
  <si>
    <t>Unit</t>
  </si>
  <si>
    <t>ACTIVE</t>
  </si>
  <si>
    <t>Source ID(s) &amp; key facts (see Sources sheet)</t>
  </si>
  <si>
    <t>Confidence</t>
  </si>
  <si>
    <t>How the value was calculated from the source</t>
  </si>
  <si>
    <t>GENERAL &amp; MACRO</t>
  </si>
  <si>
    <t>fx</t>
  </si>
  <si>
    <t>Macro</t>
  </si>
  <si>
    <t>FX rate (IDR per 1 CHF)</t>
  </si>
  <si>
    <t>IDR/CHF</t>
  </si>
  <si>
    <t>S16 (CHF/IDR spot ~21,580; 30-day avg 21,640; 90-day range 21,423–22,518)</t>
  </si>
  <si>
    <t>H</t>
  </si>
  <si>
    <t>Base 21,600 = 30-day average 21,640 rounded. Conservative 20,500 ≈ 5% below the 90-day low (weaker CHF→IDR conversion of equity). Optimistic 22,500 ≈ 90-day high 22,518.</t>
  </si>
  <si>
    <t>Derived from sources</t>
  </si>
  <si>
    <t>open_date</t>
  </si>
  <si>
    <t>Timing</t>
  </si>
  <si>
    <t>Opening month (first month of trading)</t>
  </si>
  <si>
    <t>date</t>
  </si>
  <si>
    <t>S65 (PT PMA setup), S10 (fit-out); brief</t>
  </si>
  <si>
    <t>L</t>
  </si>
  <si>
    <t>Oct 2026 + ~3 months company setup/licensing (S65) + 3–4 months lease search &amp; fit-out + buffer ≈ Jul 2027. Timeline estimate, not a sourced figure.</t>
  </si>
  <si>
    <t>days</t>
  </si>
  <si>
    <t>Trading days per month</t>
  </si>
  <si>
    <t>Team assumption (7-day operation); Ramadan/Lebaran handled by seasonality (S58)</t>
  </si>
  <si>
    <t>M</t>
  </si>
  <si>
    <t>30 trading days per month = 7-day opening. Closure days around Idul Fitri are captured through the Mar seasonality index, not here.</t>
  </si>
  <si>
    <t>price_inc</t>
  </si>
  <si>
    <t>Menu price increase p.a.</t>
  </si>
  <si>
    <t>%</t>
  </si>
  <si>
    <t>S18 (CPI 3.28% yoy Sep 2026; volatile food 5.03%; core 2.84%)</t>
  </si>
  <si>
    <t>Base 4% sits between headline CPI 3.28% and volatile-food inflation 5.03% (menu costs track food). Conservative 3% ≈ CPI (cannot pass on food inflation). Optimistic 5% ≈ volatile-food inflation.</t>
  </si>
  <si>
    <t>infl</t>
  </si>
  <si>
    <t>Opex inflation p.a.</t>
  </si>
  <si>
    <t>S18 (CPI 3.28%), S17 (BI target 2.5% ±1)</t>
  </si>
  <si>
    <t>Base 3.5% = CPI 3.28% rounded up / top of BI band. Conservative 4.5% = 1 pp above band. Optimistic 3.0% = band mid-point + 0.5 pp.</t>
  </si>
  <si>
    <t>wage_g</t>
  </si>
  <si>
    <t>Wage growth p.a.</t>
  </si>
  <si>
    <t>S04 (Jakarta UMP 2026 +6.17% vs 2025)</t>
  </si>
  <si>
    <t>Base 6.2% = latest UMP increase 6.17%. Conservative 7%, optimistic 5% = ±1 pp around it.</t>
  </si>
  <si>
    <t>cit</t>
  </si>
  <si>
    <t>Tax</t>
  </si>
  <si>
    <t>Corporate income tax rate</t>
  </si>
  <si>
    <t>S15 (PT PMA not eligible for 0.5% MSME final tax); UU HPP – CIT 22%</t>
  </si>
  <si>
    <t>Statutory corporate rate 22% applied to all scenarios.</t>
  </si>
  <si>
    <t>pbjt</t>
  </si>
  <si>
    <t>Restaurant tax PBJT (charged on top of menu prices)</t>
  </si>
  <si>
    <t>S13 (Jakarta PBJT food &amp; beverage 10%), S03</t>
  </si>
  <si>
    <t>10% charged on top of net menu prices and passed to the government → excluded from revenue.</t>
  </si>
  <si>
    <t>vat</t>
  </si>
  <si>
    <t>Non-recoverable VAT on CAPEX &amp; services</t>
  </si>
  <si>
    <t>S03 (restaurants collect PBJT, not VAT → input VAT not creditable); VAT rate 11%</t>
  </si>
  <si>
    <t>11% statutory VAT on CAPEX/services treated as a cost because it cannot be reclaimed.</t>
  </si>
  <si>
    <t>LOCATION &amp; SPACE</t>
  </si>
  <si>
    <t>district</t>
  </si>
  <si>
    <t>Location</t>
  </si>
  <si>
    <t>Selected district (1 SCBD, 2 Senopati main road, 3 Senopati side streets, 4 Kuningan, 5 Kemang, 6 PIK)</t>
  </si>
  <si>
    <t>#</t>
  </si>
  <si>
    <t>Location sheet (scores from S20–S29, S46)</t>
  </si>
  <si>
    <t>-</t>
  </si>
  <si>
    <t>Decision input: 2 = Senopati main road (highest weighted score with acceptable rent).</t>
  </si>
  <si>
    <t>sqm</t>
  </si>
  <si>
    <t>Space</t>
  </si>
  <si>
    <t>Usable floor area (ground floor focus)</t>
  </si>
  <si>
    <t>m²</t>
  </si>
  <si>
    <t>Brief (120–180 m², ground floor)</t>
  </si>
  <si>
    <t>150 m² = mid-point of the brief's 120–180 m² range.</t>
  </si>
  <si>
    <t>gfa_factor</t>
  </si>
  <si>
    <t>Paid surface ÷ trading surface (non-trading space you still pay for)</t>
  </si>
  <si>
    <t>x</t>
  </si>
  <si>
    <t>Rent_Data (v0.5: listings filtered to 100–200 m² of total rented surface)</t>
  </si>
  <si>
    <t>Rent_Data now holds units of 100–200 m² total surface (all floors), matching the brief's 120–180 m², so rent = rate × 150 m² with no upper-floor gross-up (base/optimistic 1.0). Conservative 1.2 = paying ~30 m² of stairs/storage/non-trading space (e.g. a 180 m² unit for 150 m² used). Team estimate.</t>
  </si>
  <si>
    <t>foh_share</t>
  </si>
  <si>
    <t>Dining area share of usable area</t>
  </si>
  <si>
    <t>S35 (Toast: ~60/40 dining/kitchen split)</t>
  </si>
  <si>
    <t>60% of 150 m² = 90 m² dining area.</t>
  </si>
  <si>
    <t>sqm_seat</t>
  </si>
  <si>
    <t>m² of dining area per seat</t>
  </si>
  <si>
    <t>S35 (12–15 sq ft/seat ≈ 1.1–1.4 m²)</t>
  </si>
  <si>
    <t>1.5 m²/seat = top of the S35 range (1.4 m²) + comfort margin for a flagship → 90 m² / 1.5 = 60 seats.</t>
  </si>
  <si>
    <t>rent_sqm</t>
  </si>
  <si>
    <t>Rent</t>
  </si>
  <si>
    <t>Base rent (IDR per m² GFA per month)</t>
  </si>
  <si>
    <t>Location → Rent_Data (S20–S26 listings)</t>
  </si>
  <si>
    <t>Linked: Optimistic = P25, Base = median, Conservative = P75 of asking rents per m² of rented surface (100–200 m² units) for the selected district. Senopati main road uses the side-street × premium fallback while it has &lt;3 listings.</t>
  </si>
  <si>
    <t>sc_sqm</t>
  </si>
  <si>
    <t>Service charge / CAM (IDR per m² per month)</t>
  </si>
  <si>
    <t>Location col G; S27 (mall SC IDR 154k/m²/mo)</t>
  </si>
  <si>
    <t>Linked: street ruko = 0 (owner pays building costs); mall/podium units use the Location sheet estimate (anchored on S27).</t>
  </si>
  <si>
    <t>rent_grossup</t>
  </si>
  <si>
    <t>Rent gross-up for 10% PPh 4(2) if landlord quotes net</t>
  </si>
  <si>
    <t>S14 (PPh 4(2) final tax 10% on gross rent, withheld by corporate tenant)</t>
  </si>
  <si>
    <t>If the landlord quotes rent net of tax, cost = net ÷ 0.9 → +11.1%. Conservative assumes net quote; base/optimistic assume gross quote (0%).</t>
  </si>
  <si>
    <t>rent_esc</t>
  </si>
  <si>
    <t>Rent escalation p.a.</t>
  </si>
  <si>
    <t>S18 (CPI 3.28%); S28/S29 (vacancy tightening, F&amp;B demand)</t>
  </si>
  <si>
    <t>Base 6% ≈ CPI + ~3 pp for a tightening prime market. No published Jakarta ruko renewal-uplift statistic found → ask 2 brokers (Research_Tracker).</t>
  </si>
  <si>
    <t>prepay_m</t>
  </si>
  <si>
    <t>Rent paid upfront (months per payment block)</t>
  </si>
  <si>
    <t>months</t>
  </si>
  <si>
    <t>S20/S21 listings &amp; research notes (ruko leases min. 12 months, 1–2 yrs paid upfront)</t>
  </si>
  <si>
    <t>Base 12 months paid upfront per block; conservative 24 months.</t>
  </si>
  <si>
    <t>deposit_m</t>
  </si>
  <si>
    <t>Security deposit (months of rent)</t>
  </si>
  <si>
    <t>No public source found – market practice to confirm with brokers</t>
  </si>
  <si>
    <t>Security deposit 2 months (base). Validate in broker interviews.</t>
  </si>
  <si>
    <t>fitout_m</t>
  </si>
  <si>
    <t>Paid rent months during fit-out (before opening)</t>
  </si>
  <si>
    <t>No public source found – negotiation point</t>
  </si>
  <si>
    <t>Base: 2 months rent paid during fit-out; optimistic 1 (rent-free period negotiated).</t>
  </si>
  <si>
    <t>REVENUE AT MATURITY (per trading day, before ramp-up &amp; seasonality)</t>
  </si>
  <si>
    <t>cov_morning</t>
  </si>
  <si>
    <t>Revenue</t>
  </si>
  <si>
    <t>Guests – morning 07–11 (coffee, breakfast)</t>
  </si>
  <si>
    <t>guests/day</t>
  </si>
  <si>
    <t>S46 Volume_Proxy (busiest in-zone comparables ≈ 53–67 guests/day base, 106–134 high); S43 (Fore ≈ IDR 13m sales/store/day)</t>
  </si>
  <si>
    <t>Daypart split of a 200-guest day: morning 45 / lunch 75 / afternoon 35 / dinner 45. Cross-check: busiest in-zone pasta venues ≈ 53–67 guests/day at 100 guests/review (134 at 200/review); Fore Coffee IDR 1.5tn ÷ 316 stores ÷ 365 ≈ IDR 13m/day per store. CORSA base needs 200 → above any measured pasta comparable; this is the most important assumption to validate with field counts.</t>
  </si>
  <si>
    <t>tkt_morning</t>
  </si>
  <si>
    <t>Avg net spend – morning</t>
  </si>
  <si>
    <t>IDR/guest</t>
  </si>
  <si>
    <t>S31 (latte 45–52k, pastry), Menu sheet prices</t>
  </si>
  <si>
    <t>Latte 50k + 40% pastry attach × 38k ≈ 65k.</t>
  </si>
  <si>
    <t>cov_lunch</t>
  </si>
  <si>
    <t>Guests – lunch 11–15</t>
  </si>
  <si>
    <t>See cov_morning (S46, S43)</t>
  </si>
  <si>
    <t>75 guests = largest daypart (office lunch, SCBD/Senopati). Same evidence caveat as above.</t>
  </si>
  <si>
    <t>tkt_lunch</t>
  </si>
  <si>
    <t>Avg net spend – lunch (pasta + drink)</t>
  </si>
  <si>
    <t>S46 (in-zone pasta venue median avg ~133k); S33/S34; Menu sheet</t>
  </si>
  <si>
    <t>Pasta ~98k + 50% drink attach × ~45k ≈ 120k. Note: S46 shows in-zone pasta at ~133k → price headroom.</t>
  </si>
  <si>
    <t>cov_aft</t>
  </si>
  <si>
    <t>Guests – afternoon 15–18</t>
  </si>
  <si>
    <t>35 guests (coffee/snack). No direct evidence.</t>
  </si>
  <si>
    <t>tkt_aft</t>
  </si>
  <si>
    <t>Avg net spend – afternoon</t>
  </si>
  <si>
    <t>S31, Menu sheet</t>
  </si>
  <si>
    <t>Coffee/functional drink ~50k + 50% snack attach × ~40k ≈ 70k.</t>
  </si>
  <si>
    <t>cov_dinner</t>
  </si>
  <si>
    <t>Guests – dinner 18–22</t>
  </si>
  <si>
    <t>See cov_morning; S46 Weekday_Pattern (weekend ≈ 1.45× weekday)</t>
  </si>
  <si>
    <t>45 guests average incl. weekend uplift. No direct evidence.</t>
  </si>
  <si>
    <t>tkt_dinner</t>
  </si>
  <si>
    <t>Avg net spend – dinner</t>
  </si>
  <si>
    <t>S46, S33/S34 (casual Italian 100–200k pp), Menu sheet</t>
  </si>
  <si>
    <t>Pasta ~105k + 60% drink × 45k + 20% dessert × 55k ≈ 143k → 140k.</t>
  </si>
  <si>
    <t>del_orders</t>
  </si>
  <si>
    <t>Delivery orders per day (GoFood/GrabFood/ShopeeFood)</t>
  </si>
  <si>
    <t>orders/day</t>
  </si>
  <si>
    <t>S30 (delivery market USD 5.4bn; Grab 47% / Gojek 35% / Shopee 18%)</t>
  </si>
  <si>
    <t>25 orders/day is a volume assumption; S30 only sizes the market.</t>
  </si>
  <si>
    <t>del_tkt</t>
  </si>
  <si>
    <t>Avg delivery order value (gross, app price)</t>
  </si>
  <si>
    <t>IDR/order</t>
  </si>
  <si>
    <t>S46 (delivery prices ~15.6% above dine-in net); S32 vs S31</t>
  </si>
  <si>
    <t>~100k dine-in basket × 1.156 ≈ 115k gross app value.</t>
  </si>
  <si>
    <t>takeaway</t>
  </si>
  <si>
    <t>Take-away share of in-store guests</t>
  </si>
  <si>
    <t>Brief (sit-down + take-away)</t>
  </si>
  <si>
    <t>30% of in-store guests take away – assumption.</t>
  </si>
  <si>
    <t>events_m</t>
  </si>
  <si>
    <t>Events &amp; B2B (catering, office) per month</t>
  </si>
  <si>
    <t>IDR/month</t>
  </si>
  <si>
    <t>No source – upside stream</t>
  </si>
  <si>
    <t>IDR 15m/month ≈ 2 small office caterings; 0 in conservative.</t>
  </si>
  <si>
    <t>retail_pct</t>
  </si>
  <si>
    <t>Retail (beans, pasta packs, merch) % of F&amp;B revenue</t>
  </si>
  <si>
    <t>No source</t>
  </si>
  <si>
    <t>2% of F&amp;B revenue (beans, pasta packs). Assumption.</t>
  </si>
  <si>
    <t>ramp_start</t>
  </si>
  <si>
    <t>Ramp-up</t>
  </si>
  <si>
    <t>Month-1 sales as % of mature level</t>
  </si>
  <si>
    <t>S36 (Parsa: 26% fail in year 1); S60 (US chains stabilise after 13–26 weeks, often with an opening 'honeymoon')</t>
  </si>
  <si>
    <t>Month 1 at 55% of mature sales. Caveat: S60 shows established chains often open ABOVE stable sales; a new foreign brand in a new market is assumed to build up instead.</t>
  </si>
  <si>
    <t>ramp_months</t>
  </si>
  <si>
    <t>Months to reach maturity (100%)</t>
  </si>
  <si>
    <t>S60 (stabilisation 13–26 weeks ≈ 3–6 months)</t>
  </si>
  <si>
    <t>Base 9 months (longer than S60's 3–6 months because brand is unknown in Jakarta); optimistic 6 = top of S60; conservative 12.</t>
  </si>
  <si>
    <t>COGS &amp; VARIABLE COSTS</t>
  </si>
  <si>
    <t>cogs_uplift</t>
  </si>
  <si>
    <t>COGS</t>
  </si>
  <si>
    <t>Food &amp; beverage cost adjustment vs Menu sheet (pp)</t>
  </si>
  <si>
    <t>pp</t>
  </si>
  <si>
    <t>S16 (FX), S18 (volatile food 5%)</t>
  </si>
  <si>
    <t>±pp adjustment to the Menu blended cost for imported ingredients / FX / waste. Scenario spread is an assumption.</t>
  </si>
  <si>
    <t>events_cogs</t>
  </si>
  <si>
    <t>Events/B2B cost of goods %</t>
  </si>
  <si>
    <t>S49 (food cost 28.5–30.3%) + packaging/transport</t>
  </si>
  <si>
    <t>≈ 30% food cost + ~5 pp for packaging, transport and staff meals → 35%.</t>
  </si>
  <si>
    <t>retail_cogs</t>
  </si>
  <si>
    <t>Retail cost of goods %</t>
  </si>
  <si>
    <t>55% COGS = 45% gross margin on retail goods. Assumption.</t>
  </si>
  <si>
    <t>pack_pct</t>
  </si>
  <si>
    <t>Variable</t>
  </si>
  <si>
    <t>Packaging % of take-away + delivery revenue</t>
  </si>
  <si>
    <t>S49 (packaging 1–2% of total sales FSR; 3–4% limited service)</t>
  </si>
  <si>
    <t>Limited-service operators spend 3–4% of TOTAL sales on packaging with most sales off-premise → ~4–5% of off-premise revenue. Base 5% applied only to take-away + delivery revenue.</t>
  </si>
  <si>
    <t>waste_pct</t>
  </si>
  <si>
    <t>Waste &amp; spoilage % of F&amp;B revenue</t>
  </si>
  <si>
    <t>S54 (FSR waste 4–10% of food purchased); S49/S50 (food cost ~28–30%)</t>
  </si>
  <si>
    <t>4–10% of purchases × ~30% food cost = 1.2–3.0% of revenue. Base 1.5% = lower part of range (assumes portion control).</t>
  </si>
  <si>
    <t>del_comm</t>
  </si>
  <si>
    <t>Delivery platform commission % of delivery revenue</t>
  </si>
  <si>
    <t>S12 (GoFood ~20%, GrabFood 20–30%, ShopeeFood 15–25%; +11% VAT on fee); S30 shares</t>
  </si>
  <si>
    <t>Share-weighted: 47% × 25% (Grab mid) + 35% × 20% (GoFood) + 18% × 20% (Shopee mid) ≈ 22.4% → 23%. Conservative 28% (new-merchant Grab 30%), optimistic 20%.</t>
  </si>
  <si>
    <t>pay_fee</t>
  </si>
  <si>
    <t>Payment fees % of in-store revenue</t>
  </si>
  <si>
    <t>S47/S48 (QRIS 0.7% regular merchant); card MDR ~2% (to confirm with acquiring bank)</t>
  </si>
  <si>
    <t>Assumed mix 50% QRIS × 0.7% + 40% cards × 2.0% + 10% cash × 0% ≈ 1.15% → 1.2%. Card MDR and mix need a bank quote.</t>
  </si>
  <si>
    <t>mkt_pct</t>
  </si>
  <si>
    <t>Marketing % of revenue (post-opening)</t>
  </si>
  <si>
    <t>S52 (3–6% of revenue)</t>
  </si>
  <si>
    <t>Base 3% = low end, because launch marketing is funded separately in CAPEX (pre-opening).</t>
  </si>
  <si>
    <t>maint_pct</t>
  </si>
  <si>
    <t>Repairs &amp; maintenance % of revenue</t>
  </si>
  <si>
    <t>S53 (1–3% of revenue)</t>
  </si>
  <si>
    <t>Base 1.5% (new equipment under warranty in years 1–2).</t>
  </si>
  <si>
    <t>misc_pct</t>
  </si>
  <si>
    <t>Miscellaneous operating costs % of revenue</t>
  </si>
  <si>
    <t>1% catch-all. Assumption.</t>
  </si>
  <si>
    <t>royalty</t>
  </si>
  <si>
    <t>Brand/royalty fee to CORSA CH % of revenue</t>
  </si>
  <si>
    <t>CORSA decision</t>
  </si>
  <si>
    <t>0% unless CORSA CH charges a brand fee.</t>
  </si>
  <si>
    <t>STAFF</t>
  </si>
  <si>
    <t>ump</t>
  </si>
  <si>
    <t>Staff</t>
  </si>
  <si>
    <t>Jakarta minimum wage UMP 2026</t>
  </si>
  <si>
    <t>S04 (Jakarta UMP 2026 IDR 5,729,876)</t>
  </si>
  <si>
    <t>Statutory minimum wage – used as salary floor check.</t>
  </si>
  <si>
    <t>sal_factor</t>
  </si>
  <si>
    <t>Salary level factor vs Staffing sheet</t>
  </si>
  <si>
    <t>S73/S75 (manager pay spread)</t>
  </si>
  <si>
    <t>1.0 = Staffing sheet salaries; conservative +10% retention premium. Assumption.</t>
  </si>
  <si>
    <t>bpjs</t>
  </si>
  <si>
    <t>Employer BPJS contributions % of salary</t>
  </si>
  <si>
    <t>S05 (JHT 3.7% + JP 2% + JKK 0.24–1.74% + JKM 0.3% + JKN 4%)</t>
  </si>
  <si>
    <t>3.7 + 2.0 + 0.3 + 4.0 = 10.0% + JKK 0.24–1.74% → 10.2–11.7%. Base 11.5% (prudent; JP/JKN wage caps make the true rate slightly lower for high earners).</t>
  </si>
  <si>
    <t>thr</t>
  </si>
  <si>
    <t>THR (13th month religious holiday bonus) accrual</t>
  </si>
  <si>
    <t>S76 (Permenaker 6/2016: THR = 1 month wage per year)</t>
  </si>
  <si>
    <t>1 ÷ 12 = 8.33% accrual on salaries.</t>
  </si>
  <si>
    <t>benefit</t>
  </si>
  <si>
    <t>Meals, uniform, transport per head per month</t>
  </si>
  <si>
    <t>IDR/head</t>
  </si>
  <si>
    <t>No source – market practice</t>
  </si>
  <si>
    <t>IDR 1.0m/head/month for staff meals, uniform, transport. Assumption.</t>
  </si>
  <si>
    <t>FIXED OPERATING COSTS (per month, year-1 prices)</t>
  </si>
  <si>
    <t>fx_mgmt</t>
  </si>
  <si>
    <t>Fixed</t>
  </si>
  <si>
    <t>Local management / area oversight (part-time)</t>
  </si>
  <si>
    <t>S75 (F&amp;B manager 12–25m/month)</t>
  </si>
  <si>
    <t>IDR 25m/month ≈ top of S75 F&amp;B-manager range – budget for local partner/area manager oversight on top of the store GM.</t>
  </si>
  <si>
    <t>fx_acct</t>
  </si>
  <si>
    <t>Accounting, tax, payroll &amp; legal retainer</t>
  </si>
  <si>
    <t>S03/S15 (PT PMA needs full bookkeeping, LKPM reporting)</t>
  </si>
  <si>
    <t>IDR 9m/month retainer – no price source; get 2 quotes.</t>
  </si>
  <si>
    <t>fx_ins</t>
  </si>
  <si>
    <t>Insurance</t>
  </si>
  <si>
    <t>IDR 3m/month property all-risk + public liability – get a broker quote.</t>
  </si>
  <si>
    <t>fx_soft</t>
  </si>
  <si>
    <t>POS/software, internet, music licence</t>
  </si>
  <si>
    <t>S67 (Moka POS 299–799k/outlet/month)</t>
  </si>
  <si>
    <t>POS ~0.8m + KDS/inventory add-ons + internet ~1m + music licence/apps ~1m ≈ 3m. Only the POS part is sourced.</t>
  </si>
  <si>
    <t>fx_clean</t>
  </si>
  <si>
    <t>Cleaning, pest control, waste &amp; laundry</t>
  </si>
  <si>
    <t>IDR 5m/month cleaning, pest control, waste collection, laundry. Assumption – quotes.</t>
  </si>
  <si>
    <t>fx_other</t>
  </si>
  <si>
    <t>Other admin (bank, permits renewal, travel)</t>
  </si>
  <si>
    <t>IDR 4m/month bank fees, permit renewals, travel. Assumption.</t>
  </si>
  <si>
    <t>kwh</t>
  </si>
  <si>
    <t>Utilities</t>
  </si>
  <si>
    <t>Electricity consumption</t>
  </si>
  <si>
    <t>kWh/month</t>
  </si>
  <si>
    <t>S55 (US restaurant median site EUI 325.6 kBtu/ft² ≈ 1,027 kWh/m²/yr, all fuels)</t>
  </si>
  <si>
    <t>1,027 kWh/m² × 150 m² ÷ 12 ≈ 12,840 kWh/month of all energy; ~30% assumed as LPG for cooking → ≈ 9,000 kWh electricity. Check with PLN connection (kVA) and AC load.</t>
  </si>
  <si>
    <t>tariff</t>
  </si>
  <si>
    <t>Electricity tariff B-2</t>
  </si>
  <si>
    <t>IDR/kWh</t>
  </si>
  <si>
    <t>S11 (PLN B-2 IDR 1,444.70/kWh from 1 Sep 2026)</t>
  </si>
  <si>
    <t>Official tariff.</t>
  </si>
  <si>
    <t>watergas</t>
  </si>
  <si>
    <t>Water &amp; gas</t>
  </si>
  <si>
    <t>S56 (PAM Jaya niaga IDR 4,900–21,500/m³); S57 (LPG 12 kg IDR 220k)</t>
  </si>
  <si>
    <t>Water ~120 m³/month × 21,500 ≈ 2.6m + LPG ~15 × 12 kg × 220k ≈ 3.3m → ≈ 5.9m ≈ 6m. Consumption volumes are estimates.</t>
  </si>
  <si>
    <t>CAPEX &amp; FUNDING</t>
  </si>
  <si>
    <t>overrun</t>
  </si>
  <si>
    <t>CAPEX</t>
  </si>
  <si>
    <t>CAPEX cost factor (overrun / savings)</t>
  </si>
  <si>
    <t>S64 (contingency 10% for renovation)</t>
  </si>
  <si>
    <t>Conservative +15% overrun on hard costs (on top of contingency); optimistic −5% from negotiated quotes. Assumption.</t>
  </si>
  <si>
    <t>contingency</t>
  </si>
  <si>
    <t>Contingency reserve % of hard + soft costs</t>
  </si>
  <si>
    <t>S64 (5% ground-up, 10% renovation)</t>
  </si>
  <si>
    <t>Base 10% = renovation/fit-out benchmark; conservative 15%; optimistic 7.5%.</t>
  </si>
  <si>
    <t>preopen_pay</t>
  </si>
  <si>
    <t>Pre-opening payroll (months of full staff cost)</t>
  </si>
  <si>
    <t>S60 (stabilisation period); team assumption</t>
  </si>
  <si>
    <t>1 month of full payroll before opening for hiring and training.</t>
  </si>
  <si>
    <t>wc_months</t>
  </si>
  <si>
    <t>Working-capital reserve (months of staff + fixed opex + utilities)</t>
  </si>
  <si>
    <t>S36 (early-stage failure risk); team assumption</t>
  </si>
  <si>
    <t>3 months of staff + fixed opex + utilities kept as cash buffer for ramp-up.</t>
  </si>
  <si>
    <t>dep_years</t>
  </si>
  <si>
    <t>Depreciation life of fit-out &amp; equipment</t>
  </si>
  <si>
    <t>years</t>
  </si>
  <si>
    <t>S61 (PMK 72/2023: group 1 = 4 yrs, group 2 = 8 yrs, non-permanent building 10 yrs)</t>
  </si>
  <si>
    <t>Blend: IT/smallwares 4 yrs, kitchen/coffee equipment &amp; furniture 8 yrs, leasehold fit-out over lease term (~5 yrs) → 5 years straight-line for the model (accounting view, tax may differ).</t>
  </si>
  <si>
    <t>equity_chf</t>
  </si>
  <si>
    <t>Funding</t>
  </si>
  <si>
    <t>Founder equity available</t>
  </si>
  <si>
    <t>Brief (CHF 200,000)</t>
  </si>
  <si>
    <t>Given by CORSA.</t>
  </si>
  <si>
    <t>loan_on</t>
  </si>
  <si>
    <t>Fill funding gap with bank loan? (1 = yes, 0 = no)</t>
  </si>
  <si>
    <t>1/0</t>
  </si>
  <si>
    <t>Model switch</t>
  </si>
  <si>
    <t>1 = fill funding gap with a bank loan.</t>
  </si>
  <si>
    <t>loan_rate</t>
  </si>
  <si>
    <t>Loan interest rate p.a.</t>
  </si>
  <si>
    <t>S19 (BCA SBDK small business 8.01%, excl. risk premium); S17 (BI-Rate 5.75%)</t>
  </si>
  <si>
    <t>8.01% + ~2.5 pp risk premium for a new company ≈ 10.5%. Conservative 12%, optimistic 9%.</t>
  </si>
  <si>
    <t>loan_tenor</t>
  </si>
  <si>
    <t>Loan tenor (months, annuity)</t>
  </si>
  <si>
    <t>S49 (debt service ≤12% of sales over 3–5 years)</t>
  </si>
  <si>
    <t>Base 48 months – inside the 3–5 year benchmark.</t>
  </si>
  <si>
    <t>n_kbli</t>
  </si>
  <si>
    <t>Legal</t>
  </si>
  <si>
    <t>Number of KBLI codes registered (restaurant, café, retail…)</t>
  </si>
  <si>
    <t>S02 (capital requirement per KBLI)</t>
  </si>
  <si>
    <t>1 KBLI (56101 restaurant) in base; conservative adds a second (e.g. café/retail).</t>
  </si>
  <si>
    <t>pma_paidup</t>
  </si>
  <si>
    <t>PT PMA minimum paid-up capital per KBLI</t>
  </si>
  <si>
    <t>S02 (BKPM Reg. 5/2025)</t>
  </si>
  <si>
    <t>IDR 2.5bn per KBLI.</t>
  </si>
  <si>
    <t>pma_plan</t>
  </si>
  <si>
    <t>PT PMA minimum investment plan per KBLI (excl. land &amp; building)</t>
  </si>
  <si>
    <t>S01/S02</t>
  </si>
  <si>
    <t>IDR 10bn investment plan per KBLI (excl. land &amp; buildings).</t>
  </si>
  <si>
    <t>disc</t>
  </si>
  <si>
    <t>Valuation</t>
  </si>
  <si>
    <t>Discount rate for NPV (IDR, p.a.)</t>
  </si>
  <si>
    <t>S62 (10Y SBN 7.17%); S63 (Indonesia total ERP 6.69%)</t>
  </si>
  <si>
    <t>CAPM-style: 7.17% + 1.0 × 6.69% = 13.9% ≈ 14% + ~1 pp for a single unlisted outlet → 15%. Conservative 18%, optimistic 12%.</t>
  </si>
  <si>
    <t>tv_mult</t>
  </si>
  <si>
    <t>Terminal value at Y5 (x Y5 EBITDA)</t>
  </si>
  <si>
    <t>2× year-5 EBITDA (value of remaining lease/brand); 0 in conservative. Assumption.</t>
  </si>
  <si>
    <t>SEASONALITY (index by calendar month, 1.00 = normal)</t>
  </si>
  <si>
    <t>season_1</t>
  </si>
  <si>
    <t>Season</t>
  </si>
  <si>
    <t>Seasonality – Jan</t>
  </si>
  <si>
    <t>index</t>
  </si>
  <si>
    <t>S58 (Ramadan ≈ 8 Feb–9 Mar 2027, Idul Fitri ≈ 10 Mar 2027); S59 (Ramadan sales effect mixed: chains +15–30%, café chain dip in week 1)</t>
  </si>
  <si>
    <t>Feb 0.92 / Mar 0.95: daytime/lunch dip during fasting + Lebaran exodus (mudik) around 10 Mar; partly offset by iftar. Note S59 reports Ramadan uplifts for chains → index may be too cautious. Dec 1.08 holiday season and other months 1.00 are assumptions.</t>
  </si>
  <si>
    <t>season_2</t>
  </si>
  <si>
    <t>Seasonality – Feb</t>
  </si>
  <si>
    <t>season_3</t>
  </si>
  <si>
    <t>Seasonality – Mar</t>
  </si>
  <si>
    <t>season_4</t>
  </si>
  <si>
    <t>Seasonality – Apr</t>
  </si>
  <si>
    <t>season_5</t>
  </si>
  <si>
    <t>Seasonality – May</t>
  </si>
  <si>
    <t>season_6</t>
  </si>
  <si>
    <t>Seasonality – Jun</t>
  </si>
  <si>
    <t>season_7</t>
  </si>
  <si>
    <t>Seasonality – Jul</t>
  </si>
  <si>
    <t>season_8</t>
  </si>
  <si>
    <t>Seasonality – Aug</t>
  </si>
  <si>
    <t>season_9</t>
  </si>
  <si>
    <t>Seasonality – Sep</t>
  </si>
  <si>
    <t>season_10</t>
  </si>
  <si>
    <t>Seasonality – Oct</t>
  </si>
  <si>
    <t>season_11</t>
  </si>
  <si>
    <t>Seasonality – Nov</t>
  </si>
  <si>
    <t>season_12</t>
  </si>
  <si>
    <t>Seasonality – Dec</t>
  </si>
  <si>
    <t>Rent Evidence – Asking Rents from Listing Portals (accessed 6–8 Oct 2026) – units of 100–200 m²</t>
  </si>
  <si>
    <t>Only units with 100–200 m² of rented surface are kept (all floors, any format), per the brief's 120–180 m². IDR per m² of rented surface per month; asking prices – deals usually 5–15% lower.</t>
  </si>
  <si>
    <t>Jonas:</t>
  </si>
  <si>
    <t xml:space="preserve">I built this sheet to gather existing offers in both Tier 1 and Tier 2 locations and have an overview. </t>
  </si>
  <si>
    <t>Columns M–T: exact address as advertised, Google Maps link, link to the individual ad, listing ID, advertiser, ad date, verification note.</t>
  </si>
  <si>
    <t xml:space="preserve">I voluntarily choose a range from 100 to 200sqm to get more locations (more accurate quantitative data) and avoid rejectance of surface that my be inexact in the offers. </t>
  </si>
  <si>
    <t xml:space="preserve">These are selected available locations to give an idea of types of available surfaces and their prices . If @sam you have some contacts with agencies, I'd love to have a look and add their offers to this sheet </t>
  </si>
  <si>
    <t>District</t>
  </si>
  <si>
    <t>Location / street</t>
  </si>
  <si>
    <t>Type</t>
  </si>
  <si>
    <t>Asking rent (IDR)</t>
  </si>
  <si>
    <t>Period</t>
  </si>
  <si>
    <t>Monthly rent (IDR)</t>
  </si>
  <si>
    <t>Surface m² (all floors)</t>
  </si>
  <si>
    <t>Floors</t>
  </si>
  <si>
    <t>IDR / m² / month</t>
  </si>
  <si>
    <t>Note</t>
  </si>
  <si>
    <t>Exact address / building (as advertised)</t>
  </si>
  <si>
    <t>Map</t>
  </si>
  <si>
    <t>Listing (click to open)</t>
  </si>
  <si>
    <t>Listing URL</t>
  </si>
  <si>
    <t>Listing ID</t>
  </si>
  <si>
    <t>Advertiser / agent</t>
  </si>
  <si>
    <t>Ad date</t>
  </si>
  <si>
    <t>Verification 8 Oct 2026</t>
  </si>
  <si>
    <t>SCBD</t>
  </si>
  <si>
    <t>Pacific Century Tower (rooftop F&amp;B space)</t>
  </si>
  <si>
    <t>F&amp;B space</t>
  </si>
  <si>
    <t>month</t>
  </si>
  <si>
    <t>S23</t>
  </si>
  <si>
    <t>Excl. VAT &amp; service charge</t>
  </si>
  <si>
    <t>Pacific Century Place (PCP) Tower, SCBD Lot 10, Jakarta Selatan – rooftop</t>
  </si>
  <si>
    <t xml:space="preserve">https://www.rumah123.com/en/property/jakarta-selatan-scbd/disewakan-space-utk-resto-bar-rooftop-di-pacific-century-tower-scbd-csr3740301/ </t>
  </si>
  <si>
    <t>csr3740301</t>
  </si>
  <si>
    <t>Zwitsa Bella Ratu (independent)</t>
  </si>
  <si>
    <t>Updated 28 Oct 2025</t>
  </si>
  <si>
    <t>Confirmed. Same space also advertised by Sangga Buana (2 duplicate ads). Excl. VAT &amp; service charge.</t>
  </si>
  <si>
    <t>Equity Tower</t>
  </si>
  <si>
    <t>Office (reference)</t>
  </si>
  <si>
    <t>S22</t>
  </si>
  <si>
    <t>Office tower – reference only</t>
  </si>
  <si>
    <t>Equity Tower, SCBD Lot 9, Jl. Jend. Sudirman Kav. 52-53, Jakarta Selatan</t>
  </si>
  <si>
    <t xml:space="preserve">https://www.rumah123.com/en/rent/jakarta-selatan/scbd/commercial-space/ </t>
  </si>
  <si>
    <t>not found</t>
  </si>
  <si>
    <t>Putera Frans – Century21 Rich Realty (on results page)</t>
  </si>
  <si>
    <t>not shown</t>
  </si>
  <si>
    <t>Individual ad not found (unverified candidates on Rumah123: ofr4180086, ofr4456549). Office tower – reference only.</t>
  </si>
  <si>
    <t>Senopati main road</t>
  </si>
  <si>
    <t>Jl. Suryo – 3rd floor only</t>
  </si>
  <si>
    <t>Upper floor in building</t>
  </si>
  <si>
    <t>year</t>
  </si>
  <si>
    <t>S78</t>
  </si>
  <si>
    <t>Upper floor, not street level</t>
  </si>
  <si>
    <t>Jl. Suryo (= Jl. Senopati), Kebayoran Baru, Jakarta Selatan</t>
  </si>
  <si>
    <t xml:space="preserve">https://www.rumah123.com/en/rent/jakarta-selatan/senopati/shophouse/ </t>
  </si>
  <si>
    <t>results page only</t>
  </si>
  <si>
    <t>Efendi Tobing – BAA Homes</t>
  </si>
  <si>
    <t>updated c. 4 Oct 2026</t>
  </si>
  <si>
    <t>Seen on the Rumah123 results page only. Only 1 main-road listing → Location uses fallback until ≥3 (289k/m² vs fallback 267k: consistent).</t>
  </si>
  <si>
    <t>Senopati side streets</t>
  </si>
  <si>
    <t>Wolter Monginsidi</t>
  </si>
  <si>
    <t>Ruko</t>
  </si>
  <si>
    <t>S20</t>
  </si>
  <si>
    <t>Jl. Wolter Monginsidi, Kebayoran Baru, Jakarta Selatan</t>
  </si>
  <si>
    <t>https://www.flokq.com/sewa-ruko-jakarta/ruko/RKRbd0</t>
  </si>
  <si>
    <t>RKRbd0</t>
  </si>
  <si>
    <t>not shown on ad</t>
  </si>
  <si>
    <t>Confirmed (nego).</t>
  </si>
  <si>
    <t>https://www.flokq.com/sewa-ruko-jakarta/ruko/RKRfe7</t>
  </si>
  <si>
    <t>RKRfe7</t>
  </si>
  <si>
    <t>Near Jl. Wolter Monginsidi, Kebayoran Baru, Jakarta Selatan</t>
  </si>
  <si>
    <t>https://www.flokq.com/sewa-ruko-jakarta/ruko/RKR37e</t>
  </si>
  <si>
    <t>RKR37e</t>
  </si>
  <si>
    <t>Wijaya</t>
  </si>
  <si>
    <t>Jl. Wijaya, Kebayoran Baru, Jakarta Selatan</t>
  </si>
  <si>
    <t>https://www.flokq.com/sewa-ruko-jakarta/ruko/RKR485</t>
  </si>
  <si>
    <t>RKR485</t>
  </si>
  <si>
    <t>Confirmed. Twin ad RKR100 (same price/m², 4 floors).</t>
  </si>
  <si>
    <t>Haji Nawi</t>
  </si>
  <si>
    <t>Jl. Haji Nawi, Gandaria, Jakarta Selatan</t>
  </si>
  <si>
    <t>https://www.flokq.com/sewa-ruko-jakarta/ruko/RKR7b7</t>
  </si>
  <si>
    <t>RKR7b7</t>
  </si>
  <si>
    <t>Price shown on results page only; ad page says 'nego'.</t>
  </si>
  <si>
    <t>Haji Nawi Raya</t>
  </si>
  <si>
    <t>Jl. Haji Nawi Raya, Gandaria, Jakarta Selatan</t>
  </si>
  <si>
    <t>https://www.flokq.com/sewa-ruko-jakarta/ruko/RKR678</t>
  </si>
  <si>
    <t>RKR678</t>
  </si>
  <si>
    <t>Confirmed.</t>
  </si>
  <si>
    <t>Kebayoran Baru</t>
  </si>
  <si>
    <t>Kebayoran Baru, near Treasury Tower &amp; Pacific Century Place, Jakarta Selatan</t>
  </si>
  <si>
    <t>https://www.flokq.com/sewa-ruko-jakarta/ruko/RKR6fb</t>
  </si>
  <si>
    <t>RKR6fb</t>
  </si>
  <si>
    <t>c. Apr 2025 (photo filename)</t>
  </si>
  <si>
    <t>Kebayoran Baru, Jakarta Selatan (no street given)</t>
  </si>
  <si>
    <t>https://www.flokq.com/sewa-ruko-jakarta/ruko/RKRcae</t>
  </si>
  <si>
    <t>RKRcae</t>
  </si>
  <si>
    <t>c. Mar 2025 (photo filename)</t>
  </si>
  <si>
    <t>Confirmed (nego). Location vague.</t>
  </si>
  <si>
    <t>Kyai Maja</t>
  </si>
  <si>
    <t>Jl. Kyai Maja, Kebayoran Baru, Jakarta Selatan</t>
  </si>
  <si>
    <t>https://www.flokq.com/sewa-ruko-jakarta/ruko/RKR927</t>
  </si>
  <si>
    <t>RKR927</t>
  </si>
  <si>
    <t>Cipaku</t>
  </si>
  <si>
    <t>Jl. Cipaku, Kebayoran Baru (near Treasury Tower / Pacific Century Place), Jakarta Selatan</t>
  </si>
  <si>
    <t>https://www.flokq.com/sewa-ruko-jakarta/ruko/RKRb4b</t>
  </si>
  <si>
    <t>RKRb4b</t>
  </si>
  <si>
    <t>Added 8 Oct 2026. Price from Flokq results page (ad says nego). Cipaku is at the edge of the Senopati area.</t>
  </si>
  <si>
    <t>Kuningan</t>
  </si>
  <si>
    <t>Jl. HR Rasuna Said</t>
  </si>
  <si>
    <t>S24</t>
  </si>
  <si>
    <t>Jl. HR Rasuna Said, Kuningan, Jakarta Selatan</t>
  </si>
  <si>
    <t>https://www.flokq.com/sewa-ruko-jakarta/ruko/RKR3de</t>
  </si>
  <si>
    <t>RKR3de</t>
  </si>
  <si>
    <t>Epicentrum Walk (Epiwalk) – ex-restaurant</t>
  </si>
  <si>
    <t>Shophouse in mall complex</t>
  </si>
  <si>
    <t>S79</t>
  </si>
  <si>
    <t>Ex-resto, furnished, 24h mall access</t>
  </si>
  <si>
    <t>Epicentrum Walk, Jl. HR Rasuna Said, Kuningan, Jakarta Selatan</t>
  </si>
  <si>
    <t>https://www.rumah123.com/properti/jakarta-pusat-menteng/disewakan-ex-resto-di-epiwalk-rasuna-said-kuningan-shr9910999/</t>
  </si>
  <si>
    <t>shr9910999</t>
  </si>
  <si>
    <t>Gido – GadingPro Menteng</t>
  </si>
  <si>
    <t>c. Aug 2026</t>
  </si>
  <si>
    <t>Added 8 Oct 2026 from results page; ad page would not open – confirm with agent.</t>
  </si>
  <si>
    <t>Benda Kemang</t>
  </si>
  <si>
    <t>S25</t>
  </si>
  <si>
    <t>Jl. Benda / Kemang, Jakarta Selatan</t>
  </si>
  <si>
    <t>https://www.flokq.com/sewa-ruko-jakarta/ruko/RKR422</t>
  </si>
  <si>
    <t>RKR422</t>
  </si>
  <si>
    <t>Confirmed (rounded '20,8 juta', nego).</t>
  </si>
  <si>
    <t>Kemang, Jakarta Selatan (no street given)</t>
  </si>
  <si>
    <t>https://www.flokq.com/sewa-ruko-jakarta/ruko/RKR3c0</t>
  </si>
  <si>
    <t>RKR3c0</t>
  </si>
  <si>
    <t>Confirmed. Near-twin of row 44 (RKR653).</t>
  </si>
  <si>
    <t>Kemang Raya</t>
  </si>
  <si>
    <t>Jl. Kemang Raya, near Kinderfield School, Jakarta Selatan</t>
  </si>
  <si>
    <t>https://www.flokq.com/sewa-ruko-jakarta/ruko/RKR71d</t>
  </si>
  <si>
    <t>RKR71d</t>
  </si>
  <si>
    <t>Jl. Kemang Raya, Jakarta Selatan</t>
  </si>
  <si>
    <t>https://www.flokq.com/sewa-ruko-jakarta/ruko/RKR653</t>
  </si>
  <si>
    <t>RKR653</t>
  </si>
  <si>
    <t>Confirmed. Floors not stated in ad.</t>
  </si>
  <si>
    <t>Kemang, Jakarta Selatan (no street; ad body wrongly says 'Kemang, Bogor')</t>
  </si>
  <si>
    <t>https://www.flokq.com/sewa-ruko-jakarta/ruko/RKR545</t>
  </si>
  <si>
    <t>RKR545</t>
  </si>
  <si>
    <t>Jl. Benda Raya</t>
  </si>
  <si>
    <t>Jl. Benda Raya No. 1, Kemang, Jakarta Selatan</t>
  </si>
  <si>
    <t>https://www.flokq.com/sewa-ruko-jakarta/ruko/RKR7fd</t>
  </si>
  <si>
    <t>RKR7fd</t>
  </si>
  <si>
    <t>Confirmed. Identical twin ad RKR961. Ad says 2 floors (model: 1).</t>
  </si>
  <si>
    <t>Kemang Utara</t>
  </si>
  <si>
    <t>Jl. Kemang Utara, Jakarta Selatan</t>
  </si>
  <si>
    <t>https://www.flokq.com/sewa-ruko-jakarta/ruko/RKR5f6</t>
  </si>
  <si>
    <t>RKR5f6</t>
  </si>
  <si>
    <t>Kemang Timur Raya</t>
  </si>
  <si>
    <t>Jl. Kemang Timur Raya, near Pasar Kemang, Jakarta Selatan</t>
  </si>
  <si>
    <t>https://www.flokq.com/sewa-ruko-jakarta/ruko/RKR729</t>
  </si>
  <si>
    <t>RKR729</t>
  </si>
  <si>
    <t>https://www.flokq.com/sewa-ruko-jakarta/ruko/RKR5b3</t>
  </si>
  <si>
    <t>RKR5b3</t>
  </si>
  <si>
    <t>S80</t>
  </si>
  <si>
    <t>Jl. Kemang Raya, Mampang Prapatan, Jakarta Selatan</t>
  </si>
  <si>
    <t>https://www.pinhome.id/disewa/ruko-sekunder/unit/disewakan-ruko-lokasi-strategis-di-kemang-raya-1</t>
  </si>
  <si>
    <t>I-78337</t>
  </si>
  <si>
    <t>Indah – Agen Kantor Properti</t>
  </si>
  <si>
    <t>not shown (photos c. 2022)</t>
  </si>
  <si>
    <t>Added 8 Oct 2026; confirmed on ad. May be stale – confirm availability.</t>
  </si>
  <si>
    <t>Bangka – 1-floor F&amp;B unit</t>
  </si>
  <si>
    <t>Ruko (single level)</t>
  </si>
  <si>
    <t>S81</t>
  </si>
  <si>
    <t>Min. 2 yrs; no alcohol / non-halal</t>
  </si>
  <si>
    <t>Bangka, Mampang Prapatan (Kemang), Jakarta Selatan</t>
  </si>
  <si>
    <t>https://kiosrumah.com/iklan/ruko/disewakan-ruko-kemang-1-lantai-untuk-f-b-bangka-mampang-prapat/26185</t>
  </si>
  <si>
    <t>TRK173</t>
  </si>
  <si>
    <t>Roby – Century21</t>
  </si>
  <si>
    <t>not shown (photos c. Nov 2024)</t>
  </si>
  <si>
    <t>Added 8 Oct 2026; confirmed on ad, marketed for F&amp;B. Confirm availability.</t>
  </si>
  <si>
    <t>Kemang Raya 10 – business space</t>
  </si>
  <si>
    <t>Commercial space</t>
  </si>
  <si>
    <t>S82</t>
  </si>
  <si>
    <t>https://www.rumah123.com/en/rent/jakarta-selatan/kemang/commercial-space/</t>
  </si>
  <si>
    <t>Added 8 Oct 2026 from results page; floors unknown.</t>
  </si>
  <si>
    <t>PIK</t>
  </si>
  <si>
    <t>Jl. Elang Laut, PIK</t>
  </si>
  <si>
    <t>S26</t>
  </si>
  <si>
    <t>Jl. Elang Laut, PIK 1, Jakarta Utara</t>
  </si>
  <si>
    <t>https://www.brighton.co.id/cari-properti/view/ruko-3-5-lantai-di-elang-laut-pantai-indah-kapuk</t>
  </si>
  <si>
    <t>091826-BRIM00005</t>
  </si>
  <si>
    <t>Andy Andreas – Brighton Impact Jelambar (probable)</t>
  </si>
  <si>
    <t>05 Oct 2026</t>
  </si>
  <si>
    <t>Confirmed. Description says LB 76.5 (inconsistent with 160).</t>
  </si>
  <si>
    <t>Stanford Boulevard, PIK 2</t>
  </si>
  <si>
    <t>Ruko Stanford Boulevard, unit A6, PIK 2, Jakarta Utara</t>
  </si>
  <si>
    <t>https://www.brighton.co.id/cari-properti/view/ruko-pik-2-stanford-boulevard-hadap-jalan-utama</t>
  </si>
  <si>
    <t>311026-PROBS00022</t>
  </si>
  <si>
    <t>02 Oct 2026</t>
  </si>
  <si>
    <t>Confirmed. 285m/yr on 2-yr lease, 275m on 3-yr; deposit 35m.</t>
  </si>
  <si>
    <t>Pasadena Walk, PIK 2</t>
  </si>
  <si>
    <t>Pasadena Walk, PIK 2, Jakarta Utara</t>
  </si>
  <si>
    <t>https://www.brighton.co.id/disewa/ruko/jakarta-utara/pantai-indah-kapuk</t>
  </si>
  <si>
    <t>NOT FOUND – individual ad not traceable (removed or on page 2+). Treat as unverified.</t>
  </si>
  <si>
    <t>Reference: Jakarta mall average (Colliers Q4 2024, S27): rent IDR 564,400 + service charge IDR 154,035 per m²/month</t>
  </si>
  <si>
    <t>SOURCES &amp; CALCULATION BASIS – Rent_Data</t>
  </si>
  <si>
    <t>Asking rent, period, m², floors (cols E, F, H, I)</t>
  </si>
  <si>
    <t>Per row in col K: S20–S26, S78–S82</t>
  </si>
  <si>
    <t>Copied from each listing as advertised (accessed 6–8 Oct 2026). Surface m² = total rented surface of the unit, all floors (LB for a ruko).</t>
  </si>
  <si>
    <t>Monthly rent (col G)</t>
  </si>
  <si>
    <t>Formula: asking rent ÷ 12 when quoted per year.</t>
  </si>
  <si>
    <t>IDR / m² / month (col J)</t>
  </si>
  <si>
    <t>Formula: monthly rent ÷ building m². Feeds P25 / median / P75 on the Location sheet.</t>
  </si>
  <si>
    <t>Mall reference (row 45)</t>
  </si>
  <si>
    <t>S27</t>
  </si>
  <si>
    <t>Colliers Q4 2024: IDR 564,400 rent + 154,035 service charge per m² per month.</t>
  </si>
  <si>
    <t>Limitation</t>
  </si>
  <si>
    <t>S28 (JLL), S29 (CBRE)</t>
  </si>
  <si>
    <t>Asking ≠ deal rents. Thin samples: Senopati main road 1 (fallback in use), Kuningan 2, PIK 3. Validate with 2 brokers.</t>
  </si>
  <si>
    <t>Location &amp; ad trail (cols M–T)</t>
  </si>
  <si>
    <t>S20–S26 individual ads (col P)</t>
  </si>
  <si>
    <t>Each row traced to its individual ad (URL, ID, advertiser, date) where the ad page opened; otherwise the results page is linked (col T says so). 33 listings, all 100–200 m². 6 added on 8 Oct 2026 (Senopati main road, Cipaku, Epiwalk, 3× Kemang).</t>
  </si>
  <si>
    <t>Location Economics – District Comparison</t>
  </si>
  <si>
    <t>Rent statistics come from Rent_Data. Scores and demand index are judgement inputs (blue) – replace with field observation (footfall counts, competitor mapping).</t>
  </si>
  <si>
    <t xml:space="preserve">Georaphical information would be really interesting to assess the areas. </t>
  </si>
  <si>
    <t xml:space="preserve">The choice of criteria as well as their weight may be edited depending on goals and findings from group1 </t>
  </si>
  <si>
    <t>Criteria weights →</t>
  </si>
  <si>
    <t>Tier</t>
  </si>
  <si>
    <t>Rent P25 (IDR/m²/mo)</t>
  </si>
  <si>
    <t>Rent median</t>
  </si>
  <si>
    <t>Rent P75</t>
  </si>
  <si>
    <t>n</t>
  </si>
  <si>
    <t>Service charge IDR/m²/mo</t>
  </si>
  <si>
    <t>Demand index (Senopati=1)</t>
  </si>
  <si>
    <t>Footfall</t>
  </si>
  <si>
    <t>Office density</t>
  </si>
  <si>
    <t>Target-customer fit</t>
  </si>
  <si>
    <t>Visibility / street</t>
  </si>
  <si>
    <t>Competition (5=low)</t>
  </si>
  <si>
    <t>Access (MRT etc.)</t>
  </si>
  <si>
    <t>Weighted score (/5)</t>
  </si>
  <si>
    <t>Monthly rent+SC for model unit</t>
  </si>
  <si>
    <t>Est. monthly revenue</t>
  </si>
  <si>
    <t>Occupancy cost % of revenue</t>
  </si>
  <si>
    <t>Est. EBITDA / month</t>
  </si>
  <si>
    <t>Break-even revenue / day</t>
  </si>
  <si>
    <t>Rent cap @12% → max monthly rent</t>
  </si>
  <si>
    <t>Main-road premium × (used while n &lt; 3)</t>
  </si>
  <si>
    <t>How to read: rent stats are per m² of total building area (ruko = whole multi-storey building). Model rent = rate × usable m² × GFA factor (Inputs).</t>
  </si>
  <si>
    <t>Columns Q–T use the ACTIVE scenario steady-state economics (Scenarios sheet) scaled by the district demand index; only rent &amp; service charge change by district.</t>
  </si>
  <si>
    <t>Occupancy cost benchmark: total rent + service charge ideally ≤ 10–12% of revenue for full-service restaurants (industry rule of thumb – verify with Jakarta operators).</t>
  </si>
  <si>
    <t>Upgrade path: replace demand index with a Huff gravity estimate (S40/S41) or with footfall counts at 3 comparable venues per district (Methods sheet).</t>
  </si>
  <si>
    <t>Filter: 100–200 m² of rented surface (all floors, any format: ruko, mall unit, single level). Senopati main road has &lt;3 listings → rent = side streets × premium V8 until ≥3 are added (switches automatically). Kuningan n=2 – low confidence.</t>
  </si>
  <si>
    <t>SOURCES &amp; CALCULATION BASIS – Location</t>
  </si>
  <si>
    <t>Rent P25 / median / P75, n (cols C–F)</t>
  </si>
  <si>
    <t>S20–S26 via Rent_Data</t>
  </si>
  <si>
    <t>PERCENTILE / MEDIAN / COUNT over each district's IDR per m² of rented surface per month in Rent_Data (listings of 100–200 m²). Senopati main road: if fewer than 3 listings, side-street stats × premium V8 = 2.27 (ratio of main-road to side-street medians in the unfiltered v0.3 sample, 270.6k / 119.2k).</t>
  </si>
  <si>
    <t>Service charge (col G)</t>
  </si>
  <si>
    <t>S27; S22/S23</t>
  </si>
  <si>
    <t>Street ruko = 0. SCBD 120k: podium/office F&amp;B listings quote rent 'excl. service charge' (S23); set below the Colliers mall average of 154k (S27). Kuningan 50k = mix of ruko and mall units. Estimates.</t>
  </si>
  <si>
    <t>Demand index (col H)</t>
  </si>
  <si>
    <t>S46 Volume_Proxy (in-zone velocity); S28/S29</t>
  </si>
  <si>
    <t>Relative revenue potential vs Senopati = 1.0. Team judgement informed by competitor review velocity; replace with a Huff gravity estimate (S40/S41).</t>
  </si>
  <si>
    <t>Criteria scores (cols I–N, 1–5)</t>
  </si>
  <si>
    <t>S28, S29, S46, S30</t>
  </si>
  <si>
    <t>Team scoring of footfall, office density, customer fit, visibility, competition, access. Qualitative – document evidence per score after field visits.</t>
  </si>
  <si>
    <t>Criteria weights (I4:N4)</t>
  </si>
  <si>
    <t>Team weighting (sum = 100%).</t>
  </si>
  <si>
    <t>Est. revenue, EBITDA, break-even (cols Q–T)</t>
  </si>
  <si>
    <t>Scenarios sheet</t>
  </si>
  <si>
    <t>Active-scenario steady state × demand index, with the district's own rent.</t>
  </si>
  <si>
    <t>Occupancy cost % (col R) and rent cap 12% (col U)</t>
  </si>
  <si>
    <t>S49 (10%, ideal 6–7%); S51 (≤8–10%)</t>
  </si>
  <si>
    <t>Rent + SC ÷ revenue. Note the 12% cap in col U is above both benchmarks – a strict test would use 10%.</t>
  </si>
  <si>
    <t>Revenue Build-up &amp; Capacity Check (RevPASH logic, Kimes)</t>
  </si>
  <si>
    <t>Mature daily demand by daypart (from Inputs) tested against seat capacity. Dwell times are blue inputs – measure them at comparable venues.</t>
  </si>
  <si>
    <t xml:space="preserve">Notes from Jonas: </t>
  </si>
  <si>
    <t>To estimate the revenue per daypart, I need informations on Indonesian coutumes: what times do they eat? what kind of F/B at what time of the day?</t>
  </si>
  <si>
    <t>Additionally, how large is the demande for delivery in Jakarta, which part of the sales will come from this mode of consumption? Needs further research</t>
  </si>
  <si>
    <t>Seats (dining area ÷ m² per seat)</t>
  </si>
  <si>
    <t>Daypart</t>
  </si>
  <si>
    <t>Hours</t>
  </si>
  <si>
    <t>Guests / day</t>
  </si>
  <si>
    <t>Avg net spend</t>
  </si>
  <si>
    <t>Daily revenue (IDR)</t>
  </si>
  <si>
    <t>Take-away share</t>
  </si>
  <si>
    <t>Dine-in guests</t>
  </si>
  <si>
    <t>Avg dwell (min)</t>
  </si>
  <si>
    <t>Seat capacity (guests)</t>
  </si>
  <si>
    <t>Seat utilisation</t>
  </si>
  <si>
    <t>RevPASH (IDR / seat-hour)</t>
  </si>
  <si>
    <t>Morning 07–11</t>
  </si>
  <si>
    <t>Lunch 11–15</t>
  </si>
  <si>
    <t>Afternoon 15–18</t>
  </si>
  <si>
    <t>Dinner 18–22</t>
  </si>
  <si>
    <t>In-store total</t>
  </si>
  <si>
    <t>Delivery (orders × gross app value)</t>
  </si>
  <si>
    <t>TOTAL F&amp;B per trading day</t>
  </si>
  <si>
    <t>Blended avg net spend per in-store guest</t>
  </si>
  <si>
    <t>MATURE MONTHLY REVENUE (year-1 prices)</t>
  </si>
  <si>
    <t>F&amp;B in-store</t>
  </si>
  <si>
    <t>F&amp;B delivery</t>
  </si>
  <si>
    <t>Events &amp; B2B</t>
  </si>
  <si>
    <t>Retail</t>
  </si>
  <si>
    <t>Total monthly revenue</t>
  </si>
  <si>
    <t>Annualised revenue</t>
  </si>
  <si>
    <t>Capacity check</t>
  </si>
  <si>
    <t>Notes: utilisation = dine-in guests ÷ (seats × hours × 60 / dwell). Real seat occupancy is lower than 100% because party sizes don't fill tables (typically 70–85% max). RevPASH = dine-in revenue per available seat-hour (Kimes, S37).</t>
  </si>
  <si>
    <t>Low utilisation at base demand suggests the 150 m² / 60 seats could be smaller – test 120 m² in Inputs (rent &amp; CAPEX fall).</t>
  </si>
  <si>
    <t>SOURCES &amp; CALCULATION BASIS – Revenue</t>
  </si>
  <si>
    <t>Seats (C4)</t>
  </si>
  <si>
    <t>S35</t>
  </si>
  <si>
    <t>150 m² × 60% dining ÷ 1.5 m²/seat.</t>
  </si>
  <si>
    <t>Daypart hours (B7:B10)</t>
  </si>
  <si>
    <t>Opening 07:00–22:00 = 15 hours. Assumption.</t>
  </si>
  <si>
    <t>Guests &amp; spend per daypart (C, D)</t>
  </si>
  <si>
    <t>See Inputs rows 31–38 (S46, S43, S31, S33)</t>
  </si>
  <si>
    <t>Linked from Inputs – derivations are in Inputs col K.</t>
  </si>
  <si>
    <t>Dwell times (H7:H10: 30 / 50 / 45 / 75 min)</t>
  </si>
  <si>
    <t>S77 (operators: ~1 hour typical, 30 min for a quarter); S37/S38 (measure duration)</t>
  </si>
  <si>
    <t>Lunch 50 and dinner 75 min bracket the ~1-hour typical stay; morning 30 min matches the café visit. To be measured at comparables (Kimes method).</t>
  </si>
  <si>
    <t>Delivery orders &amp; value (row 12)</t>
  </si>
  <si>
    <t>S30, S46</t>
  </si>
  <si>
    <t>Linked from Inputs rows 39–40.</t>
  </si>
  <si>
    <t>Capacity threshold 85% (E25)</t>
  </si>
  <si>
    <t>S37 (RevPASH logic)</t>
  </si>
  <si>
    <t>Peak-daypart seat utilisation above 85% treated as unrealistic – practical rule of thumb.</t>
  </si>
  <si>
    <t>Staff Structure &amp; Payroll Cost</t>
  </si>
  <si>
    <t>Two shifts covering ~15 opening hours, 7 days. Headcount &amp; base salaries are blue inputs; on-costs from Inputs. Salaries must be ≥ UMP.</t>
  </si>
  <si>
    <t>Note from Jonas</t>
  </si>
  <si>
    <t>The minimal wage is know for Jakarta (~5'900'000/ month), the other wages will depend on the expertise required (depends on the complexity of the dishes and beverages…)</t>
  </si>
  <si>
    <t>The Headcount will depends on factors such as the level of robotization, the surface of the restaurant</t>
  </si>
  <si>
    <t>Role</t>
  </si>
  <si>
    <t>Headcount</t>
  </si>
  <si>
    <t>Base salary / month (IDR)</t>
  </si>
  <si>
    <t>Salary after level factor</t>
  </si>
  <si>
    <t>UMP check</t>
  </si>
  <si>
    <t>Gross salaries</t>
  </si>
  <si>
    <t>BPJS employer</t>
  </si>
  <si>
    <t>THR accrual</t>
  </si>
  <si>
    <t>Meals/uniform/transport</t>
  </si>
  <si>
    <t>Total monthly cost</t>
  </si>
  <si>
    <t>Source ID(s) &amp; key facts</t>
  </si>
  <si>
    <t>How the salary was derived</t>
  </si>
  <si>
    <t>Store / general manager</t>
  </si>
  <si>
    <t>S75 (store manager 10–20m; F&amp;B manager 12–25m); S73 (restaurant mgmt ads Jaksel avg 6.3m = supervisor level)</t>
  </si>
  <si>
    <t>16m ≈ mid-point of S75 store-manager range (10–20m), +1m for a flagship.</t>
  </si>
  <si>
    <t>Head chef</t>
  </si>
  <si>
    <t>S09 (exec chef 11–14m); S08 (head chef avg 7.3m, n=11)</t>
  </si>
  <si>
    <t>13m = upper part of S09 exec-chef band (concept chef for pasta/Italian).</t>
  </si>
  <si>
    <t>Sous chef / chef de partie</t>
  </si>
  <si>
    <t>S09 (sous chef 5–9m)</t>
  </si>
  <si>
    <t>9m = top of S09 sous-chef range (Jakarta premium).</t>
  </si>
  <si>
    <t>Line cooks (pasta station, grill)</t>
  </si>
  <si>
    <t>S04 (UMP 5.73m); S09 (CDP 3–6m outside Jakarta)</t>
  </si>
  <si>
    <t>UMP 5.73m + ~13% skill premium ≈ 6.5m.</t>
  </si>
  <si>
    <t>Kitchen helper / steward</t>
  </si>
  <si>
    <t>S04 (UMP 5.73m)</t>
  </si>
  <si>
    <t>≈ UMP rounded up (5.8m).</t>
  </si>
  <si>
    <t>Head barista</t>
  </si>
  <si>
    <t>S06 (head barista 6.5–10m)</t>
  </si>
  <si>
    <t>8.5m ≈ mid-point (8.25m) of S06 range.</t>
  </si>
  <si>
    <t>Baristas</t>
  </si>
  <si>
    <t>S06 (barista 3.5–7.5m); S07 (avg 3.21m self-reported); S04 UMP floor</t>
  </si>
  <si>
    <t>6.0m = UMP 5.73m + small premium; S06/S07 values below UMP are not legal for full-time staff.</t>
  </si>
  <si>
    <t>Floor / service staff</t>
  </si>
  <si>
    <t>S04 (UMP 5.73m); S74 (waiter ads avg 2.8m – below UMP)</t>
  </si>
  <si>
    <t>5.9m ≈ UMP. Job-ad wages (S74) are below UMP → not usable for full-time compliant staffing.</t>
  </si>
  <si>
    <t>Cashier / host</t>
  </si>
  <si>
    <t>5.9m ≈ UMP.</t>
  </si>
  <si>
    <t>TOTAL</t>
  </si>
  <si>
    <t>Helper: Σ headcount × base salary (before level factor) – used by Scenarios</t>
  </si>
  <si>
    <t>Labour hours check: staff × 173 h ÷ (opening hours × 30)</t>
  </si>
  <si>
    <t>≈ average staff on duty per opening hour (40 h/week contracts)</t>
  </si>
  <si>
    <t>Notes: Indonesian law (UU 13/2003 as amended) – 40 h/week; overtime premium; THR = 1 month salary before Lebaran; BPJS per S05. Expat GM (KITAS, higher salary) would add ~IDR 40–60m/month – not included.</t>
  </si>
  <si>
    <t>SOURCES &amp; CALCULATION BASIS – Staffing</t>
  </si>
  <si>
    <t>Headcount B5:B13</t>
  </si>
  <si>
    <t>Team staffing plan: 2 shifts × ~15 opening hours × 7 days; check J17 (≈ 6.5 staff on duty per opening hour). Validate with 2–3 Jakarta operators.</t>
  </si>
  <si>
    <t>Salary floor (UMP) used in col E</t>
  </si>
  <si>
    <t>S04</t>
  </si>
  <si>
    <t>Jakarta UMP 2026 IDR 5,729,876 – every full-time salary must be ≥ this.</t>
  </si>
  <si>
    <t>BPJS employer % (col G)</t>
  </si>
  <si>
    <t>S05</t>
  </si>
  <si>
    <t>3.7 + 2 + 0.3 + 4 = 10% + JKK 0.24–1.74% → 10.2–11.7%; see Inputs row 61.</t>
  </si>
  <si>
    <t>THR accrual (col H)</t>
  </si>
  <si>
    <t>S76</t>
  </si>
  <si>
    <t>1 month wage ÷ 12 months = 8.33%.</t>
  </si>
  <si>
    <t>Meals/uniform/transport (col I)</t>
  </si>
  <si>
    <t>IDR per head per month – assumption (Inputs row 63).</t>
  </si>
  <si>
    <t>Labour-hours check (J17)</t>
  </si>
  <si>
    <t>UU 13/2003 (40 h/week ≈ 173 h/month)</t>
  </si>
  <si>
    <t>Staff × 173 h ÷ (15 opening hours × 30 days) = average staff on duty per hour.</t>
  </si>
  <si>
    <t>Benchmark cross-check: staff % revenue</t>
  </si>
  <si>
    <t>S49 (labour 29.4% FSR); S51 (prime ≤60–65%)</t>
  </si>
  <si>
    <t>Model staff cost ÷ revenue at maturity, to compare with the 26.9–29.4% benchmark range.</t>
  </si>
  <si>
    <t>Operating Costs – Fixed &amp; Variable (active scenario, year-1 prices)</t>
  </si>
  <si>
    <t>Fixed lines link to Inputs; variable lines are % drivers applied in PnL_Monthly. Rent &amp; staff shown for completeness.</t>
  </si>
  <si>
    <t>Jonas Note:</t>
  </si>
  <si>
    <t xml:space="preserve">this sheet helps me to have an idea of the different operating costs. For now it relies on assumptions that I have not confirmed. </t>
  </si>
  <si>
    <t xml:space="preserve">I want to check the fixed costs and give a range instead of a number. </t>
  </si>
  <si>
    <t>Cost line</t>
  </si>
  <si>
    <t>Monthly (IDR)</t>
  </si>
  <si>
    <t>Driver</t>
  </si>
  <si>
    <t>Comment</t>
  </si>
  <si>
    <t>Fixed overheads</t>
  </si>
  <si>
    <t>Sub-total fixed overheads</t>
  </si>
  <si>
    <t>Electricity (kWh × B-2 tariff)</t>
  </si>
  <si>
    <t>kWh × tariff</t>
  </si>
  <si>
    <t>Sub-total utilities</t>
  </si>
  <si>
    <t>Equipment leases, rentals &amp; sponsor premiums (Lease mode, months 1–36)</t>
  </si>
  <si>
    <t>CAPEX (Rent) col U</t>
  </si>
  <si>
    <t>Booked in PnL_Monthly row 34 (ends per contract term)</t>
  </si>
  <si>
    <t>Occupancy &amp; staff (from other sheets)</t>
  </si>
  <si>
    <t>Rent (rate × m² × GFA factor, incl. gross-up)</t>
  </si>
  <si>
    <t>Escalates yearly in PnL_Monthly</t>
  </si>
  <si>
    <t>Service charge / CAM</t>
  </si>
  <si>
    <t>Staff (Staffing sheet)</t>
  </si>
  <si>
    <t>Variable cost drivers (% – applied in PnL_Monthly)</t>
  </si>
  <si>
    <t>F&amp;B revenue (added to Menu blended cost)</t>
  </si>
  <si>
    <t>Take-away + delivery revenue</t>
  </si>
  <si>
    <t>F&amp;B revenue</t>
  </si>
  <si>
    <t>Delivery revenue (+ VAT on fee)</t>
  </si>
  <si>
    <t>In-store revenue</t>
  </si>
  <si>
    <t>Total revenue</t>
  </si>
  <si>
    <t>Blended F&amp;B cost % (Menu + adjustment)</t>
  </si>
  <si>
    <t>SOURCES &amp; CALCULATION BASIS – OPEX</t>
  </si>
  <si>
    <t>Local management (B6)</t>
  </si>
  <si>
    <t>S75</t>
  </si>
  <si>
    <t>See Inputs row 65.</t>
  </si>
  <si>
    <t>Accounting, insurance, software, cleaning, other (B7:B11)</t>
  </si>
  <si>
    <t>S67 (POS only); S03/S15</t>
  </si>
  <si>
    <t>Mostly assumptions – quotes needed (Inputs rows 66–70).</t>
  </si>
  <si>
    <t>Electricity (B15)</t>
  </si>
  <si>
    <t>S55, S11</t>
  </si>
  <si>
    <t>≈ 9,000 kWh (S55 benchmark, 70% electric) × IDR 1,444.70/kWh.</t>
  </si>
  <si>
    <t>Water &amp; gas (B16)</t>
  </si>
  <si>
    <t>S56, S57</t>
  </si>
  <si>
    <t>~120 m³ water + ~15 LPG cylinders per month.</t>
  </si>
  <si>
    <t>Rent &amp; service charge (B20:B21)</t>
  </si>
  <si>
    <t>S20–S27, S14</t>
  </si>
  <si>
    <t>Rate × 150 m² × GFA factor (× gross-up) – Location/Rent_Data.</t>
  </si>
  <si>
    <t>Staff (B22)</t>
  </si>
  <si>
    <t>S04–S09, S73–S76</t>
  </si>
  <si>
    <t>Staffing sheet total.</t>
  </si>
  <si>
    <t>Variable % drivers (B25:B33)</t>
  </si>
  <si>
    <t>S12, S47–S49, S52–S54</t>
  </si>
  <si>
    <t>Food-cost adj., packaging, waste, delivery commission, payment fees, marketing, R&amp;M, misc. – see Inputs rows 47–57.</t>
  </si>
  <si>
    <t>Blended F&amp;B cost (B34)</t>
  </si>
  <si>
    <t>Menu blended cost % + scenario adjustment.</t>
  </si>
  <si>
    <t>Investment Requirement (CAPEX &amp; pre-opening)</t>
  </si>
  <si>
    <t>Blue = base quantities/unit costs (get 3 quotes each). Final amount applies the scenario cost factor (hard costs) and non-recoverable VAT.</t>
  </si>
  <si>
    <t xml:space="preserve">This modelling assumes that the material is bought. However I want to consider leasing some materials, which can significantly impact this sheet. </t>
  </si>
  <si>
    <t>I now want to evaluate the tradeoffs of buying/ leasing some of these items, and compare different brands to get the best value for money</t>
  </si>
  <si>
    <t>Seats (from Revenue sheet)</t>
  </si>
  <si>
    <t>Block</t>
  </si>
  <si>
    <t>Quantity</t>
  </si>
  <si>
    <t>Unit cost (IDR)</t>
  </si>
  <si>
    <t>Base amount (IDR)</t>
  </si>
  <si>
    <t>Cost factor? (1/0)</t>
  </si>
  <si>
    <t>VAT? (1/0)</t>
  </si>
  <si>
    <t>Final amount (IDR)</t>
  </si>
  <si>
    <t>Final (CHF)</t>
  </si>
  <si>
    <t>% of total</t>
  </si>
  <si>
    <t>How the amount was derived / check vs source</t>
  </si>
  <si>
    <t>A Hard</t>
  </si>
  <si>
    <t>Civil works, MEP, AC, kitchen exhaust &amp; grease trap</t>
  </si>
  <si>
    <t>S10 (premium café fit-out IDR 4.5–6.5m/m²; civil 20–30% + MEP 15–20%)</t>
  </si>
  <si>
    <t>(20–30% + 15–20%) × 4.5–6.5m/m² = 1.6–3.25m/m²; 3.2m/m² = top of range because kitchen exhaust, grease trap and AC are included.</t>
  </si>
  <si>
    <t>Interior, furniture &amp; decor</t>
  </si>
  <si>
    <t>S10 (furniture &amp; fit-out 35–45% of premium budget)</t>
  </si>
  <si>
    <t>35–45% × 4.5–6.5m/m² × 150 m² = IDR 236–439m ÷ 60 seats = 3.9–7.3m/seat → 5.0m/seat mid-range.</t>
  </si>
  <si>
    <t>Design &amp; supervision fee</t>
  </si>
  <si>
    <t>S10 (design ~10% of build)</t>
  </si>
  <si>
    <t>10% × (civil/MEP + interior).</t>
  </si>
  <si>
    <t>Kitchen: combi oven</t>
  </si>
  <si>
    <t>S68 (iCombi Pro 6-1/1E GBP 5,519 ex VAT); S71 (GBP/IDR 23,680)</t>
  </si>
  <si>
    <t>5,519 × 23,680 = IDR 130.7m UK dealer price; + ~30–40% import duty, freight, local margin &amp; installation ≈ IDR 170–185m. ⚠ v0.1 value (280m) is ~50% above this – review or justify (stand, water softener?).</t>
  </si>
  <si>
    <t>Kitchen: pasta cookers / induction range</t>
  </si>
  <si>
    <t>Quote needed (pasta boilers, induction range).</t>
  </si>
  <si>
    <t>Kitchen: refrigeration (reach-in, under-counter, chiller)</t>
  </si>
  <si>
    <t>Quote needed.</t>
  </si>
  <si>
    <t>Kitchen: hood, ventilation &amp; fire suppression</t>
  </si>
  <si>
    <t>Quote needed – may be landlord scope.</t>
  </si>
  <si>
    <t>Kitchen: prep tables, sinks, dishwasher</t>
  </si>
  <si>
    <t>Coffee: espresso machine (2-group, premium)</t>
  </si>
  <si>
    <t>S69 (La Marzocco Linea PB 2-group GBP 11,748 ex VAT); S71</t>
  </si>
  <si>
    <t>11,748 × 23,680 = IDR 278m UK dealer price. ⚠ v0.1 value (220m) is ~20% below – OK only with a cheaper model (e.g. Linea Classic) or local distributor price.</t>
  </si>
  <si>
    <t>Coffee: grinders (espresso + filter)</t>
  </si>
  <si>
    <t>S70 (Mahlkönig E65S USD 2,949; EK43 USD 3,899); S72 (USD/IDR 17,895)</t>
  </si>
  <si>
    <t>E65S 2,949 × 17,895 = IDR 52.8m; EK43 3,899 × 17,895 = 69.8m; average ≈ 61m per grinder before import costs. ⚠ v0.1 (40m each) looks ~35% low.</t>
  </si>
  <si>
    <t>Coffee: brew bar, water filtration</t>
  </si>
  <si>
    <t>Drinks: blenders, juicer, ice machine</t>
  </si>
  <si>
    <t>Quote needed (functional-drink equipment).</t>
  </si>
  <si>
    <t>Smallwares, tableware, uniforms</t>
  </si>
  <si>
    <t>Assumption.</t>
  </si>
  <si>
    <t>Branding &amp; signage (facade, menu boards)</t>
  </si>
  <si>
    <t>No source (reklame permit: Jakarta Bapenda)</t>
  </si>
  <si>
    <t>POS &amp; technology (POS, KDS, Wi-Fi, CCTV, sound)</t>
  </si>
  <si>
    <t>S67 (Moka POS subscription – opex only)</t>
  </si>
  <si>
    <t>Hardware (POS terminals, KDS, Wi-Fi, CCTV, sound) – quote needed.</t>
  </si>
  <si>
    <t>Sub-total A – hard costs</t>
  </si>
  <si>
    <t>B Soft</t>
  </si>
  <si>
    <t>Company setup: PT PMA, notary, OSS, consultant</t>
  </si>
  <si>
    <t>S65 (PT PMA setup IDR 45.7–113m incl. KITAS)</t>
  </si>
  <si>
    <t>90m = upper-middle of S65 range (incl. one KITAS and consultant).</t>
  </si>
  <si>
    <t>Licences &amp; permits (SLHS, halal, PBG/SLF, fire, reklame)</t>
  </si>
  <si>
    <t>S66 (halal: 12.5m registration + 3.68m LPH inspection); S03 (SLHS, PBG/SLF, fire, environment)</t>
  </si>
  <si>
    <t>Halal ≈ 16.2m sourced; remaining ~44m for SLHS, PBG/SLF, fire certificate, reklame is an assumption.</t>
  </si>
  <si>
    <t>Pre-opening marketing &amp; launch</t>
  </si>
  <si>
    <t>Brief; S52 (marketing 3–6%)</t>
  </si>
  <si>
    <t>180m ≈ 25% of one mature month's revenue (IDR 736m). Launch budget is an assumption.</t>
  </si>
  <si>
    <t>Recruitment &amp; training (incl. trainer travel from CH)</t>
  </si>
  <si>
    <t>Brief</t>
  </si>
  <si>
    <t>Recruitment + trainer flights/stay from Switzerland – assumption.</t>
  </si>
  <si>
    <t>Opening inventory (food, coffee, packaging)</t>
  </si>
  <si>
    <t>Brief; Menu sheet food cost</t>
  </si>
  <si>
    <t>≈ 2–3 weeks of mature COGS (≈ IDR 200m/month) → 120m. Approximation.</t>
  </si>
  <si>
    <t>Pre-opening utilities, deposits &amp; misc.</t>
  </si>
  <si>
    <t>Pre-opening payroll (months × full staff cost)</t>
  </si>
  <si>
    <t>Staffing sheet; Inputs preopen_pay</t>
  </si>
  <si>
    <t>Months × full monthly staff cost (formula).</t>
  </si>
  <si>
    <t>Sub-total B – soft / pre-opening</t>
  </si>
  <si>
    <t>C Cont.</t>
  </si>
  <si>
    <t>Contingency reserve (% of A + B)</t>
  </si>
  <si>
    <t>S64 via Inputs contingency</t>
  </si>
  <si>
    <t>% × (hard + soft) – formula.</t>
  </si>
  <si>
    <t>D Lease</t>
  </si>
  <si>
    <t>Rent during fit-out (before opening)</t>
  </si>
  <si>
    <t>Inputs fitout_m; Rent_Data/Location</t>
  </si>
  <si>
    <t>Formula: months × monthly rent + SC.</t>
  </si>
  <si>
    <t>Rent prepayment – first block</t>
  </si>
  <si>
    <t>Inputs prepay_m; S20/S21</t>
  </si>
  <si>
    <t>Formula: months × monthly rent.</t>
  </si>
  <si>
    <t>Security deposit (refundable)</t>
  </si>
  <si>
    <t>Inputs deposit_m</t>
  </si>
  <si>
    <t>E WC</t>
  </si>
  <si>
    <t>Working-capital reserve (staff + fixed opex + utilities)</t>
  </si>
  <si>
    <t>Inputs wc_months</t>
  </si>
  <si>
    <t>Formula: months × (staff + fixed opex + utilities).</t>
  </si>
  <si>
    <t>TOTAL INVESTMENT REQUIREMENT</t>
  </si>
  <si>
    <t>Helpers for Scenarios / PnL</t>
  </si>
  <si>
    <t>Hard costs before cost factor, incl. VAT</t>
  </si>
  <si>
    <t>Soft costs excl. pre-opening payroll, incl. VAT</t>
  </si>
  <si>
    <t>Depreciable base (hard costs + their contingency share)</t>
  </si>
  <si>
    <t>Cash spent before opening (total less WC reserve)</t>
  </si>
  <si>
    <t>Note: pre-opening soft costs are expensed under IFRS; here they are treated as part of the investment (cash view). Only hard costs are depreciated.</t>
  </si>
  <si>
    <t>SOURCES &amp; CALCULATION BASIS – CAPEX (sheet-level parameters)</t>
  </si>
  <si>
    <t>Cost factor applied to hard costs (col F)</t>
  </si>
  <si>
    <t>S64</t>
  </si>
  <si>
    <t>Overrun/savings factor from Inputs row 75.</t>
  </si>
  <si>
    <t>Non-recoverable VAT (col G)</t>
  </si>
  <si>
    <t>S03</t>
  </si>
  <si>
    <t>11% VAT added because restaurants (PBJT regime) cannot reclaim input VAT.</t>
  </si>
  <si>
    <t>Contingency % (row 31)</t>
  </si>
  <si>
    <t>10% = renovation benchmark (5% ground-up).</t>
  </si>
  <si>
    <t>Seats driving interior cost (C4)</t>
  </si>
  <si>
    <t>Dining area ÷ 1.5 m²/seat (Revenue!C4).</t>
  </si>
  <si>
    <t>CHF conversion (col I)</t>
  </si>
  <si>
    <t>S16</t>
  </si>
  <si>
    <t>IDR ÷ FX rate.</t>
  </si>
  <si>
    <t>⚠ Equipment checks vs dealer prices</t>
  </si>
  <si>
    <t>S68, S69, S70</t>
  </si>
  <si>
    <t>Combi oven looks ~50% high, espresso ~20% low, grinders ~35% low vs converted UK/US dealer prices (rows 10, 15, 16). Net effect small, but get Jakarta distributor quotes before 22 Oct.</t>
  </si>
  <si>
    <t>Investment Requirement – LEASE / SPONSOR view (CAPEX &amp; pre-opening)</t>
  </si>
  <si>
    <t>Same items and values as CAPEX (Buy). Each equipment line picks a financing route in column N; upfront cash goes into the investment, monthly payments go into the P&amp;L (Inputs!H4 = 2 switches the whole model to this sheet).</t>
  </si>
  <si>
    <t>This modelling assumes that the material is leased .</t>
  </si>
  <si>
    <t>v0.6:</t>
  </si>
  <si>
    <t>Completed 16 Oct 2026 – leasing/rental/sponsorship researched per item (S83–S104). Routes: 1 = Buy (cash) · 2 = Finance lease (sewa guna usaha, BFI-type) · 3 = Operating rental (sewa) · 4 = Sponsored / supplier loan (pinjam pakai). Yellow col N = your choice per line.</t>
  </si>
  <si>
    <t>Unit value (IDR) – = Buy sheet</t>
  </si>
  <si>
    <t>UPFRONT CASH (IDR)</t>
  </si>
  <si>
    <t>Upfront (CHF)</t>
  </si>
  <si>
    <t>% of upfront total</t>
  </si>
  <si>
    <t>Route (1–4)</t>
  </si>
  <si>
    <t>Route name</t>
  </si>
  <si>
    <t>Provider / company</t>
  </si>
  <si>
    <t>Rental fee / month excl. VAT (route 3)</t>
  </si>
  <si>
    <t>Sponsor cost / month excl. VAT (route 4)</t>
  </si>
  <si>
    <t>Refundable deposit (routes 3–4)</t>
  </si>
  <si>
    <t>Equipment value incl. VAT (= cash price if bought)</t>
  </si>
  <si>
    <t>Monthly payment (IDR, incl. VAT)</t>
  </si>
  <si>
    <t>Term (months)</t>
  </si>
  <si>
    <t>5-year cash cost (IDR)</t>
  </si>
  <si>
    <t>5-yr premium (+) / saving (−) vs buying</t>
  </si>
  <si>
    <t>Upfront cash freed vs buying</t>
  </si>
  <si>
    <t>Owned at end?</t>
  </si>
  <si>
    <t>Check</t>
  </si>
  <si>
    <t>S10 (via CAPEX (Buy) row 8)</t>
  </si>
  <si>
    <t>Not leasable – fixed to the building; paid in contractor stages. Biggest remaining cash lever = landlord fit-out contribution / rent-free months (not modelled).</t>
  </si>
  <si>
    <t>Fit-out contractor (3 quotes)</t>
  </si>
  <si>
    <t>Interior: built-in joinery, finishes, lighting &amp; decor</t>
  </si>
  <si>
    <t>S10 (via Buy row 9)</t>
  </si>
  <si>
    <t>(1 − loose-furniture share) × Buy row 9. Custom-built – no rental market.</t>
  </si>
  <si>
    <t>Interior contractor</t>
  </si>
  <si>
    <t>Interior: loose furniture (chairs, tables, stools)</t>
  </si>
  <si>
    <t>S86 (GoWork IDR 150k/unit/month excl. tax, min. 50 units)</t>
  </si>
  <si>
    <t>Share × Buy row 9. Rental in col Q ≈ seats × 1.33 × IDR 150k ≈ IDR 12m/month → ≈ 6× the purchase price over 5 years, and GoWork stock is office furniture. Kept as Buy – set N = 3 to test.</t>
  </si>
  <si>
    <t>Buy; rental alt.: GoWork</t>
  </si>
  <si>
    <t>S10 (via Buy row 10)</t>
  </si>
  <si>
    <t>Service – cannot be leased.</t>
  </si>
  <si>
    <t>Architect / designer</t>
  </si>
  <si>
    <t>S83 (BFI: 30% DP, 9.4% flat/36 m, 1.25% provision); S90 (Unox 5-tray IDR 113.5m)</t>
  </si>
  <si>
    <t>Finance lease on the Buy-sheet value. ⚠ A local Unox 5-tray is IDR 113.5m vs IDR 280m in the Buy sheet – choosing Unox cuts the cash and the lease cost by ~60%.</t>
  </si>
  <si>
    <t>BFI Finance (alt.: Mitsubishi HC Capital, SMFL); supplier Astro Mesin / Gastro</t>
  </si>
  <si>
    <t>S83</t>
  </si>
  <si>
    <t>Above the IDR 100m BFI minimum; bundle with combi oven and refrigeration in one kitchen-package contract.</t>
  </si>
  <si>
    <t>BFI Finance – same contract as combi oven</t>
  </si>
  <si>
    <t>Kitchen: refrigeration (reach-in, under-counter, freezer)</t>
  </si>
  <si>
    <t>S83; S87 (Refcon upright IDR 0.88–1.58m/month)</t>
  </si>
  <si>
    <t>(1 − display share) × Buy row 13. Rental (col Q) = 3 × 1.58m + 2 × 0.7m ≈ IDR 6.1m/month → ~2.9× buy over 5 years, so finance lease is preferred.</t>
  </si>
  <si>
    <t>BFI Finance; rental alt.: Refcon YukSewa</t>
  </si>
  <si>
    <t>Drinks display chiller (front of house)</t>
  </si>
  <si>
    <t>S94 (drink brands lend showcases against sales volume); S104; S87/S98 rental fallback</t>
  </si>
  <si>
    <t>Brand lends the chiller against listing + minimum volume. ⚠ Brand logo on the unit – check fit with CORSA premium look. Fallback rental in col Q.</t>
  </si>
  <si>
    <t>Beverage brand (e.g. CCEP Indonesia / Coca-Cola, water or dairy brands)</t>
  </si>
  <si>
    <t>Buy row 14</t>
  </si>
  <si>
    <t>Fixed installation (ducting) – not financeable.</t>
  </si>
  <si>
    <t>MEP contractor (may be landlord scope)</t>
  </si>
  <si>
    <t>Kitchen: stainless prep tables &amp; sinks</t>
  </si>
  <si>
    <t>S97 (SeADa rents worktables/sinks – event use)</t>
  </si>
  <si>
    <t>(1 − dishwasher share) × Buy row 15. Low value, custom sizes → buy.</t>
  </si>
  <si>
    <t>Stainless fabricator</t>
  </si>
  <si>
    <t>Kitchen: dishwasher (glass &amp; dish)</t>
  </si>
  <si>
    <t>S89 (Ecolab dishmachine rental: no upfront, 24/7 service &amp; parts)</t>
  </si>
  <si>
    <t>Machine placed by chemical supplier, recovered through detergent contract. Premium IDR 1.5m/month = assumption; confirm programme exists in Jakarta.</t>
  </si>
  <si>
    <t>Ecolab / Diversey chemical programme</t>
  </si>
  <si>
    <t>S85 (free machine for 15 kg/month, 6-month min.); S84/S88 (rental IDR 3.5–3.65m/month); S91 (Linea PB IDR 163.3m)</t>
  </si>
  <si>
    <t>Sponsor cost = coffee kg/month × bean premium (params). Roasters usually lend a mid-range 2-group; a Linea PB-level machine needs ≥ ~50 kg/month. ⚠ Buy value 220m vs local Linea PB 163.3m.</t>
  </si>
  <si>
    <t>Jakarta roaster bean contract (Empo, Delta, specialty roasters); rental alt.: Cafémaker / Serviamo</t>
  </si>
  <si>
    <t>S85</t>
  </si>
  <si>
    <t>Included with the machine (cost on espresso row). If renting instead, ask whether grinder is in the package.</t>
  </si>
  <si>
    <t>Included in roaster package</t>
  </si>
  <si>
    <t>Buy row 18</t>
  </si>
  <si>
    <t>Low value; cartridges are opex. Often included in roaster packages – ask.</t>
  </si>
  <si>
    <t>Buy (ask roaster to include filter)</t>
  </si>
  <si>
    <t>Buy row 19; S101 (ice ≈ IDR 1–4k/kg)</t>
  </si>
  <si>
    <t>Below BFI minimum on its own. Alternative: no ice machine, daily tube-ice delivery (~IDR 4–6m/month at 50 kg/day) – costlier than buying within a year.</t>
  </si>
  <si>
    <t>Buy</t>
  </si>
  <si>
    <t>Buy row 20</t>
  </si>
  <si>
    <t>Consumables – buy.</t>
  </si>
  <si>
    <t>Buy row 21</t>
  </si>
  <si>
    <t>Custom &amp; permitted (reklame) – not leasable.</t>
  </si>
  <si>
    <t>Signage contractor</t>
  </si>
  <si>
    <t>S96 (Moka devices IDR 0.2–6m); S95 (POS rental IDR 3.5m/month); S92 (ORIX IT operating lease 1–4 yrs)</t>
  </si>
  <si>
    <t>Renting a POS (IDR 3.5m/month) costs more than the hardware within a year → buy.</t>
  </si>
  <si>
    <t>Buy; rental alt.: MTM Solusindo / ORIX IT lease</t>
  </si>
  <si>
    <t>Sub-total A – hard costs (upfront cash)</t>
  </si>
  <si>
    <t>Same as Buy sheet – soft costs are cash in both views.</t>
  </si>
  <si>
    <t>Contingency reserve (% of A + B upfront cash)</t>
  </si>
  <si>
    <t>% × upfront hard + soft. Lower base than Buy because leased/sponsored items carry little overrun risk.</t>
  </si>
  <si>
    <t>Working-capital reserve (staff + fixed opex + utilities + equipment payments)</t>
  </si>
  <si>
    <t>Months × (staff + fixed opex + utilities + monthly lease/rental/sponsor payments).</t>
  </si>
  <si>
    <t>TOTAL INVESTMENT REQUIREMENT – LEASE VIEW</t>
  </si>
  <si>
    <t>Helpers for Scenarios / PnL / Funding (read by other sheets when Inputs!H4 = 2)</t>
  </si>
  <si>
    <t>Hard costs upfront before cost factor, incl. VAT (→ Scenarios row 48)</t>
  </si>
  <si>
    <t>Soft costs excl. pre-opening payroll, incl. VAT (→ Scenarios row 49)</t>
  </si>
  <si>
    <t>Depreciable base: bought items only + contingency share (→ PnL row 37)</t>
  </si>
  <si>
    <t>Monthly equipment payments – months 1 to tenor (→ PnL row 34, OPEX row 19)</t>
  </si>
  <si>
    <t>Monthly equipment payments after finance leases end</t>
  </si>
  <si>
    <t>Upfront cash freed vs CAPEX (Buy) total</t>
  </si>
  <si>
    <t>5-year extra cost of leasing/sponsorship vs buying (sum col X)</t>
  </si>
  <si>
    <t>BUY vs LEASE – SUMMARY (both views live, independent of the switch)</t>
  </si>
  <si>
    <t>Metric</t>
  </si>
  <si>
    <t>Buy (cash)</t>
  </si>
  <si>
    <t>Lease / sponsor</t>
  </si>
  <si>
    <t>Difference (Lease − Buy)</t>
  </si>
  <si>
    <t>Total investment requirement (IDR)</t>
  </si>
  <si>
    <t>Total investment requirement (CHF)</t>
  </si>
  <si>
    <t>Gap vs CHF 200k founder equity (+ = bank/extra equity needed)</t>
  </si>
  <si>
    <t>Hard-cost upfront cash (IDR)</t>
  </si>
  <si>
    <t>Equipment payments per month – months 1–36 (IDR)</t>
  </si>
  <si>
    <t>Equipment payments per month – months 37–60 (IDR)</t>
  </si>
  <si>
    <t>5-year equipment cash cost (IDR)</t>
  </si>
  <si>
    <t>Depreciation per month (IDR)</t>
  </si>
  <si>
    <t>Check: equipment values tie to CAPEX (Buy) hard costs</t>
  </si>
  <si>
    <t>Active CAPEX mode in the model (Inputs!H4)</t>
  </si>
  <si>
    <t>LEASE, RENTAL &amp; SPONSORSHIP PARAMETERS (blue = input – edit here; feed columns H, Q–W above)</t>
  </si>
  <si>
    <t>Value</t>
  </si>
  <si>
    <t>Source ID</t>
  </si>
  <si>
    <t>Note / how used</t>
  </si>
  <si>
    <t>Finance lease tenor</t>
  </si>
  <si>
    <t>BFI machine leasing: 12–36 months. 36 = longest tenor, lowest monthly payment.</t>
  </si>
  <si>
    <t>Finance lease flat rate p.a. (on amount financed)</t>
  </si>
  <si>
    <t>% flat</t>
  </si>
  <si>
    <t>BFI example: 9.40% flat for 36 months (9.02% for 24 m). Published range 8–10% flat.</t>
  </si>
  <si>
    <t>Security deposit / down payment</t>
  </si>
  <si>
    <t>% of value</t>
  </si>
  <si>
    <t>BFI: 30–40% (30% for Chinese, Japanese &amp; European machines). Treated as a down payment (offsets the residual).</t>
  </si>
  <si>
    <t>Provision fee</t>
  </si>
  <si>
    <t>% of financed</t>
  </si>
  <si>
    <t>BFI: provisi 1.25% of amount financed.</t>
  </si>
  <si>
    <t>Commitment fee</t>
  </si>
  <si>
    <t>BFI example: 1% of net-to-finance (another part of the page says 2%).</t>
  </si>
  <si>
    <t>Fixed fees (tagging + policy)</t>
  </si>
  <si>
    <t>IDR/contract</t>
  </si>
  <si>
    <t>Tagging fee IDR 300k + insurance policy fee IDR 50k.</t>
  </si>
  <si>
    <t>Equipment insurance (paid upfront, full tenor)</t>
  </si>
  <si>
    <t>% p.a. of value</t>
  </si>
  <si>
    <t>0.25% p.a. of unit price; BFI example charges 0.75% for 3 years upfront.</t>
  </si>
  <si>
    <t>Minimum unit price financed</t>
  </si>
  <si>
    <t>BFI minimum; smaller items must be bundled into one kitchen-package contract.</t>
  </si>
  <si>
    <t>→ Equivalent effective rate p.a. (computed)</t>
  </si>
  <si>
    <t>% p.a.</t>
  </si>
  <si>
    <t>RATE() on the flat-rate instalment: 9.4% flat over 36 months ≈ 17% effective. Compare: bank loan in Inputs row 84.</t>
  </si>
  <si>
    <t>Comparison horizon</t>
  </si>
  <si>
    <t>Model</t>
  </si>
  <si>
    <t>5-year model life (= depreciation life, Inputs row 81). Rentals &amp; sponsor deals assumed to run the whole horizon.</t>
  </si>
  <si>
    <t>Coffee dose per cup</t>
  </si>
  <si>
    <t>g</t>
  </si>
  <si>
    <t>Assumption</t>
  </si>
  <si>
    <t>Double shot 18 g (filter 15 g) – barista standard.</t>
  </si>
  <si>
    <t>Coffee waste (calibration, purges)</t>
  </si>
  <si>
    <t>Dial-in &amp; waste allowance.</t>
  </si>
  <si>
    <t>→ Coffee volume at maturity (computed)</t>
  </si>
  <si>
    <t>kg/month</t>
  </si>
  <si>
    <t>Menu, Scenarios</t>
  </si>
  <si>
    <t>Guests/day × coffee units per guest (Menu G13:G17) × dose × (1+waste) × trading days.</t>
  </si>
  <si>
    <t>Bean price premium charged by roaster for machine loan</t>
  </si>
  <si>
    <t>IDR/kg</t>
  </si>
  <si>
    <t>Assumption (S85)</t>
  </si>
  <si>
    <t>KEY ASSUMPTION – the roaster recovers the machine through the bean price. Get 3 written offers (Empo, Delta, specialty roasters).</t>
  </si>
  <si>
    <t>Typical roaster minimum volume for a commercial machine loan</t>
  </si>
  <si>
    <t>Cafémaker lends an office machine for 15 kg/month; a 2-group commercial machine usually needs more.</t>
  </si>
  <si>
    <t>Furniture rental rate</t>
  </si>
  <si>
    <t>IDR/unit/month</t>
  </si>
  <si>
    <t>S86</t>
  </si>
  <si>
    <t>GoWork: IDR 150k per chair or table per month, excl. tax, min. 50 units, deposit at signing.</t>
  </si>
  <si>
    <t>Furniture units per seat</t>
  </si>
  <si>
    <t>units/seat</t>
  </si>
  <si>
    <t>1 chair per seat + 1 table per 3 seats.</t>
  </si>
  <si>
    <t>Upright chiller/freezer rental</t>
  </si>
  <si>
    <t>S87</t>
  </si>
  <si>
    <t>Refcon YukSewa: IDR 880k–1.58m/month (deposit IDR 1.1–1.3m). Top type used for commercial duty.</t>
  </si>
  <si>
    <t>Number of upright units</t>
  </si>
  <si>
    <t>2 chillers + 1 freezer for a 60-seat pasta kitchen.</t>
  </si>
  <si>
    <t>Smaller fridge rental</t>
  </si>
  <si>
    <t>Refcon kulkas: IDR 310k–700k/month.</t>
  </si>
  <si>
    <t>Number of smaller units</t>
  </si>
  <si>
    <t>Under-counter / bar fridges.</t>
  </si>
  <si>
    <t>Display chiller rental (fallback if no sponsor)</t>
  </si>
  <si>
    <t>S87, S98</t>
  </si>
  <si>
    <t>Refcon showcase IDR 260–390k; Jagoan Sewa 500–650k (180–280 L).</t>
  </si>
  <si>
    <t>Number of display chillers</t>
  </si>
  <si>
    <t>Front-of-house drinks &amp; retail fridge.</t>
  </si>
  <si>
    <t>Espresso machine rental (fallback if no roaster deal)</t>
  </si>
  <si>
    <t>S84, S88</t>
  </si>
  <si>
    <t>Cafémaker IDR 3.65m/month (maintenance + backup machine); Serviamo coffee-shop package from IDR 3.5m/month, min. 6 months.</t>
  </si>
  <si>
    <t>Dishwasher programme – premium over normal chemical spend</t>
  </si>
  <si>
    <t>Assumption (S89)</t>
  </si>
  <si>
    <t>Ecolab-type programme: no upfront, service &amp; parts included, paid through the chemical contract. Confirm with Ecolab/Diversey Indonesia.</t>
  </si>
  <si>
    <t>Rental deposit</t>
  </si>
  <si>
    <t>months of fee</t>
  </si>
  <si>
    <t>S86, S87</t>
  </si>
  <si>
    <t>GoWork &amp; Refcon both take a deposit at signing (Refcon ≈ 1 month).</t>
  </si>
  <si>
    <t>Loose furniture share of interior budget (Buy row 9)</t>
  </si>
  <si>
    <t>Rest = built-in joinery, finishes, lighting, decor (not rentable).</t>
  </si>
  <si>
    <t>Display-chiller share of refrigeration budget (Buy row 13)</t>
  </si>
  <si>
    <t>Rest = kitchen reach-in / under-counter / freezer.</t>
  </si>
  <si>
    <t>Dishwasher share of prep/sinks/dishwasher budget (Buy row 15)</t>
  </si>
  <si>
    <t>Rest = stainless tables &amp; sinks.</t>
  </si>
  <si>
    <t>Local price check – Unox Cheftop 5-tray electric combi</t>
  </si>
  <si>
    <t>S90</t>
  </si>
  <si>
    <t>Astro Mesin list price (XEVC-0511-EPRM). Buy sheet uses IDR 280m (Rational level).</t>
  </si>
  <si>
    <t>Local price check – La Marzocco Linea PB AV 2-group</t>
  </si>
  <si>
    <t>S91</t>
  </si>
  <si>
    <t>Otten Coffee price list (2024). Buy sheet uses IDR 220m.</t>
  </si>
  <si>
    <t>PROVIDER DIRECTORY – who can lease, rent or sponsor what in Jakarta (contact for 3 quotes each)</t>
  </si>
  <si>
    <t>Company / provider</t>
  </si>
  <si>
    <t>Route</t>
  </si>
  <si>
    <t>Items it can cover</t>
  </si>
  <si>
    <t>Offer &amp; terms found</t>
  </si>
  <si>
    <t>Price evidence</t>
  </si>
  <si>
    <t>PT BFI Finance Indonesia Tbk</t>
  </si>
  <si>
    <t>2</t>
  </si>
  <si>
    <t>Combi oven, pasta station, kitchen refrigeration (fallback: espresso machine)</t>
  </si>
  <si>
    <t>Machine finance lease, 12–36 months, 30–40% security deposit, machine is sole collateral, Java &amp; Bali only, min. unit IDR 100m. Needs deed, NPWP, licences + 6 months bank statements → a brand-new PT PMA may need a director/parent guarantee.</t>
  </si>
  <si>
    <t>8–10% flat p.a. (9.40% flat/36 m ≈ 17% effective); provision 1.25%; commitment 1–2%; insurance 0.25% p.a.</t>
  </si>
  <si>
    <t>PT Mitsubishi HC Capital and Finance Indonesia</t>
  </si>
  <si>
    <t>Kitchen package (alternative lessor)</t>
  </si>
  <si>
    <t>Japanese-owned multifinance; used to foreign-owned clients. No public rates – request quote.</t>
  </si>
  <si>
    <t>Quote needed</t>
  </si>
  <si>
    <t>S99</t>
  </si>
  <si>
    <t>PT SMFL Leasing Indonesia (Sumitomo Mitsui)</t>
  </si>
  <si>
    <t>Japanese-owned equipment lessor. No public rates – request quote.</t>
  </si>
  <si>
    <t>S100</t>
  </si>
  <si>
    <t>PT ORIX Indonesia Finance</t>
  </si>
  <si>
    <t>3</t>
  </si>
  <si>
    <t>POS terminals, laptops, IT (and vehicles)</t>
  </si>
  <si>
    <t>Operating lease of vehicles &amp; IT equipment, 1–4 years, IDR only, PT or CV with 6 months bank statements. Machinery not covered.</t>
  </si>
  <si>
    <t>Rates on request</t>
  </si>
  <si>
    <t>S92</t>
  </si>
  <si>
    <t>PT Cafe Maker Indonesia (Cafémaker, Bekasi) + Eleven Thirty Roastery</t>
  </si>
  <si>
    <t>3 / 4</t>
  </si>
  <si>
    <t>Espresso machine, grinder, beans</t>
  </si>
  <si>
    <t>Monthly machine rental with free routine maintenance and backup machine if repair &gt; 24 h; special buy-out price after 3 years. Office programme: free machine against 15 kg/month beans, 6-month minimum.</t>
  </si>
  <si>
    <t>IDR 3.65m/month (model not stated); free machine for 15 kg/month</t>
  </si>
  <si>
    <t>S84, S85</t>
  </si>
  <si>
    <t>Serviamo (serviamo.id)</t>
  </si>
  <si>
    <t>Espresso machine (coffee-shop package)</t>
  </si>
  <si>
    <t>Coffee-shop package from IDR 3.5m/month, min. 6 months (monthly billing needs ≥ 1-year contract); service every 3–4 months; barista training.</t>
  </si>
  <si>
    <t>From IDR 3.5m/month</t>
  </si>
  <si>
    <t>S88</t>
  </si>
  <si>
    <t>Jakarta roasters – Empo Coffee Roastery, Delta Coffee (+ specialty roasters to approach)</t>
  </si>
  <si>
    <t>4</t>
  </si>
  <si>
    <t>Espresso machine + grinders against a bean contract</t>
  </si>
  <si>
    <t>B2B/HORECA supply desks listed; machine-loan terms not published → ask for written offer: machine model, kg minimum, bean price, contract length, exit fee.</t>
  </si>
  <si>
    <t>Model assumption: +IDR 40k/kg</t>
  </si>
  <si>
    <t>S102, S103</t>
  </si>
  <si>
    <t>Refcon Indonesia – YukSewa</t>
  </si>
  <si>
    <t>Upright chiller/freezer, fridges, display chillers</t>
  </si>
  <si>
    <t>Monthly rental with deposit per unit.</t>
  </si>
  <si>
    <t>Upright IDR 0.88–1.58m/month (deposit 1.1–1.3m); fridge 0.31–0.70m; showcase 0.26–0.39m</t>
  </si>
  <si>
    <t>Jagoan Sewa</t>
  </si>
  <si>
    <t>Display chillers (short term)</t>
  </si>
  <si>
    <t>Event-oriented; deposit IDR 300k/unit; delivery IDR 185–200k.</t>
  </si>
  <si>
    <t>Showcase 180–280 L: IDR 500–650k/month</t>
  </si>
  <si>
    <t>S98</t>
  </si>
  <si>
    <t>Beverage brands – PT Coca-Cola Europacific Partners Indonesia and other drink brands</t>
  </si>
  <si>
    <t>Drinks display chiller</t>
  </si>
  <si>
    <t>Showcases lent free to outlets that meet sales-volume / listing conditions, via sales rep proposal.</t>
  </si>
  <si>
    <t>Free (conditional)</t>
  </si>
  <si>
    <t>S94, S104</t>
  </si>
  <si>
    <t>Ecolab / Diversey (warewashing programmes)</t>
  </si>
  <si>
    <t>Dishwasher</t>
  </si>
  <si>
    <t>Dishmachine rental: no upfront investment, 24/7 service &amp; parts, tied to chemical supply. Source is Ecolab US page – confirm offer in Indonesia.</t>
  </si>
  <si>
    <t>Model assumption: IDR 1.5m/month premium</t>
  </si>
  <si>
    <t>S89</t>
  </si>
  <si>
    <t>GoWork (furniture rental)</t>
  </si>
  <si>
    <t>Chairs &amp; tables</t>
  </si>
  <si>
    <t>Monthly rental, min. 50 units total, deposit at signing, damage charged, 5%/day late return; office-style stock only.</t>
  </si>
  <si>
    <t>IDR 150k/unit/month excl. tax</t>
  </si>
  <si>
    <t>SeADa – Sewa Alat Dapur</t>
  </si>
  <si>
    <t>Worktables, sinks, burners, fryers, bain-marie</t>
  </si>
  <si>
    <t>Kitchen equipment rental (projects in Kemang, Kuningan, Menteng); price list on request; event-oriented.</t>
  </si>
  <si>
    <t>S97</t>
  </si>
  <si>
    <t>MTM Solusindo</t>
  </si>
  <si>
    <t>POS hardware + software</t>
  </si>
  <si>
    <t>Android POS set (cash drawer, printer, customer display) monthly, no 1-year commitment.</t>
  </si>
  <si>
    <t>IDR 3.5m/month incl. software</t>
  </si>
  <si>
    <t>S95</t>
  </si>
  <si>
    <t>Astro Mesin / PT Gastro Gizi Sarana (Unox)</t>
  </si>
  <si>
    <t>Supplier</t>
  </si>
  <si>
    <t>Combi oven</t>
  </si>
  <si>
    <t>Supplier to quote for the lessor (lessor pays supplier, you pay lessor).</t>
  </si>
  <si>
    <t>Unox Cheftop 5-tray electric IDR 113.5m; 10-tray IDR 209.75m</t>
  </si>
  <si>
    <t>Otten Coffee</t>
  </si>
  <si>
    <t>Espresso machines</t>
  </si>
  <si>
    <t>Local La Marzocco price reference.</t>
  </si>
  <si>
    <t>Linea PB AV 2-group IDR 163.3m; Linea Classic EE 2-group IDR 111m</t>
  </si>
  <si>
    <t>SOURCES &amp; CALCULATION BASIS – CAPEX (Lease)</t>
  </si>
  <si>
    <t>Finance-lease instalment (col U, route 2)</t>
  </si>
  <si>
    <t>Value × (1 − 30%) × (1/36 + 9.4%/12). Check vs BFI example: IDR 210m financed × (1/36 + 0.094/12) = IDR 7.48m/month = BFI table (IDR 7,480,000).</t>
  </si>
  <si>
    <t>Finance-lease upfront (col H, route 2)</t>
  </si>
  <si>
    <t>30% deposit + (1.25% provision + 1% commitment) × financed + IDR 350k fees + 0.25% p.a. insurance × 3 years.</t>
  </si>
  <si>
    <t>Coffee kg/month (sponsor cost, espresso row)</t>
  </si>
  <si>
    <t>Guests/day × coffee units per 100 guests ÷ 100 × 18 g × 1.1 × trading days.</t>
  </si>
  <si>
    <t>VAT on rentals &amp; sponsor fees</t>
  </si>
  <si>
    <t>11% VAT on rental and bean premium is not recoverable (PBJT regime) → added in col U. Finance-lease instalments are a financial service (no VAT); VAT is inside the financed value. 2% PPh 23 on rentals is withheld, not an extra cost.</t>
  </si>
  <si>
    <t>Accounting treatment</t>
  </si>
  <si>
    <t>PSAK 73 / IFRS 16</t>
  </si>
  <si>
    <t>Cash view: all lease/rental/sponsor payments run through fixed costs (PnL row 34), so EBITDA is conservative (under PSAK 73 a finance lease sits below EBITDA). Only route-1 items are depreciated (col N = 1).</t>
  </si>
  <si>
    <t>Method</t>
  </si>
  <si>
    <t>Lender appetite</t>
  </si>
  <si>
    <t>S93</t>
  </si>
  <si>
    <t>Multifinance investment financing fell 5.33% y/y to IDR 167.9tn in H1 2026 – lessors are selective; a new PT PMA without trading history should expect guarantees or a higher deposit.</t>
  </si>
  <si>
    <t>Funding, Bank Need &amp; PT PMA Capital Check</t>
  </si>
  <si>
    <t>Is CHF 200k enough? Does the bank have to be involved? Compares investment need with equity and Indonesian foreign-investment rules.</t>
  </si>
  <si>
    <t>Jonas note;</t>
  </si>
  <si>
    <t>I had a brief look at what a PT PMA is but have not been into details</t>
  </si>
  <si>
    <t>Funding is also a questions where I have little information for the moment, and therefore I did not</t>
  </si>
  <si>
    <t xml:space="preserve">spend much time on. @Sam: What scope is expected from us </t>
  </si>
  <si>
    <t>Total investment requirement (active CAPEX sheet – Inputs!H4)</t>
  </si>
  <si>
    <t>Brief: CHF 200k</t>
  </si>
  <si>
    <t>Bank loan (if switched on)</t>
  </si>
  <si>
    <t>Local banks rarely lend to a new PT PMA without collateral/track record – likely a Swiss loan to the parent or shareholder loan</t>
  </si>
  <si>
    <t>Additional equity still required</t>
  </si>
  <si>
    <t>Must be zero for the plan to be funded</t>
  </si>
  <si>
    <t>Cash surplus at opening (equity beyond need)</t>
  </si>
  <si>
    <t>Opening cash at month 1 (WC reserve + surplus)</t>
  </si>
  <si>
    <t>Feeds PnL_Monthly</t>
  </si>
  <si>
    <t>Loan terms</t>
  </si>
  <si>
    <t>Interest rate p.a.</t>
  </si>
  <si>
    <t>Tenor (months)</t>
  </si>
  <si>
    <t>Monthly annuity payment</t>
  </si>
  <si>
    <t>Debt service cover (year-2 EBITDA ÷ year-2 debt service)</t>
  </si>
  <si>
    <t>Banks usually want ≥ 1.25–1.5x</t>
  </si>
  <si>
    <t>PT PMA CAPITAL RULES (BKPM Reg. 5/2025 – confirm with Indonesian lawyer)</t>
  </si>
  <si>
    <t>Required minimum paid-up capital (IDR 2.5bn × KBLI codes)</t>
  </si>
  <si>
    <t>Founder equity vs paid-up requirement</t>
  </si>
  <si>
    <t>Required investment plan declared in OSS (IDR 10bn × KBLI)</t>
  </si>
  <si>
    <t>Model investment vs. investment plan</t>
  </si>
  <si>
    <t>If &lt;100%: the plan must be realised over time (more outlets) or another structure is needed – key legal question</t>
  </si>
  <si>
    <t>Structuring options to discuss with a lawyer (not verified): local partner PT (PMDN) with licence/franchise from CORSA; JV; master franchise; PT PMA sized for a multi-outlet roll-out.</t>
  </si>
  <si>
    <t>SOURCES &amp; CALCULATION BASIS – Funding</t>
  </si>
  <si>
    <t>Total investment (B5)</t>
  </si>
  <si>
    <t>CAPEX sheet (S10, S64–S70)</t>
  </si>
  <si>
    <t>Linked from CAPEX!H36.</t>
  </si>
  <si>
    <t>Founder equity (B6)</t>
  </si>
  <si>
    <t>Brief; S16</t>
  </si>
  <si>
    <t>CHF 200,000 × FX rate.</t>
  </si>
  <si>
    <t>Loan rate &amp; tenor (B14:B15)</t>
  </si>
  <si>
    <t>S19, S17, S49</t>
  </si>
  <si>
    <t>8.01% SBDK + ~2.5 pp risk premium; tenor 48 months within 3–5 yr benchmark.</t>
  </si>
  <si>
    <t>Debt service cover target (D17: 1.25–1.5x)</t>
  </si>
  <si>
    <t>Common bank covenant level – confirm with lender.</t>
  </si>
  <si>
    <t>PT PMA paid-up capital &amp; investment plan (rows 20–23)</t>
  </si>
  <si>
    <t>IDR 2.5bn paid-up and IDR 10bn plan per KBLI (BKPM Reg. 5/2025).</t>
  </si>
  <si>
    <t>Scenario Comparison – Steady-State Unit Economics (mature month, year-1 prices)</t>
  </si>
  <si>
    <t>Each column reads its own scenario column in Inputs, so all three are always live. Column F = active scenario. Full monthly dynamics → PnL_Monthly.</t>
  </si>
  <si>
    <t xml:space="preserve">As mentionned previously: the scenarios need further refinements and confirmation </t>
  </si>
  <si>
    <t>Line</t>
  </si>
  <si>
    <t>Volume &amp; revenue</t>
  </si>
  <si>
    <t>Guests per day (in-store)</t>
  </si>
  <si>
    <t>In-store revenue per day</t>
  </si>
  <si>
    <t>Avg net spend per guest</t>
  </si>
  <si>
    <t>Delivery revenue per day</t>
  </si>
  <si>
    <t>F&amp;B revenue per month</t>
  </si>
  <si>
    <t>TOTAL REVENUE / MONTH</t>
  </si>
  <si>
    <t>Total revenue / year</t>
  </si>
  <si>
    <t>Variable costs</t>
  </si>
  <si>
    <t>COGS (F&amp;B + events + retail)</t>
  </si>
  <si>
    <t>Packaging</t>
  </si>
  <si>
    <t>Waste &amp; spoilage</t>
  </si>
  <si>
    <t>Delivery commission (+VAT on fee)</t>
  </si>
  <si>
    <t>Payment fees</t>
  </si>
  <si>
    <t>Marketing, maintenance, misc., royalty</t>
  </si>
  <si>
    <t>Total variable costs</t>
  </si>
  <si>
    <t>Contribution margin</t>
  </si>
  <si>
    <t>Contribution margin %</t>
  </si>
  <si>
    <t>Fixed costs</t>
  </si>
  <si>
    <t>Staff (incl. BPJS, THR, benefits)</t>
  </si>
  <si>
    <t>Rent (incl. gross-up)</t>
  </si>
  <si>
    <t>Fixed overheads (mgmt, accounting, insurance…) + equipment payments in Lease mode</t>
  </si>
  <si>
    <t>Total fixed costs</t>
  </si>
  <si>
    <t>Fixed costs excl. rent &amp; service charge</t>
  </si>
  <si>
    <t>Profitability</t>
  </si>
  <si>
    <t>EBITDA / month (steady state)</t>
  </si>
  <si>
    <t>EBITDA / year</t>
  </si>
  <si>
    <t>Food &amp; beverage cost % of revenue</t>
  </si>
  <si>
    <t>Staff cost % of revenue</t>
  </si>
  <si>
    <t>Benchmark ≤ 60–65%</t>
  </si>
  <si>
    <t>Benchmark ≤ 10–12%</t>
  </si>
  <si>
    <t>Break-even</t>
  </si>
  <si>
    <t>Break-even revenue / month</t>
  </si>
  <si>
    <t>Break-even revenue / trading day</t>
  </si>
  <si>
    <t>Break-even guests / day (at current channel mix)</t>
  </si>
  <si>
    <t>Margin of safety (revenue above break-even)</t>
  </si>
  <si>
    <t>Investment &amp; payback</t>
  </si>
  <si>
    <t>Hard costs (incl. VAT, cost factor)</t>
  </si>
  <si>
    <t>Soft costs incl. pre-opening payroll</t>
  </si>
  <si>
    <t>Contingency</t>
  </si>
  <si>
    <t>Lease (fit-out rent, prepayment, deposit)</t>
  </si>
  <si>
    <t>Working-capital reserve</t>
  </si>
  <si>
    <t>TOTAL INVESTMENT</t>
  </si>
  <si>
    <t>Total investment</t>
  </si>
  <si>
    <t>Gap vs founder equity (+ = need bank/extra equity)</t>
  </si>
  <si>
    <t>Simple payback (years) = investment ÷ annual EBITDA after tax</t>
  </si>
  <si>
    <t>Steady state – ignores ramp-up; see Dashboard for full-model payback</t>
  </si>
  <si>
    <t>Check: ACTIVE investment equals CAPEX sheet total</t>
  </si>
  <si>
    <t>Check: ACTIVE revenue equals Revenue sheet total</t>
  </si>
  <si>
    <t>SOURCES &amp; CALCULATION BASIS – Scenarios</t>
  </si>
  <si>
    <t>Scenario columns C/D/E</t>
  </si>
  <si>
    <t>Inputs cols E/F/G</t>
  </si>
  <si>
    <t>Each column reads its own scenario column in Inputs – every number traces back to Inputs col I/K.</t>
  </si>
  <si>
    <t>Revenue lines (rows 6–14)</t>
  </si>
  <si>
    <t>S31, S33, S43, S46</t>
  </si>
  <si>
    <t>Guests × spend per daypart + delivery + events + retail (Inputs rows 31–43).</t>
  </si>
  <si>
    <t>Variable costs (rows 16–22)</t>
  </si>
  <si>
    <t>S12, S47–S54</t>
  </si>
  <si>
    <t>% drivers from Inputs rows 47–57 × relevant revenue base.</t>
  </si>
  <si>
    <t>Fixed costs (rows 26–31)</t>
  </si>
  <si>
    <t>S04–S11, S20–S27, S55–S57, S73–S76</t>
  </si>
  <si>
    <t>Staffing, rent, utilities, overheads.</t>
  </si>
  <si>
    <t>Break-even (rows 42–46)</t>
  </si>
  <si>
    <t>Methods sheet</t>
  </si>
  <si>
    <t>Fixed costs ÷ contribution margin % ÷ 30 days; guests = revenue ÷ blended spend.</t>
  </si>
  <si>
    <t>Benchmarks for KPI rows 37–40</t>
  </si>
  <si>
    <t>S49 (food 28.5–30.3%, labour 26.9–29.4%, prime 55–60%); S51 (prime ≤60–65%, occupancy ≤8–10%)</t>
  </si>
  <si>
    <t>Use these ranges to judge the model's food %, staff %, prime cost % and occupancy %.</t>
  </si>
  <si>
    <t>Payback after tax (row 56)</t>
  </si>
  <si>
    <t>S15 (CIT 22%)</t>
  </si>
  <si>
    <t>Investment ÷ (annual EBITDA × (1 − 22%)).</t>
  </si>
  <si>
    <t>Monthly P&amp;L and Cash Flow – 13 months (active scenario)</t>
  </si>
  <si>
    <t>Ramp-up, seasonality, price/wage/rent escalation, rent prepayment timing, loan and tax. All formulas – do not type over.</t>
  </si>
  <si>
    <t>Month #</t>
  </si>
  <si>
    <t>Month</t>
  </si>
  <si>
    <t>Operating year</t>
  </si>
  <si>
    <t>Ramp-up %</t>
  </si>
  <si>
    <t>Seasonality index</t>
  </si>
  <si>
    <t>Volume factor (ramp × season)</t>
  </si>
  <si>
    <t>Price index</t>
  </si>
  <si>
    <t>Wage index</t>
  </si>
  <si>
    <t>Opex inflation index</t>
  </si>
  <si>
    <t>REVENUE</t>
  </si>
  <si>
    <t>F&amp;B delivery (gross)</t>
  </si>
  <si>
    <t>TOTAL REVENUE</t>
  </si>
  <si>
    <t>VARIABLE COSTS</t>
  </si>
  <si>
    <t>Food &amp; beverage cost</t>
  </si>
  <si>
    <t>Delivery commission (+VAT)</t>
  </si>
  <si>
    <t>Marketing</t>
  </si>
  <si>
    <t>Repairs &amp; maintenance</t>
  </si>
  <si>
    <t>Miscellaneous + royalty</t>
  </si>
  <si>
    <t>CONTRIBUTION AFTER VARIABLE COSTS</t>
  </si>
  <si>
    <t>FIXED COSTS</t>
  </si>
  <si>
    <t>Rent (P&amp;L, escalates yearly)</t>
  </si>
  <si>
    <t>Fixed overheads (+ equipment lease/rental/sponsor payments in Lease mode)</t>
  </si>
  <si>
    <t>EBITDA</t>
  </si>
  <si>
    <t>Depreciation</t>
  </si>
  <si>
    <t>Interest</t>
  </si>
  <si>
    <t>Profit before tax</t>
  </si>
  <si>
    <t>Cumulative profit before tax (loss carry-forward helper)</t>
  </si>
  <si>
    <t>Corporate income tax (on cumulative profit)</t>
  </si>
  <si>
    <t>NET INCOME</t>
  </si>
  <si>
    <t>CASH FLOW</t>
  </si>
  <si>
    <t>Rent paid in cash (prepaid blocks; first block in CAPEX)</t>
  </si>
  <si>
    <t>Rent timing adjustment (P&amp;L rent − cash rent)</t>
  </si>
  <si>
    <t>Loan principal repaid</t>
  </si>
  <si>
    <t>Net cash flow</t>
  </si>
  <si>
    <t>Opening cash</t>
  </si>
  <si>
    <t>CLOSING CASH</t>
  </si>
  <si>
    <t>PROJECT VIEW (unlevered, for payback &amp; IRR)</t>
  </si>
  <si>
    <t>Project free cash flow (EBITDA + rent timing − tax)</t>
  </si>
  <si>
    <t>Cumulative FCF less total investment</t>
  </si>
  <si>
    <t>Payback month flag</t>
  </si>
  <si>
    <t>Tax note: simplified – tax on cumulative profit (loss carry-forward, Indonesia allows 5 yrs). Instalments (PPh 25), withholding and fiscal corrections ignored.</t>
  </si>
  <si>
    <t>SOURCES &amp; CALCULATION BASIS – PnL_Monthly</t>
  </si>
  <si>
    <t>Ramp-up % (row 7)</t>
  </si>
  <si>
    <t>S60, S36</t>
  </si>
  <si>
    <t>Linear from month-1 % to 100% over ramp months (Inputs rows 44–45).</t>
  </si>
  <si>
    <t>Seasonality (row 8)</t>
  </si>
  <si>
    <t>S58, S59</t>
  </si>
  <si>
    <t>Calendar-month index from Inputs rows 90–101 (Ramadan Feb–Mar 2027).</t>
  </si>
  <si>
    <t>Price, wage, opex indices (rows 10–12)</t>
  </si>
  <si>
    <t>S18, S04</t>
  </si>
  <si>
    <t>Compounded yearly by price increase, wage growth, opex inflation.</t>
  </si>
  <si>
    <t>Rent escalation &amp; prepayment timing</t>
  </si>
  <si>
    <t>S20/S21; assumption</t>
  </si>
  <si>
    <t>Rent rises yearly; cash paid in prepaid blocks (Inputs rows 26–27).</t>
  </si>
  <si>
    <t>S61</t>
  </si>
  <si>
    <t>Depreciable CAPEX ÷ 5 years straight-line.</t>
  </si>
  <si>
    <t>Interest &amp; principal</t>
  </si>
  <si>
    <t>S19</t>
  </si>
  <si>
    <t>Annuity loan from Funding sheet.</t>
  </si>
  <si>
    <t>Corporate tax</t>
  </si>
  <si>
    <t>S15; UU PPh art. 6(2) (5-year loss carry-forward)</t>
  </si>
  <si>
    <t>22% on cumulative positive profit (simplified).</t>
  </si>
  <si>
    <t>Annual Summary – Years 1–5 (active scenario)</t>
  </si>
  <si>
    <t>SUMIFS over PnL_Monthly by operating year.</t>
  </si>
  <si>
    <t>Year 1</t>
  </si>
  <si>
    <t>Year 2</t>
  </si>
  <si>
    <t>Year 3</t>
  </si>
  <si>
    <t>Year 4</t>
  </si>
  <si>
    <t>Year 5</t>
  </si>
  <si>
    <t>Total</t>
  </si>
  <si>
    <t>Contribution after variable costs</t>
  </si>
  <si>
    <t>Utilities + overheads + service charge</t>
  </si>
  <si>
    <t>Net income</t>
  </si>
  <si>
    <t>Project free cash flow</t>
  </si>
  <si>
    <t>Net cash flow (after debt service)</t>
  </si>
  <si>
    <t>Closing cash (end of year)</t>
  </si>
  <si>
    <t>Revenue (CHF)</t>
  </si>
  <si>
    <t>EBITDA (CHF)</t>
  </si>
  <si>
    <t>Food &amp; beverage cost % revenue</t>
  </si>
  <si>
    <t>Staff % revenue</t>
  </si>
  <si>
    <t>Rent % revenue</t>
  </si>
  <si>
    <t>VALUATION (project view)</t>
  </si>
  <si>
    <t>Year-0 investment</t>
  </si>
  <si>
    <t>Project FCF years 1–5 (+ deposit back &amp; terminal value in Y5)</t>
  </si>
  <si>
    <t>IRR (5 years)</t>
  </si>
  <si>
    <t>NPV at discount rate</t>
  </si>
  <si>
    <t>IRR helper cash-flow row (Y0…Y5)</t>
  </si>
  <si>
    <t>SOURCES &amp; CALCULATION BASIS – Annual</t>
  </si>
  <si>
    <t>Years 1–5 lines</t>
  </si>
  <si>
    <t>PnL_Monthly</t>
  </si>
  <si>
    <t>SUMIFS by operating year – no new hardcoded inputs.</t>
  </si>
  <si>
    <t>Discount rate for NPV</t>
  </si>
  <si>
    <t>S62, S63</t>
  </si>
  <si>
    <t>7.17% 10Y SBN + 6.69% Indonesia ERP ≈ 14% + 1 pp unlisted-outlet premium = 15%.</t>
  </si>
  <si>
    <t>Terminal value multiple</t>
  </si>
  <si>
    <t>2× year-5 EBITDA – assumption.</t>
  </si>
  <si>
    <t>Benchmarks for % rows (food, staff, rent)</t>
  </si>
  <si>
    <t>S49, S51</t>
  </si>
  <si>
    <t>Food 28.5–30.3%, labour 26.9–29.4%, occupancy 6–10% of sales.</t>
  </si>
  <si>
    <t>Sensitivity Analysis – One-at-a-time (tornado) &amp; Two-way Grids</t>
  </si>
  <si>
    <t>Flexes the ACTIVE steady-state month (Scenarios col F). Change the flex % (blue). Which assumptions matter most?</t>
  </si>
  <si>
    <t>Steady-state components (active scenario)</t>
  </si>
  <si>
    <t>Flex ±</t>
  </si>
  <si>
    <t>Revenue (R)</t>
  </si>
  <si>
    <t>Delivery commission</t>
  </si>
  <si>
    <t>Other variable (packaging, waste, fees, % costs)</t>
  </si>
  <si>
    <t>Rent + service charge</t>
  </si>
  <si>
    <t>Other fixed (utilities + overheads)</t>
  </si>
  <si>
    <t>Base EBITDA / month</t>
  </si>
  <si>
    <t>Low factor</t>
  </si>
  <si>
    <t>High factor</t>
  </si>
  <si>
    <t>EBITDA @ low</t>
  </si>
  <si>
    <t>EBITDA @ high</t>
  </si>
  <si>
    <t>Δ low vs base</t>
  </si>
  <si>
    <t>Δ high vs base</t>
  </si>
  <si>
    <t>Swing (abs)</t>
  </si>
  <si>
    <t>Rank helper</t>
  </si>
  <si>
    <t>Guest volume (all channels)</t>
  </si>
  <si>
    <t>Average spend / menu prices</t>
  </si>
  <si>
    <t>Food &amp; beverage cost %</t>
  </si>
  <si>
    <t>Staff cost</t>
  </si>
  <si>
    <t>Other fixed costs</t>
  </si>
  <si>
    <t>TORNADO (sorted by swing – largest first)</t>
  </si>
  <si>
    <t>Δ EBITDA @ −flex</t>
  </si>
  <si>
    <t>Δ EBITDA @ +flex</t>
  </si>
  <si>
    <t>Swing</t>
  </si>
  <si>
    <t>TWO-WAY GRID 1: monthly EBITDA (IDR) – guest volume (rows) × average spend (columns)</t>
  </si>
  <si>
    <t>TWO-WAY GRID 2: monthly EBITDA (IDR) – guest volume (rows) × rent level (columns)</t>
  </si>
  <si>
    <t>PAYBACK GRID (years, after 22% tax, steady state): investment factor (rows) × EBITDA factor (columns)</t>
  </si>
  <si>
    <t>Method: one-at-a-time sensitivity (F1F9/Bodmer tornado practice). Limitation: ignores interactions – see two-way grids and MonteCarlo sheet.</t>
  </si>
  <si>
    <t>SOURCES &amp; CALCULATION BASIS – Sensitivity</t>
  </si>
  <si>
    <t>Flex ±20% (E4)</t>
  </si>
  <si>
    <t>Uniform test range – choice, not a forecast. Evidence-based ranges are in the Scenario columns of Inputs.</t>
  </si>
  <si>
    <t>Steady-state components (rows 5–13)</t>
  </si>
  <si>
    <t>Scenarios col F</t>
  </si>
  <si>
    <t>Linked – sources as in Scenarios.</t>
  </si>
  <si>
    <t>Grid steps (0.7–1.3; 0.85–1.15; 0.6–1.3)</t>
  </si>
  <si>
    <t>Display ranges for two-way grids.</t>
  </si>
  <si>
    <t>Methods sheet (one-at-a-time tornado)</t>
  </si>
  <si>
    <t>Each driver flexed alone; interactions in two-way grids and MonteCarlo.</t>
  </si>
  <si>
    <t>Monte Carlo Simulation – 1,000 draws of steady-state EBITDA &amp; payback (BASE scenario centre)</t>
  </si>
  <si>
    <t>Each driver drawn from a triangular distribution (min = worst scenario, mode = Base, max = best). Press F9 to redraw. Independent draws (no correlation) – a simplification.</t>
  </si>
  <si>
    <t>SOURCES &amp; CALCULATION BASIS – MonteCarlo</t>
  </si>
  <si>
    <t>Base components (Scenarios col D)</t>
  </si>
  <si>
    <t>Base components (rows 5–12)</t>
  </si>
  <si>
    <t>Scenarios col D</t>
  </si>
  <si>
    <t>Base scenario steady state – sources as in Scenarios.</t>
  </si>
  <si>
    <t>Triangular ranges (rows 16–21)</t>
  </si>
  <si>
    <t>Inputs cols E/G</t>
  </si>
  <si>
    <t>Min = conservative, mode = base, max = optimistic factor for each driver.</t>
  </si>
  <si>
    <t>Method: 1,000 draws, triangular</t>
  </si>
  <si>
    <t>S42 (IMA – Monte Carlo for capital budgeting)</t>
  </si>
  <si>
    <t>RAND() inverse-triangular draws; payback = investment ÷ after-tax EBITDA.</t>
  </si>
  <si>
    <t>Correlation switch (B33)</t>
  </si>
  <si>
    <t>1 = volume &amp; spend drawn together (same demand shock). Choice.</t>
  </si>
  <si>
    <t>Other variable</t>
  </si>
  <si>
    <t>Rent + SC</t>
  </si>
  <si>
    <t>Other fixed</t>
  </si>
  <si>
    <t>Investment</t>
  </si>
  <si>
    <t>Driver factor distributions (relative to Base)</t>
  </si>
  <si>
    <t>Min</t>
  </si>
  <si>
    <t>Mode</t>
  </si>
  <si>
    <t>Max</t>
  </si>
  <si>
    <t>Cons ratio</t>
  </si>
  <si>
    <t>Opt ratio</t>
  </si>
  <si>
    <t>Guest volume</t>
  </si>
  <si>
    <t>Average spend</t>
  </si>
  <si>
    <t>Food cost %</t>
  </si>
  <si>
    <t>RESULTS</t>
  </si>
  <si>
    <t>Histogram of monthly EBITDA</t>
  </si>
  <si>
    <t>Mean monthly EBITDA (IDR)</t>
  </si>
  <si>
    <t>Bin upper (IDR)</t>
  </si>
  <si>
    <t>Count</t>
  </si>
  <si>
    <t>Bin width</t>
  </si>
  <si>
    <t>P10 monthly EBITDA</t>
  </si>
  <si>
    <t>P50 monthly EBITDA</t>
  </si>
  <si>
    <t>P90 monthly EBITDA</t>
  </si>
  <si>
    <t>Probability EBITDA &lt; 0</t>
  </si>
  <si>
    <t>Probability payback ≤ 3 years</t>
  </si>
  <si>
    <t>Probability payback ≤ 5 years</t>
  </si>
  <si>
    <t>Median payback (years, 99 = never)</t>
  </si>
  <si>
    <t>Correlate volume &amp; spend (same demand shock)? 1 = yes</t>
  </si>
  <si>
    <t>Independent draws understate joint downside: the Conservative case combines all worst values at once, which the simulation treats as very unlikely.</t>
  </si>
  <si>
    <t>Draw #</t>
  </si>
  <si>
    <t>u Vol</t>
  </si>
  <si>
    <t>u Spend</t>
  </si>
  <si>
    <t>u Food</t>
  </si>
  <si>
    <t>u Staff</t>
  </si>
  <si>
    <t>u Rent</t>
  </si>
  <si>
    <t>u Inv</t>
  </si>
  <si>
    <t>EBITDA / month</t>
  </si>
  <si>
    <t>Payback (yrs)</t>
  </si>
  <si>
    <t>Vol f</t>
  </si>
  <si>
    <t>Spend f</t>
  </si>
  <si>
    <t>Food f</t>
  </si>
  <si>
    <t>Staff f</t>
  </si>
  <si>
    <t>Rent f</t>
  </si>
  <si>
    <t>Inv f</t>
  </si>
  <si>
    <t>Source Log</t>
  </si>
  <si>
    <t>Every hardcoded number in the model cites an ID below. Each sheet also has a 'Sources &amp; calculation basis' table showing how its figures were calculated from these sources (v0.2, 8 Oct 2026). Column G lists where each source is used.</t>
  </si>
  <si>
    <t>ID</t>
  </si>
  <si>
    <t>Topic</t>
  </si>
  <si>
    <t>URL</t>
  </si>
  <si>
    <t>What it gives the model</t>
  </si>
  <si>
    <t>Reliability / next step</t>
  </si>
  <si>
    <t>Used on sheets</t>
  </si>
  <si>
    <t>S01</t>
  </si>
  <si>
    <t>Legal / PMA</t>
  </si>
  <si>
    <t>ASEAN Briefing – Indonesia minimum investment requirements (IDR 10bn rule)</t>
  </si>
  <si>
    <t>https://www.aseanbriefing.com/news/indonesias-minimum-investment-requirements-what-foreign-investors-need-to-plan-before-entry/</t>
  </si>
  <si>
    <t>IDR 10bn investment plan per KBLI &amp; location (excl. land/buildings); ~IDR 2.5bn paid-up</t>
  </si>
  <si>
    <t>Consultancy news (Dezan Shira) – good; confirm with lawyer</t>
  </si>
  <si>
    <t>Dashboard, Inputs, Funding, Research_Tracker</t>
  </si>
  <si>
    <t>S02</t>
  </si>
  <si>
    <t>XPND – BKPM Regulation 5/2025 capital implications</t>
  </si>
  <si>
    <t>https://xpnd.co.id/regulatory/bkpm-regulation-5-2025-pt-pma-capital-implications/</t>
  </si>
  <si>
    <t>Paid-up capital cut to IDR 2.5bn per KBLI; investment value still &gt;IDR 10bn per KBLI</t>
  </si>
  <si>
    <t>Consultancy blog – confirm with lawyer</t>
  </si>
  <si>
    <t>XPND – Requirements for PT PMA restaurant 2025–2026</t>
  </si>
  <si>
    <t>https://xpnd.co.id/guides/requirements-for-pt-pma-restaurant/</t>
  </si>
  <si>
    <t>KBLI 56101 100% foreign-owned allowed; licences (NIB, SLHS, halal, env.); PBJT 10%; input VAT not recoverable</t>
  </si>
  <si>
    <t>Consultancy blog – confirm</t>
  </si>
  <si>
    <t>Inputs, OPEX, CAPEX</t>
  </si>
  <si>
    <t>Wages</t>
  </si>
  <si>
    <t>Databoks/Katadata – 2026 provincial minimum wage</t>
  </si>
  <si>
    <t>https://databoks.katadata.co.id/en/employment/statistics/695206d6675b6/indonesias-2026-provincial-minimum-wage-highest-in-jakarta</t>
  </si>
  <si>
    <t>Jakarta UMP 2026 = IDR 5,729,876/month (+6.17%)</t>
  </si>
  <si>
    <t>Statistics portal – high</t>
  </si>
  <si>
    <t>Inputs, Staffing, OPEX, Scenarios, PnL_Monthly, Research_Tracker</t>
  </si>
  <si>
    <t>Employsome – BPJS contribution rates 2026</t>
  </si>
  <si>
    <t>https://employsome.com/hire/indonesia/bpjs-indonesia/</t>
  </si>
  <si>
    <t>Employer BPJS ≈10.2–11.7% of salary (JHT 3.7, JP 2, JKK 0.24–1.74, JKM 0.3, Health 4)</t>
  </si>
  <si>
    <t>HR provider – medium/high</t>
  </si>
  <si>
    <t>Inputs, Staffing, OPEX, Scenarios, Research_Tracker</t>
  </si>
  <si>
    <t>S06</t>
  </si>
  <si>
    <t>KantorKu – barista salaries 2026</t>
  </si>
  <si>
    <t>https://kantorku.id/blog/gaji-barista/</t>
  </si>
  <si>
    <t>Jakarta barista IDR 3.5–7.5m; head barista IDR 6.5–10m+</t>
  </si>
  <si>
    <t>HR blog – medium</t>
  </si>
  <si>
    <t>Staffing, OPEX, Scenarios, Research_Tracker</t>
  </si>
  <si>
    <t>S07</t>
  </si>
  <si>
    <t>Indeed – barista salary Jakarta</t>
  </si>
  <si>
    <t>https://id.indeed.com/career/barista/salaries/Jakarta</t>
  </si>
  <si>
    <t>Avg IDR 3.21m (range 1.97–5.73m) – below UMP, so self-reported data skews low</t>
  </si>
  <si>
    <t>Self-reported – low/medium</t>
  </si>
  <si>
    <t>S08</t>
  </si>
  <si>
    <t>Indeed – head chef salary Jakarta</t>
  </si>
  <si>
    <t>https://id.indeed.com/career/head-chef/salaries/Jakarta</t>
  </si>
  <si>
    <t>Avg IDR 7.3m (range 4.4–12.1m), n=11</t>
  </si>
  <si>
    <t>Self-reported, small n – low</t>
  </si>
  <si>
    <t>S09</t>
  </si>
  <si>
    <t>NCSA Indonesia – chef salary levels</t>
  </si>
  <si>
    <t>https://ncsaindonesia.com/web/gaji-chef-di-indonesia-dari-daily-worker-hingga-executive-chef-hotel/</t>
  </si>
  <si>
    <t>Commis 3.1–3.6m; CDP 3–6m; sous 5–9m; exec chef 11–14m (up to 20m)</t>
  </si>
  <si>
    <t>Culinary school blog – medium</t>
  </si>
  <si>
    <t>S10</t>
  </si>
  <si>
    <t>SPlusA – café interior cost 2026</t>
  </si>
  <si>
    <t>https://splusa.id/biaya-desain-interior-cafe/</t>
  </si>
  <si>
    <t>Café fit-out IDR 3.5–4.5m/m² (standard), 4.5–6.5m (premium), 7m+ (luxury); split civil 20–30%, MEP 15–20%, furniture 35–45%, design 10%</t>
  </si>
  <si>
    <t>Contractor marketing – treat as range; get 3 quotes</t>
  </si>
  <si>
    <t>Dashboard, Inputs, CAPEX, Funding, Scenarios, Research_Tracker</t>
  </si>
  <si>
    <t>S11</t>
  </si>
  <si>
    <t>CNBC Indonesia – PLN tariffs from 1 Sep 2026</t>
  </si>
  <si>
    <t>https://www.cnbcindonesia.com/news/20260901103232-4-763915/daftar-resmi-tarif-listrik-per-kwh-pelanggan-pln-per-1-september-2026</t>
  </si>
  <si>
    <t>Business B-2 (6.6–200 kVA) IDR 1,444.70/kWh; B-3 IDR 1,114.74/kWh</t>
  </si>
  <si>
    <t>News, official tariff – high</t>
  </si>
  <si>
    <t>Inputs, OPEX, Scenarios, Research_Tracker</t>
  </si>
  <si>
    <t>S12</t>
  </si>
  <si>
    <t>Delivery</t>
  </si>
  <si>
    <t>Menuthere – GrabFood commission Indonesia</t>
  </si>
  <si>
    <t>https://menuthere.com/delivery-app-commission/grabfood-indonesia</t>
  </si>
  <si>
    <t>GrabFood ~20–30% (30% common for new merchants); GoFood ~20%; ShopeeFood ~15–25%; VAT 11% on fee</t>
  </si>
  <si>
    <t>Aggregator – medium; confirm with platform</t>
  </si>
  <si>
    <t>Inputs, OPEX, Scenarios</t>
  </si>
  <si>
    <t>BFI Finance – restaurant tax by province</t>
  </si>
  <si>
    <t>https://www.bfi.co.id/en/blog/pajak-makan-di-restoran-berdasarkan-provinsi</t>
  </si>
  <si>
    <t>Jakarta restaurant tax (now PBJT F&amp;B) 10% of bill incl. service charge</t>
  </si>
  <si>
    <t>Finance company blog – medium/high</t>
  </si>
  <si>
    <t>Inputs, Menu</t>
  </si>
  <si>
    <t>S14</t>
  </si>
  <si>
    <t>Online-Pajak – PPh 4(2) building rental</t>
  </si>
  <si>
    <t>https://www.online-pajak.com/pajak/pph-sewa-bangunan/</t>
  </si>
  <si>
    <t>Final tax 10% of gross rent; corporate tenant must withhold</t>
  </si>
  <si>
    <t>Tax software provider – high</t>
  </si>
  <si>
    <t>Inputs, OPEX</t>
  </si>
  <si>
    <t>S15</t>
  </si>
  <si>
    <t>Seven Stones Indonesia – small business tax rules (PP 20/2026)</t>
  </si>
  <si>
    <t>https://sevenstonesindonesia.com/blog/indonesia-quietly-rewrites-the-rules-for-small-business-taxation-and-pt-pma-owners-need-to-pay-attention/</t>
  </si>
  <si>
    <t>PT PMA not eligible for 0.5% final MSME tax; standard corporate regime</t>
  </si>
  <si>
    <t>Inputs, OPEX, Scenarios, PnL_Monthly</t>
  </si>
  <si>
    <t>Wise – CHF/IDR mid-market rate</t>
  </si>
  <si>
    <t>https://wise.com/us/currency-converter/chf-to-idr-rate</t>
  </si>
  <si>
    <t>~21,580 IDR per CHF (Oct 2026); 30-day avg 21,640; 90-day range 21,423–22,518</t>
  </si>
  <si>
    <t>Market data – high</t>
  </si>
  <si>
    <t>Dashboard, Inputs, CAPEX, Funding</t>
  </si>
  <si>
    <t>S17</t>
  </si>
  <si>
    <t>Bisnis.com – BI holds rate at 5.75% (23 Sep 2026)</t>
  </si>
  <si>
    <t>https://finansial.bisnis.com/read/20260923/11/2006538/alasan-bank-indonesia-tahan-bi-rate-september-2026-di-575</t>
  </si>
  <si>
    <t>BI-Rate 5.75%; Aug CPI 3.19%</t>
  </si>
  <si>
    <t>News – high</t>
  </si>
  <si>
    <t>Inputs, Funding</t>
  </si>
  <si>
    <t>S18</t>
  </si>
  <si>
    <t>Rancak Media – Indonesia CPI Sep 2026</t>
  </si>
  <si>
    <t>https://www.rancakmedia.com/finance/101033/indonesias-september-2026-inflation-3-28-stays-within-bi-target/</t>
  </si>
  <si>
    <t>Headline 3.28% yoy; core 2.84%; volatile food 5.03%</t>
  </si>
  <si>
    <t>News citing BPS – high</t>
  </si>
  <si>
    <t>Inputs, PnL_Monthly</t>
  </si>
  <si>
    <t>Financing</t>
  </si>
  <si>
    <t>BCA – Prime lending rates (SBDK), eff. 30 Sep 2026</t>
  </si>
  <si>
    <t>https://www.bca.co.id/en/informasi/Suku-Bunga-Dasar-Kredit</t>
  </si>
  <si>
    <t>SBDK small business 8.01%, medium 8.04% – excl. risk premium</t>
  </si>
  <si>
    <t>Bank – high (but excludes risk premium)</t>
  </si>
  <si>
    <t>Inputs, Funding, PnL_Monthly, Research_Tracker</t>
  </si>
  <si>
    <t>Flokq – ruko for rent, Senopati area</t>
  </si>
  <si>
    <t>https://www.flokq.com/ruko-sewa-senopati</t>
  </si>
  <si>
    <t>22 asking rents (monthly) with GFA</t>
  </si>
  <si>
    <t>Listing portal – asking prices, not deals</t>
  </si>
  <si>
    <t>Inputs, Rent_Data, Location, OPEX, CAPEX, Scenarios, PnL_Monthly, Research_Tracker, Methods</t>
  </si>
  <si>
    <t>S21</t>
  </si>
  <si>
    <t>Pinhome – ruko for rent, Jl. Senopati</t>
  </si>
  <si>
    <t>https://www.pinhome.id/sewa/ruko/area/jalan-senopati-jakarta-selatan/properti</t>
  </si>
  <si>
    <t>Main-road Senopati ruko IDR 1.0–1.7bn/yr for 300–500 m²</t>
  </si>
  <si>
    <t>Listing portal – asking prices</t>
  </si>
  <si>
    <t>Rumah123 – commercial space SCBD</t>
  </si>
  <si>
    <t>https://www.rumah123.com/en/rent/jakarta-selatan/scbd/commercial-space/</t>
  </si>
  <si>
    <t>SCBD units IDR 320–500k/m²/month (many office podium)</t>
  </si>
  <si>
    <t>Inputs, Rent_Data, Location, OPEX, Scenarios, Research_Tracker, Methods</t>
  </si>
  <si>
    <t>Rumah123 – F&amp;B space Pacific Century Tower SCBD</t>
  </si>
  <si>
    <t>https://www.rumah123.com/en/property/jakarta-selatan-scbd/disewakan-space-utk-resto-bar-rooftop-di-pacific-century-tower-scbd-csr3740301/</t>
  </si>
  <si>
    <t>IDR 500k/m²/month excl. VAT &amp; service charge</t>
  </si>
  <si>
    <t>Listing – asking</t>
  </si>
  <si>
    <t>Flokq – ruko for rent, Kuningan</t>
  </si>
  <si>
    <t>https://www.flokq.com/ruko-sewa-kuningan</t>
  </si>
  <si>
    <t>Only 3 usable listings – very thin sample</t>
  </si>
  <si>
    <t>Listing – low</t>
  </si>
  <si>
    <t>Flokq – ruko for rent, Kemang</t>
  </si>
  <si>
    <t>https://www.flokq.com/ruko-sewa-kemang</t>
  </si>
  <si>
    <t>~20 asking rents with GFA</t>
  </si>
  <si>
    <t>Brighton – ruko for rent, PIK</t>
  </si>
  <si>
    <t>12 asking rents (yearly) PIK 1 &amp; PIK 2</t>
  </si>
  <si>
    <t>Real Estate Asia citing Colliers – Jakarta mall rents Q4 2024</t>
  </si>
  <si>
    <t>https://realestateasia.com/commercial-retail/news/will-jakarta-retail-rents-increase-year</t>
  </si>
  <si>
    <t>Jakarta mall avg rent IDR 564,400/m²/mo + service charge IDR 154,035/m²/mo</t>
  </si>
  <si>
    <t>Broker data via trade press – high (dated)</t>
  </si>
  <si>
    <t>S28</t>
  </si>
  <si>
    <t>JLL – Jakarta retail market dynamics Q2 2026</t>
  </si>
  <si>
    <t>https://www.jll.com/en-sea/insights/market-dynamics/jakarta-retail</t>
  </si>
  <si>
    <t>Prime mall rents stable, vacancy tightening, F&amp;B brands expanding (full PDF has numbers)</t>
  </si>
  <si>
    <t>Broker – high; get full PDF via uni portal</t>
  </si>
  <si>
    <t>Inputs, Rent_Data, Location, Research_Tracker</t>
  </si>
  <si>
    <t>S29</t>
  </si>
  <si>
    <t>CBRE – Jakarta retail outlook Q1 2026</t>
  </si>
  <si>
    <t>https://www.cbre.com/insights/reports/jakarta-retail-market-outlook-q1-2026</t>
  </si>
  <si>
    <t>Occupancy heading to ~88%; F&amp;B and lifestyle driving demand</t>
  </si>
  <si>
    <t>Broker – high</t>
  </si>
  <si>
    <t>S30</t>
  </si>
  <si>
    <t>Market</t>
  </si>
  <si>
    <t>USDA FAS GAIN – Indonesia Food Service HRI Annual 2025</t>
  </si>
  <si>
    <t>https://apps.fas.usda.gov/newgainapi/api/Report/DownloadReportByFileName?fileName=Food+Service+-+Hotel+Restaurant+Institutional+Annual_Jakarta_Indonesia_ID2025-0049.pdf</t>
  </si>
  <si>
    <t>HRI USD 29bn (2024); 10,867 cafés/bars; delivery USD 5.4bn (Grab 47%, Gojek 35%, Shopee 18%); halal for processed food from 17 Oct 2026</t>
  </si>
  <si>
    <t>Government report – high</t>
  </si>
  <si>
    <t>Inputs, Location, Revenue</t>
  </si>
  <si>
    <t>Pricing</t>
  </si>
  <si>
    <t>HargaMenu – Common Grounds menu prices</t>
  </si>
  <si>
    <t>https://hargamenu.net/common-grounds-menu-daftar-menu-harga-dan-lokasi-kedai-kopi-juara-dunia-di-indonesia/</t>
  </si>
  <si>
    <t>Latte 45–52k; espresso 32k; truffle pasta 85–110k; breakfast 65–95k (dine-in)</t>
  </si>
  <si>
    <t>Aggregator – medium</t>
  </si>
  <si>
    <t>Dashboard, Inputs, Menu, Revenue, Scenarios, Research_Tracker</t>
  </si>
  <si>
    <t>MenuKuliner – Common Grounds Citywalk delivery prices</t>
  </si>
  <si>
    <t>https://menukuliner.net/menu/286760/common-grounds-citywalk</t>
  </si>
  <si>
    <t>Latte 61k; mac &amp; cheese 114k; breakfast 121–170k (delivery app prices, inflated vs dine-in)</t>
  </si>
  <si>
    <t>Inputs, Menu, Research_Tracker</t>
  </si>
  <si>
    <t>IDN Times – pasta spots South Jakarta</t>
  </si>
  <si>
    <t>https://www.idntimes.com/food/dining-guide/perfecto-ini-5-spot-makan-pasta-rasa-autentik-di-jakarta-selatan-01-3ln1w-37jgyf</t>
  </si>
  <si>
    <t>Pasta, Bitte! carbonara 86k; Toscana vongole 155k</t>
  </si>
  <si>
    <t>Media – medium</t>
  </si>
  <si>
    <t>Cove blog – pasta in Jakarta</t>
  </si>
  <si>
    <t>https://blog.cove.id/pasta-jakarta/</t>
  </si>
  <si>
    <t>Price bands per person: most Italian 100–200k; Caffè Milano 50–100k; Warung Pasta 18–47k</t>
  </si>
  <si>
    <t>Blog – medium</t>
  </si>
  <si>
    <t>Toast – average restaurant square footage</t>
  </si>
  <si>
    <t>https://pos.toasttab.com/blog/on-the-line/average-restaurant-square-footage</t>
  </si>
  <si>
    <t>12–15 sq ft/seat (≈1.1–1.4 m²) full-service; 60/40 dining/kitchen split</t>
  </si>
  <si>
    <t>Industry guide – medium</t>
  </si>
  <si>
    <t>Inputs, Revenue, CAPEX</t>
  </si>
  <si>
    <t>S36</t>
  </si>
  <si>
    <t>Academic</t>
  </si>
  <si>
    <t>Parsa et al. (2005) Why Restaurants Fail, Cornell HRA Quarterly 46(3)</t>
  </si>
  <si>
    <t>https://daniels.du.edu/assets/research-hg-parsa-part-1-2015.pdf</t>
  </si>
  <si>
    <t>1st-year failure 26%, 3-yr ~60%; management/concept clarity &gt; capital</t>
  </si>
  <si>
    <t>Peer-reviewed – high</t>
  </si>
  <si>
    <t>Inputs, PnL_Monthly, Methods</t>
  </si>
  <si>
    <t>S37</t>
  </si>
  <si>
    <t>Kimes (2004) Restaurant Revenue Management, Cornell CHR Report</t>
  </si>
  <si>
    <t>https://ecommons.cornell.edu/entities/publication/779ca191-03a2-4abe-8e4b-2de7fdd4f7ff</t>
  </si>
  <si>
    <t>RevPASH, capacity- and time-based revenue logic</t>
  </si>
  <si>
    <t>Peer-reviewed/CHR – high</t>
  </si>
  <si>
    <t>Revenue, Methods</t>
  </si>
  <si>
    <t>S38</t>
  </si>
  <si>
    <t>Kimes et al. (1999) Implementing Restaurant Revenue Management, Cornell HRA Quarterly</t>
  </si>
  <si>
    <t>https://journals.sagepub.com/doi/10.1177/001088049904000315</t>
  </si>
  <si>
    <t>Five-step approach; seat-occupancy and duration measurement</t>
  </si>
  <si>
    <t>Application of Kasavana &amp; Smith menu engineering model</t>
  </si>
  <si>
    <t>http://www.publishingindia.com/GetBrochure.aspx?query=UERGQnJvY2h1cmVzfC82NC5wZGZ8LzY0LnBkZg%3D%3D</t>
  </si>
  <si>
    <t>Star/Plowhorse/Puzzle/Dog classification (CM vs 70% popularity rule)</t>
  </si>
  <si>
    <t>Journal article – medium; original: Kasavana &amp; Smith 1982 book</t>
  </si>
  <si>
    <t>Menu, Methods</t>
  </si>
  <si>
    <t>S40</t>
  </si>
  <si>
    <t>Gravity modeling of dine-in restaurant location, Jefferson County (Applied Geography)</t>
  </si>
  <si>
    <t>https://www.sciencedirect.com/science/article/abs/pii/S014362281400263X</t>
  </si>
  <si>
    <t>Huff-type gravity model to estimate restaurant market share</t>
  </si>
  <si>
    <t>Location, Methods</t>
  </si>
  <si>
    <t>S41</t>
  </si>
  <si>
    <t>Evaluation of trade area models for QSR site selection</t>
  </si>
  <si>
    <t>https://www.researchgate.net/publication/325974971_The_Evaluation_of_Trade_Area_Models_and_Analysis_Methods_for_Site_Selection_from_International_Quick_Service_Restaurants_Perspective</t>
  </si>
  <si>
    <t>Overview of analog, regression, gravity methods</t>
  </si>
  <si>
    <t>Peer-reviewed – medium/high</t>
  </si>
  <si>
    <t>S42</t>
  </si>
  <si>
    <t>IMA – Using Monte Carlo simulation for a capital budgeting project</t>
  </si>
  <si>
    <t>https://www.imanet.org/-/media/125d2e3fa1434a2ca33a95520d373e39.ashx</t>
  </si>
  <si>
    <t>Monte Carlo in Excel for NPV/payback distributions</t>
  </si>
  <si>
    <t>Professional body – high</t>
  </si>
  <si>
    <t>MonteCarlo, Research_Tracker, Methods</t>
  </si>
  <si>
    <t>S43</t>
  </si>
  <si>
    <t>Benchmark</t>
  </si>
  <si>
    <t>World Coffee Portal – Fore Coffee after IPO year</t>
  </si>
  <si>
    <t>https://www.worldcoffeeportal.com/news/fore-coffee-hits-its-stride-after-significant-ipo-year/</t>
  </si>
  <si>
    <t>316 stores, revenue IDR 1.5tn (2025) ≈ IDR 4.7bn/store/yr; EBITDA IDR 300bn</t>
  </si>
  <si>
    <t>Trade press – high; IDX prospectus has store data</t>
  </si>
  <si>
    <t>Dashboard, Inputs, Revenue, Scenarios</t>
  </si>
  <si>
    <t>S44</t>
  </si>
  <si>
    <t>Perfect Daily Grind – Indonesia specialty coffee 2026</t>
  </si>
  <si>
    <t>https://perfectdailygrind.com/2026/03/indonesia-specialty-coffee-market-growth/</t>
  </si>
  <si>
    <t>Consumption ~4.8m bags; ~5% p.a. growth</t>
  </si>
  <si>
    <t>Trade press – medium</t>
  </si>
  <si>
    <t>– (background reference)</t>
  </si>
  <si>
    <t>S45</t>
  </si>
  <si>
    <t>Restaurant revenue management: systematic literature review (British Food Journal 2025)</t>
  </si>
  <si>
    <t>https://www.sciencedirect.com/org/science/article/pii/S0007070X25000291</t>
  </si>
  <si>
    <t>Literature map for RRM methods</t>
  </si>
  <si>
    <t>S46</t>
  </si>
  <si>
    <t>Pricing / volume</t>
  </si>
  <si>
    <t>CORSA team – Competitor Price &amp; Volume Evidence workbook v0.2 (8 Oct 2026): Menu_Prices, Price_Summary, Volume_Proxy, Weekday_Pattern (36 Italian/pasta venues, 3,061 Google reviews + menus from own sites, GrabFood web, menukuliner.net)</t>
  </si>
  <si>
    <t>Local file: CORSA_Competitor_Price_Volume_Evidence_v0.2.xlsx (CAPSTONE / Corsa-reviews dataset)</t>
  </si>
  <si>
    <t>In-zone pasta venue medians avg ~133k net (9 venues); latte 27–30k casual, 38–48k smart-casual, 55–60k mall; delivery prices ~15.6% above dine-in; review-velocity guest proxy; weekend ≈1.45× weekday</t>
  </si>
  <si>
    <t>Own primary data – medium (menus partly via delivery-app mirrors; velocity proxy needs Zurich calibration)</t>
  </si>
  <si>
    <t>README, Dashboard, Inputs, Location, Menu, Revenue, Scenarios, Research_Tracker, Methods</t>
  </si>
  <si>
    <t>S47</t>
  </si>
  <si>
    <t>Bank Indonesia – MDR QRIS (Cerita BI), rates effective 15 Mar 2025</t>
  </si>
  <si>
    <t>https://www.bi.go.id/id/publikasi/ruang-media/cerita-bi/Pages/mdr-qris.aspx</t>
  </si>
  <si>
    <t>QRIS MDR for micro merchants: 0% up to IDR 500k, 0.3% above</t>
  </si>
  <si>
    <t>Central bank – high (micro rate; CORSA as PT PMA is a regular merchant, see S48)</t>
  </si>
  <si>
    <t>README, Inputs, OPEX, Scenarios</t>
  </si>
  <si>
    <t>S48</t>
  </si>
  <si>
    <t>Midtrans docs – Applicable transaction fee for QRIS</t>
  </si>
  <si>
    <t>https://docs.midtrans.com/docs/what-is-the-applicable-transaction-fee-for-qris</t>
  </si>
  <si>
    <t>QRIS MDR for regular merchants 0.7% per transaction (BI rate)</t>
  </si>
  <si>
    <t>Payment gateway docs – high</t>
  </si>
  <si>
    <t>S49</t>
  </si>
  <si>
    <t>Cost benchmarks</t>
  </si>
  <si>
    <t>Restaurant Benchmarks 2021 (webinar deck hosted by Bruce County Economic Development, Ontario)</t>
  </si>
  <si>
    <t>https://business.brucecounty.on.ca/hubfs/Fall%202021%20Webinars/Oct%209th-%202021%20Restaurant%20Benchmarks.pdf</t>
  </si>
  <si>
    <t>Food cost max 30.3% (FSR) / 28.5% (QSR); labour 29.4%; prime 59.7%; coffee bev. cost 15–20%; packaging 1–2% FSR, 3–4% limited service; benefits 12–15% of payroll; occupancy 10% (ideal 6–7%); debt service ≤12% of sales over 3–5 yrs</t>
  </si>
  <si>
    <t>North-American benchmarks, author not named – medium; use as range, not Jakarta-specific</t>
  </si>
  <si>
    <t>README, Dashboard, Inputs, Location, Menu, Staffing, OPEX, Funding, Scenarios, Annual, Research_Tracker, Methods</t>
  </si>
  <si>
    <t>S50</t>
  </si>
  <si>
    <t>Vanta Insights – Restaurant food cost percentage: 2024 benchmarks</t>
  </si>
  <si>
    <t>https://vantainsights.com/insights/restaurant-food-cost-percentage</t>
  </si>
  <si>
    <t>Average food cost 28–35%; beverage COGS typically 15–25% vs 30–40% for food</t>
  </si>
  <si>
    <t>Industry analytics blog – medium</t>
  </si>
  <si>
    <t>README, Dashboard, Inputs, Menu, OPEX, Scenarios, Research_Tracker, Methods</t>
  </si>
  <si>
    <t>S51</t>
  </si>
  <si>
    <t>Restaurant Business Online – How to figure out prime cost and occupancy percentages</t>
  </si>
  <si>
    <t>https://restaurantbusinessonline.com/advice-guy/how-figure-out-prime-cost-occupancy-percentages</t>
  </si>
  <si>
    <t>Prime cost ≤60–65% of sales; occupancy ≤8–10% of sales</t>
  </si>
  <si>
    <t>Trade press – medium/high</t>
  </si>
  <si>
    <t>README, Dashboard, Location, Staffing, Scenarios, Annual, Research_Tracker, Methods</t>
  </si>
  <si>
    <t>S52</t>
  </si>
  <si>
    <t>Toast – Restaurant marketing budget guide</t>
  </si>
  <si>
    <t>https://pos.toasttab.com/vi-us/blog/on-the-line/restaurant-marketing-budget</t>
  </si>
  <si>
    <t>Allocate 3–6% of revenue to marketing</t>
  </si>
  <si>
    <t>POS vendor guide – medium</t>
  </si>
  <si>
    <t>README, Dashboard, Inputs, OPEX, CAPEX, Scenarios</t>
  </si>
  <si>
    <t>S53</t>
  </si>
  <si>
    <t>Maintenance</t>
  </si>
  <si>
    <t>ResQ – Understanding restaurant maintenance cost</t>
  </si>
  <si>
    <t>https://www.getresq.com/blog/restaurant-maintenance-costs</t>
  </si>
  <si>
    <t>Reserve 1–3% of annual revenue for repairs</t>
  </si>
  <si>
    <t>Maintenance vendor blog – medium</t>
  </si>
  <si>
    <t>README, Dashboard, Inputs, OPEX, Scenarios</t>
  </si>
  <si>
    <t>S54</t>
  </si>
  <si>
    <t>Waste</t>
  </si>
  <si>
    <t>Gitnux – Food waste in restaurants statistics 2026 (aggregates ReFED/LeanPath/WRAP)</t>
  </si>
  <si>
    <t>https://gitnux.org/food-waste-in-restaurants-statistics/</t>
  </si>
  <si>
    <t>US full-service restaurants waste 4–10% of food purchased; 70% of FSR waste is back-of-house trimming &amp; spoilage</t>
  </si>
  <si>
    <t>Statistics aggregator – low/medium; check ReFED original</t>
  </si>
  <si>
    <t>S55</t>
  </si>
  <si>
    <t>ENERGY STAR Portfolio Manager – US National Median EUI table (Aug 2024, CBECS)</t>
  </si>
  <si>
    <t>https://portfoliomanager.energystar.gov/pdf/reference/US%20National%20Median%20Table.pdf</t>
  </si>
  <si>
    <t>Restaurant median site EUI 325.6 kBtu/ft²/yr (≈1,027 kWh/m²/yr, all fuels); fast food 402.7</t>
  </si>
  <si>
    <t>US government benchmark – high (US climate/fuel mix)</t>
  </si>
  <si>
    <t>README, Dashboard, Inputs, OPEX, Scenarios, Research_Tracker</t>
  </si>
  <si>
    <t>S56</t>
  </si>
  <si>
    <t>CNBC Indonesia – PAM Jaya tariffs (2 May 2025)</t>
  </si>
  <si>
    <t>https://www.cnbcindonesia.com/news/20250502131201-4-630428/pam-jaya-pasang-tarif-air-terjangkau-rp-1000-per-meter-kubik</t>
  </si>
  <si>
    <t>Commercial (niaga, Kelompok 3) water IDR 4,900–21,500 per m³</t>
  </si>
  <si>
    <t>News citing utility – high</t>
  </si>
  <si>
    <t>S57</t>
  </si>
  <si>
    <t>Bisnis.com – Bright Gas price list (Jakarta, effective 14 Jul 2026)</t>
  </si>
  <si>
    <t>https://ekonomi.bisnis.com/read/20260719/44/1989129/turun-cek-daftar-harga-bright-gas-pertamina-terbaru-19-juli-2026</t>
  </si>
  <si>
    <t>LPG 12 kg cylinder IDR 220,000; 5.5 kg IDR 103,000</t>
  </si>
  <si>
    <t>News citing Pertamina – high</t>
  </si>
  <si>
    <t>S58</t>
  </si>
  <si>
    <t>Seasonality</t>
  </si>
  <si>
    <t>Bloomberg Technoz – Prediction of Ramadan &amp; Idul Fitri 2027 (1448 H)</t>
  </si>
  <si>
    <t>https://www.bloombergtechnoz.com/detail-news/115267/kapan-lebaran-2027-ini-prediksi-awal-ramadan-dan-idulfitri</t>
  </si>
  <si>
    <t>1 Ramadan ≈ Mon 8 Feb 2027; Idul Fitri ≈ Wed 10 Mar 2027 (not yet official – Kemenag isbat)</t>
  </si>
  <si>
    <t>News – medium (prediction)</t>
  </si>
  <si>
    <t>README, Inputs, PnL_Monthly, Research_Tracker, Methods</t>
  </si>
  <si>
    <t>S59</t>
  </si>
  <si>
    <t>The Jakarta Post – F&amp;B players gear up for Ramadhan (13 May 2018)</t>
  </si>
  <si>
    <t>https://www.thejakartapost.com/news/2018/05/13/fb-players-gear-up-for-ramadhan.html</t>
  </si>
  <si>
    <t>A&amp;W: Ramadan sales up to +30%; Pioneerindo target +15%; MAPB (Starbucks etc.): slight dip in week 1, flat week 2, growth to Idul Fitri, +10% the week after</t>
  </si>
  <si>
    <t>News – medium (dated, chain operators)</t>
  </si>
  <si>
    <t>S60</t>
  </si>
  <si>
    <t>Habit Restaurants, Inc. – Form 10-K FY2018 (SEC EDGAR), Item 1A</t>
  </si>
  <si>
    <t>https://www.sec.gov/Archives/edgar/data/1617977/000156459019005749/habt-10k_20181225.htm</t>
  </si>
  <si>
    <t>New restaurants often open with higher-than-normal sales, then stabilise after ~13–26 weeks; new-market timing less predictable</t>
  </si>
  <si>
    <t>Audited filing – high (US chain, not Jakarta)</t>
  </si>
  <si>
    <t>Tax / depreciation</t>
  </si>
  <si>
    <t>Direktorat Jenderal Pajak – PMK 72/2023 on depreciation &amp; amortisation</t>
  </si>
  <si>
    <t>https://www.pajak.go.id/id/artikel/membangun-keadilan-dan-kemudahan-dalam-penghitungan-penyusutan-dan-amortisasi</t>
  </si>
  <si>
    <t>Tax useful lives: non-building groups 4 / 8 / 16 / 20 yrs; non-permanent building 10 yrs; permanent 20 yrs</t>
  </si>
  <si>
    <t>Tax authority – high</t>
  </si>
  <si>
    <t>README, Inputs, PnL_Monthly, Methods</t>
  </si>
  <si>
    <t>S62</t>
  </si>
  <si>
    <t>Macro / valuation</t>
  </si>
  <si>
    <t>Trading Economics – Indonesia 10-year government bond yield</t>
  </si>
  <si>
    <t>https://tradingeconomics.com/indonesia/government-bond-yield</t>
  </si>
  <si>
    <t>10Y SBN yield 7.17% (7 Oct 2026)</t>
  </si>
  <si>
    <t>README, Dashboard, Inputs, Annual, Research_Tracker, Methods</t>
  </si>
  <si>
    <t>S63</t>
  </si>
  <si>
    <t>Damodaran Online – Country default spreads and risk premiums (update 5 Jan 2026)</t>
  </si>
  <si>
    <t>https://pages.stern.nyu.edu/~adamodar/New_Home_Page/datafile/ctryprem.html</t>
  </si>
  <si>
    <t>Indonesia (Baa2): total equity risk premium 6.69% = mature 4.23% + country risk 2.46%</t>
  </si>
  <si>
    <t>Academic dataset – high</t>
  </si>
  <si>
    <t>Rabbet – Real estate development: how much contingency do I need?</t>
  </si>
  <si>
    <t>https://rabbet.com/blog/real-estate-development-how-much-contingency-do-i-need</t>
  </si>
  <si>
    <t>Traditional contingency 5% ground-up, 10% for renovation projects</t>
  </si>
  <si>
    <t>Construction-finance vendor – medium</t>
  </si>
  <si>
    <t>README, Dashboard, Inputs, CAPEX, Funding, Research_Tracker</t>
  </si>
  <si>
    <t>S65</t>
  </si>
  <si>
    <t>Legal / setup</t>
  </si>
  <si>
    <t>XPND – PT PMA establishment cost 2026</t>
  </si>
  <si>
    <t>https://xpnd.co.id/blogs/pt-pma-establishment-cost-2026/</t>
  </si>
  <si>
    <t>Total PT PMA setup IDR 45.7–113m excl. paid-up capital (notary 5–15m, consulting 25–50m, KITAS 10–25m, SPPL 2–5m, virtual office 2–15m)</t>
  </si>
  <si>
    <t>Consultancy – medium; get 2 quotes</t>
  </si>
  <si>
    <t>S66</t>
  </si>
  <si>
    <t>Licences</t>
  </si>
  <si>
    <t>CNN Indonesia – BPJPH halal certification tariff list</t>
  </si>
  <si>
    <t>https://www.cnnindonesia.com/ekonomi/20220316194306-92-772301/daftar-tarif-sertifikasi-halal-kemenag</t>
  </si>
  <si>
    <t>Halal registration IDR 12.5m for large/foreign businesses; LPH inspection max IDR 3.68m for restaurants (tariffs from 1 Dec 2021)</t>
  </si>
  <si>
    <t>News citing BPJPH tariff rule – high; check for 2026 update</t>
  </si>
  <si>
    <t>README, Dashboard, CAPEX, Funding, Research_Tracker</t>
  </si>
  <si>
    <t>S67</t>
  </si>
  <si>
    <t>Technology</t>
  </si>
  <si>
    <t>HashMicro – Moka POS review &amp; 2026 prices</t>
  </si>
  <si>
    <t>https://www.hashmicro.com/id/blog/review-aplikasi-moka-pos/</t>
  </si>
  <si>
    <t>Moka POS IDR 299k / 499k / 799k per outlet per month (Basic / Pro / Enterprise)</t>
  </si>
  <si>
    <t>Competitor blog – medium; confirm with Moka/ESB</t>
  </si>
  <si>
    <t>README, Dashboard, Inputs, OPEX, CAPEX, Funding, Research_Tracker</t>
  </si>
  <si>
    <t>S68</t>
  </si>
  <si>
    <t>Equipment</t>
  </si>
  <si>
    <t>Caterkwik (UK dealer) – Rational iCombi Pro range</t>
  </si>
  <si>
    <t>https://www.caterkwik.co.uk/shop/shop-by-brand/rational/rational-icombi-pro/</t>
  </si>
  <si>
    <t>Rational iCombi Pro 6-1/1 electric GBP 5,518.99 ex VAT</t>
  </si>
  <si>
    <t>UK dealer price – medium; Jakarta distributor quote needed</t>
  </si>
  <si>
    <t>S69</t>
  </si>
  <si>
    <t>eTail/Sitegems (UK) – La Marzocco Linea PB 2-group AV</t>
  </si>
  <si>
    <t>https://www.sitegems.etailsystems.com/buy/la-marzocco-linea-pb-2-group-av_1571.htm</t>
  </si>
  <si>
    <t>La Marzocco Linea PB 2-group GBP 11,748 ex VAT</t>
  </si>
  <si>
    <t>S70</t>
  </si>
  <si>
    <t>Majesty Coffee – Mahlkönig grinders</t>
  </si>
  <si>
    <t>https://majestycoffee.com/collections/mahlkonig</t>
  </si>
  <si>
    <t>Mahlkönig E65S GbW USD 2,949 (sale; list 3,350); EK43 USD 3,899; EK Omnia USD 4,199</t>
  </si>
  <si>
    <t>US dealer price – medium</t>
  </si>
  <si>
    <t>S71</t>
  </si>
  <si>
    <t>Wise – GBP/IDR mid-market rate</t>
  </si>
  <si>
    <t>https://wise.com/gb/currency-converter/gbp-to-idr-rate</t>
  </si>
  <si>
    <t>≈ 23,680 IDR per GBP (Oct 2026)</t>
  </si>
  <si>
    <t>README, CAPEX</t>
  </si>
  <si>
    <t>S72</t>
  </si>
  <si>
    <t>LongForecast – USD/IDR today</t>
  </si>
  <si>
    <t>https://longforecast.com/usd-to-idr-forecast-today</t>
  </si>
  <si>
    <t>17,895 IDR per USD (8 Oct 2026)</t>
  </si>
  <si>
    <t>Market data – medium/high</t>
  </si>
  <si>
    <t>S73</t>
  </si>
  <si>
    <t>LokerID – Restaurant management salaries, Jakarta Selatan</t>
  </si>
  <si>
    <t>https://www.loker.id/gaji/restaurant/manajemen/jakarta-selatan</t>
  </si>
  <si>
    <t>Avg IDR 6.3m/month (range 4.9–7.7m), n = 12 job ads – supervisor-level postings</t>
  </si>
  <si>
    <t>Job board – medium; small n</t>
  </si>
  <si>
    <t>README, Inputs, Staffing, OPEX, Scenarios, Research_Tracker</t>
  </si>
  <si>
    <t>S74</t>
  </si>
  <si>
    <t>LokerID – Waiter/waitress salaries, Jakarta Selatan</t>
  </si>
  <si>
    <t>https://www.loker.id/gaji/restaurant/waitress/jakarta-selatan</t>
  </si>
  <si>
    <t>Avg IDR 2.8m/month (2.4–3.2m), n = 21 – BELOW Jakarta UMP, so many ads are part-time/non-compliant</t>
  </si>
  <si>
    <t>Job board – low/medium</t>
  </si>
  <si>
    <t>README, Staffing, OPEX, Scenarios, Research_Tracker</t>
  </si>
  <si>
    <t>KantorKu – Manager salaries 2026</t>
  </si>
  <si>
    <t>https://kantorku.id/blog/gaji-manajer/</t>
  </si>
  <si>
    <t>Store manager IDR 10–20m/month; F&amp;B manager (hotel) 12–25m; Jakarta manager roles 15–35m</t>
  </si>
  <si>
    <t>Sekretariat Kabinet – Permenaker 6/2016 on THR</t>
  </si>
  <si>
    <t>https://setkab.go.id/pekerja-dengan-masa-kerja-1-bulan-kini-berhak-dapat-thr/</t>
  </si>
  <si>
    <t>THR = 1 month wage after 12 months' service; pro-rata from 1 month</t>
  </si>
  <si>
    <t>Government – high</t>
  </si>
  <si>
    <t>S77</t>
  </si>
  <si>
    <t>Operations</t>
  </si>
  <si>
    <t>SmartBrief – Poll: most diners stay about an hour (26 May 2016)</t>
  </si>
  <si>
    <t>https://www.smartbrief.com/original/poll-most-diners-stay-about-hour</t>
  </si>
  <si>
    <t>Operators' estimate of dining time: ~1 hour 49%, 30 min 25%, &gt;1 hour 23%</t>
  </si>
  <si>
    <t>Industry poll – low/medium</t>
  </si>
  <si>
    <t>README, Revenue, Methods</t>
  </si>
  <si>
    <t>Rumah123 – shophouse for rent, Senopati (results page)</t>
  </si>
  <si>
    <t>https://www.rumah123.com/en/rent/jakarta-selatan/senopati/shophouse/</t>
  </si>
  <si>
    <t>Jl. Suryo 3rd-floor unit 150 m², IDR 520m/yr; main-road units otherwise 225–976 m²</t>
  </si>
  <si>
    <t>Listing portal – asking; individual ads would not open (results page only)</t>
  </si>
  <si>
    <t>Rent_Data, Location</t>
  </si>
  <si>
    <t>Rumah123 – shophouse for rent, Kuningan (results page)</t>
  </si>
  <si>
    <t>https://www.rumah123.com/en/rent/jakarta-selatan/kuningan/shophouse/</t>
  </si>
  <si>
    <t>Epiwalk ex-resto 110 m², IDR 330m/yr (shr9910999); most Kuningan ruko 420 m²</t>
  </si>
  <si>
    <t>Listing portal – asking; results page only</t>
  </si>
  <si>
    <t>Pinhome – ruko for rent, Jl. Kemang Raya</t>
  </si>
  <si>
    <t>Kemang Raya ruko 200 m², 2 floors, IDR 23.33m/month (I-78337)</t>
  </si>
  <si>
    <t>Listing – asking; ad may be stale</t>
  </si>
  <si>
    <t>kiosrumah.com – 1-floor F&amp;B ruko, Bangka (Kemang)</t>
  </si>
  <si>
    <t>200 m² single-level F&amp;B unit, IDR 350m/yr, min. 2 years (TRK173)</t>
  </si>
  <si>
    <t>Listing – asking; confirm availability</t>
  </si>
  <si>
    <t>Rumah123 – commercial space for rent, Kemang (results page)</t>
  </si>
  <si>
    <t>'Business Space Kemang Raya 10' 130 m², IDR 30m/month</t>
  </si>
  <si>
    <t>Leasing</t>
  </si>
  <si>
    <t>Deprintz – BFI Finance machine leasing terms &amp; simulation (reseller page)</t>
  </si>
  <si>
    <t>https://deprintz.com/page/Pembiayaan-Kredit-Leasing-Cicilan-Investasi-Mesin-Murah-Cepat</t>
  </si>
  <si>
    <t>DP 30–40%, 8–10% flat (9.40%/36 m), 12–36 m, provision 1.25%, min. unit IDR 100m, Java &amp; Bali; IDR 210m → IDR 7.48m/month</t>
  </si>
  <si>
    <t>Third-party page, internal inconsistencies – confirm with BFI</t>
  </si>
  <si>
    <t>CAPEX (Rent)</t>
  </si>
  <si>
    <t>S84</t>
  </si>
  <si>
    <t>Cafémaker – Caférentals monthly machine rental</t>
  </si>
  <si>
    <t>https://cafemaker.id/caferentals/</t>
  </si>
  <si>
    <t>IDR 3.65m/month; free maintenance; backup machine; buy-out after 3 years</t>
  </si>
  <si>
    <t>Vendor page – model behind price not stated; get quote</t>
  </si>
  <si>
    <t>Sponsorship</t>
  </si>
  <si>
    <t>Cafémaker – Caférentals for Office (free machine with beans)</t>
  </si>
  <si>
    <t>https://cafemaker.id/caferentals-for-office/</t>
  </si>
  <si>
    <t>Free DeLonghi against 15 kg/month Eleven Thirty beans, 6-month min.; deposit + install fee upfront</t>
  </si>
  <si>
    <t>Vendor page – office machine; precedent for bean-contract loans</t>
  </si>
  <si>
    <t>GoWork – furniture rental</t>
  </si>
  <si>
    <t>https://go-work.com/id/furniture-rental</t>
  </si>
  <si>
    <t>IDR 150k/unit/month excl. tax; min. 50 units; deposit; 5%/day late fee</t>
  </si>
  <si>
    <t>Vendor page – office furniture</t>
  </si>
  <si>
    <t>Refcon YukSewa – refrigeration rental price list</t>
  </si>
  <si>
    <t>https://yuksewa.refcon.co.id/pricelist/</t>
  </si>
  <si>
    <t>Upright chiller/freezer IDR 0.88–1.58m/month; fridge 0.31–0.70m; showcase 0.26–0.39m; deposits</t>
  </si>
  <si>
    <t>Vendor price list – good</t>
  </si>
  <si>
    <t>Serviamo – coffee machine rental</t>
  </si>
  <si>
    <t>https://serviamo.id/sewa-mesin-kopi/</t>
  </si>
  <si>
    <t>Coffee-shop package from IDR 3.5m/month, min. 6 months; service every 3–4 months</t>
  </si>
  <si>
    <t>Vendor page – get quote</t>
  </si>
  <si>
    <t>Ecolab – Dishmachine Rental Program (US)</t>
  </si>
  <si>
    <t>https://www.ecolab.com/en-us/pages/inst/ecolab-dishmachine-rental-program</t>
  </si>
  <si>
    <t>No upfront investment; 24/7 service &amp; parts included</t>
  </si>
  <si>
    <t>US page – confirm availability in Indonesia</t>
  </si>
  <si>
    <t>Astro Mesin – Unox Indonesia price list</t>
  </si>
  <si>
    <t>https://astromesin.com/unox-indonesia/</t>
  </si>
  <si>
    <t>Unox Cheftop 5-tray electric IDR 113.5m; 5-tray gas 135m; 10-tray electric 209.75m</t>
  </si>
  <si>
    <t>Dealer list price – good</t>
  </si>
  <si>
    <t>CAPEX (Rent), CAPEX (Buy) check</t>
  </si>
  <si>
    <t>Otten Coffee – La Marzocco prices in Indonesia</t>
  </si>
  <si>
    <t>https://ottencoffee.co.id/majalah/harga-mesin-kopi-la-marzocco-tahun-ini</t>
  </si>
  <si>
    <t>Linea PB AV 2-group IDR 163.3m; Linea Classic EE 2-group 111m; Linea Mini 73–93m</t>
  </si>
  <si>
    <t>Retailer article (2024 prices) – medium</t>
  </si>
  <si>
    <t>ORIX Indonesia Finance – Operating lease</t>
  </si>
  <si>
    <t>https://www.orix.co.id/operating-lease</t>
  </si>
  <si>
    <t>Vehicles &amp; IT equipment, 1–4 years, IDR only; PT/CV; 6 months bank statements</t>
  </si>
  <si>
    <t>Company page – good</t>
  </si>
  <si>
    <t>Bisnis.com – OJK: multifinance investment financing −5.33% in H1 2026</t>
  </si>
  <si>
    <t>https://finansial.bisnis.com/read/20260809/89/1994731/ojk-ungkap-penyebab-pembiayaan-investasi-oleh-multifinance-turun-533-semester-i2026</t>
  </si>
  <si>
    <t>Investment financing IDR 167.89tn (−5.33% y/y); NPF gross 3.01%</t>
  </si>
  <si>
    <t>News – good</t>
  </si>
  <si>
    <t>S94</t>
  </si>
  <si>
    <t>Larusso blog – how to get a free showcase</t>
  </si>
  <si>
    <t>https://larusso.co.id/blog/cara-mendapatkan-showcase-gratis/</t>
  </si>
  <si>
    <t>Drink brands lend showcases against minimum sales / conditions, via proposal or sales rep</t>
  </si>
  <si>
    <t>Blog – low/medium; ask brands directly</t>
  </si>
  <si>
    <t>MTM Solusindo – POS rental</t>
  </si>
  <si>
    <t>https://mtmsolusindo.com/sewa-pos-point-of-sale/</t>
  </si>
  <si>
    <t>Android POS set IDR 3.5m/month incl. software; monthly, no 1-year commitment</t>
  </si>
  <si>
    <t>Vendor page</t>
  </si>
  <si>
    <t>S96</t>
  </si>
  <si>
    <t>harga.web.id – Moka POS subscription &amp; hardware prices</t>
  </si>
  <si>
    <t>https://harga.web.id/harga-biaya-langganan-produk-moka-pos.info</t>
  </si>
  <si>
    <t>Moka devices IDR 0.2–6.0m (printer 2.6–4.3m, mPOP 6.0m)</t>
  </si>
  <si>
    <t>Aggregator, 2022 prices – low/medium</t>
  </si>
  <si>
    <t>SeADa – Sewa Alat Dapur (kitchen equipment rental)</t>
  </si>
  <si>
    <t>https://sewaalatdapur.com/</t>
  </si>
  <si>
    <t>Worktables, sinks, burners, fryers, griddles, bain-marie for rent; prices on request</t>
  </si>
  <si>
    <t>Jagoan Sewa – showcase rental Jakarta</t>
  </si>
  <si>
    <t>https://jagoansewa.com/sewa-kulkas-showcase-jakarta-harian-mingguan/</t>
  </si>
  <si>
    <t>Showcase 90–280 L IDR 400–650k/month; deposit IDR 300k</t>
  </si>
  <si>
    <t>Vendor page – short-term focus</t>
  </si>
  <si>
    <t>Mitsubishi HC Capital and Finance Indonesia – About</t>
  </si>
  <si>
    <t>https://www.id.mitsubishi-hc-capital.com/id/about-id.html</t>
  </si>
  <si>
    <t>Japanese-owned multifinance – alternative lessor</t>
  </si>
  <si>
    <t>Company page – request quote</t>
  </si>
  <si>
    <t>SMFL Leasing Indonesia – Company profile</t>
  </si>
  <si>
    <t>https://www.smfl-global.com/indonesia/en/company.html</t>
  </si>
  <si>
    <t>Sumitomo Mitsui equipment lessor – alternative lessor</t>
  </si>
  <si>
    <t>S101</t>
  </si>
  <si>
    <t>UKM Indonesia – tube-ice business (prices)</t>
  </si>
  <si>
    <t>https://ukmindonesia.id/baca-deskripsi-posts/peluang-bisnis-es-batu-kristal-gak-perlu-modal-besar-tapi-untungnya-menjanjikan</t>
  </si>
  <si>
    <t>Retail tube ice ≈ IDR 3–4k/kg (Central Java); small machine IDR 9–10m</t>
  </si>
  <si>
    <t>Article – low; Jakarta delivered price to confirm</t>
  </si>
  <si>
    <t>S102</t>
  </si>
  <si>
    <t>Empo Coffee Roastery – supplier page Jakarta</t>
  </si>
  <si>
    <t>https://www.empocoffee.id/supplier-biji-kopi-jakarta/</t>
  </si>
  <si>
    <t>B2B espresso blends; B2B WhatsApp desk – machine-loan terms not published</t>
  </si>
  <si>
    <t>Vendor page – request offer</t>
  </si>
  <si>
    <t>S103</t>
  </si>
  <si>
    <t>Delta Coffee – HORECA supplier</t>
  </si>
  <si>
    <t>https://deltacoffee.co.id/supplier-kopi-untuk-cafe-resto-hotel/</t>
  </si>
  <si>
    <t>HORECA bean supply, custom blends; partnership/B2B inquiry</t>
  </si>
  <si>
    <t>S104</t>
  </si>
  <si>
    <t>Coca-Cola Europacific Partners Indonesia</t>
  </si>
  <si>
    <t>https://www.cocacolaep.com/id-id/</t>
  </si>
  <si>
    <t>Bottler operating in Indonesia – cooler placement via sales team</t>
  </si>
  <si>
    <t>Company page – contact sales</t>
  </si>
  <si>
    <t>S105+</t>
  </si>
  <si>
    <t>Your additions: broker quotes, operator interviews, supplier quotes (combi oven, espresso, grinders), insurance &amp; accounting quotes, JLL/Colliers PDFs, Fore Coffee IDX prospectus…</t>
  </si>
  <si>
    <t>Research Tracker – Brief Questions → Model → Evidence</t>
  </si>
  <si>
    <t>Where in model</t>
  </si>
  <si>
    <t>Next research step</t>
  </si>
  <si>
    <t>Who / how</t>
  </si>
  <si>
    <t>Sources found so far (IDs)</t>
  </si>
  <si>
    <t>Realistic investment requirement?</t>
  </si>
  <si>
    <t>CAPEX, Scenarios</t>
  </si>
  <si>
    <t>Placeholder</t>
  </si>
  <si>
    <t>3 fit-out quotes for a 150 m² F&amp;B shell; equipment quotes from distributors (combi oven, espresso machine)</t>
  </si>
  <si>
    <t>Contractors, distributors</t>
  </si>
  <si>
    <t>S10, S64–S70 (equipment prices converted, 3 items flagged)</t>
  </si>
  <si>
    <t>Is CHF 200k enough? Does the bank have to be involved?</t>
  </si>
  <si>
    <t>Funding, Dashboard</t>
  </si>
  <si>
    <t>Desk</t>
  </si>
  <si>
    <t>Confirm PT PMA capital rules (IDR 2.5bn paid-up, IDR 10bn plan) and alternatives; ask a Swiss bank about parent-level financing</t>
  </si>
  <si>
    <t>Indonesian lawyer, Swiss bank</t>
  </si>
  <si>
    <t>S01, S02, S19, S65</t>
  </si>
  <si>
    <t>Main CAPEX blocks?</t>
  </si>
  <si>
    <t>Validate split hard/soft/lease/WC with 2 Jakarta operators</t>
  </si>
  <si>
    <t>Operator interviews</t>
  </si>
  <si>
    <t>S10, S64</t>
  </si>
  <si>
    <t>Monthly operating costs?</t>
  </si>
  <si>
    <t>OPEX, Staffing</t>
  </si>
  <si>
    <t>Get insurance, accounting, POS quotes; PLN load (kVA) estimate</t>
  </si>
  <si>
    <t>Quotes</t>
  </si>
  <si>
    <t>S11, S55–S57, S67 (insurance, accounting still open)</t>
  </si>
  <si>
    <t>Realistic rent levels by district?</t>
  </si>
  <si>
    <t>Add 10+ ground-floor listings per district; ask 2 brokers for deal (not asking) rents &amp; lease terms; get JLL/Colliers PDF</t>
  </si>
  <si>
    <t>Brokers, uni portal</t>
  </si>
  <si>
    <t>S20–S29</t>
  </si>
  <si>
    <t>Staff structure &amp; salaries?</t>
  </si>
  <si>
    <t>Staffing</t>
  </si>
  <si>
    <t>Check salaries with 2–3 F&amp;B recruiters / job ads (JobStreet) for premium cafés</t>
  </si>
  <si>
    <t>Recruiters, job ads</t>
  </si>
  <si>
    <t>Food cost &amp; gross margin?</t>
  </si>
  <si>
    <t>Menu</t>
  </si>
  <si>
    <t>Recipe-cost 6 pastas + 5 coffees with Jakarta supplier prices (imported durum pasta, parmigiano, local alternatives)</t>
  </si>
  <si>
    <t>Suppliers</t>
  </si>
  <si>
    <t>S49, S50 (benchmarks only – recipe costing open)</t>
  </si>
  <si>
    <t>Pricing that works in Jakarta?</t>
  </si>
  <si>
    <t>Menu (benchmarks), Inputs</t>
  </si>
  <si>
    <t>Collect 15 comparables (dine-in prices) in Senopati/SCBD; position price ladder</t>
  </si>
  <si>
    <t>Menus, store visits, GoFood</t>
  </si>
  <si>
    <t>S31–S34, S46</t>
  </si>
  <si>
    <t>Daily revenue to break even?</t>
  </si>
  <si>
    <t>Scenarios, Dashboard</t>
  </si>
  <si>
    <t>Model ready</t>
  </si>
  <si>
    <t>Refine once fixed costs validated</t>
  </si>
  <si>
    <t>–</t>
  </si>
  <si>
    <t>Payback period?</t>
  </si>
  <si>
    <t>Annual, Dashboard, Sensitivity</t>
  </si>
  <si>
    <t>Refine ramp-up with operator interviews</t>
  </si>
  <si>
    <t>Operators</t>
  </si>
  <si>
    <t>S60, S62, S63</t>
  </si>
  <si>
    <t>Conservative / base / optimistic?</t>
  </si>
  <si>
    <t>Inputs, Scenarios</t>
  </si>
  <si>
    <t>Agree scenario logic with CORSA</t>
  </si>
  <si>
    <t>CORSA team</t>
  </si>
  <si>
    <t>Biggest financial risks &amp; sensitive assumptions?</t>
  </si>
  <si>
    <t>Sensitivity, MonteCarlo</t>
  </si>
  <si>
    <t>Interpret tornado; focus research on top 3 drivers</t>
  </si>
  <si>
    <t>Footfall &amp; customer profile by district?</t>
  </si>
  <si>
    <t>Count passers-by &amp; guests at 3 comparables per district (weekday lunch, weekend); map competitors on Google Maps</t>
  </si>
  <si>
    <t>Field work</t>
  </si>
  <si>
    <t>S46 (review velocity proxy)</t>
  </si>
  <si>
    <t>Methods &amp; Research Techniques Used in This Model</t>
  </si>
  <si>
    <t>Short reference for the team and for the interim presentation.</t>
  </si>
  <si>
    <t>Source IDs</t>
  </si>
  <si>
    <t>Driver-based model</t>
  </si>
  <si>
    <t>One Inputs sheet, three scenario columns and a switch. Every output is a formula, so new evidence updates everything.</t>
  </si>
  <si>
    <t>Daypart revenue build</t>
  </si>
  <si>
    <t>Guests × spend per daypart (morning/lunch/afternoon/dinner) + delivery + events + retail. More defensible than a single 'covers per day' number.</t>
  </si>
  <si>
    <t>Capacity / RevPASH (Kimes S37, S38)</t>
  </si>
  <si>
    <t>Demand is tested against seats × hours ÷ dwell time. RevPASH = revenue per available seat-hour; benchmark it against observed venues.</t>
  </si>
  <si>
    <t>S37, S38, S77</t>
  </si>
  <si>
    <t>Ramp-up &amp; seasonality</t>
  </si>
  <si>
    <t>Linear ramp from month-1 % to 100% at maturity; Ramadan/Lebaran &amp; December indices. Parsa (S36): early months are where most restaurants fail – fund them.</t>
  </si>
  <si>
    <t>S36, S58, S59, S60</t>
  </si>
  <si>
    <t>Menu engineering (Kasavana–Smith, S39)</t>
  </si>
  <si>
    <t>Items classed by contribution margin vs popularity to set prices and the blended food-cost %.</t>
  </si>
  <si>
    <t>S39, S49, S50</t>
  </si>
  <si>
    <t>Fixed costs ÷ contribution-margin % → revenue/day and guests/day. Margin of safety = how far revenue can fall before losses.</t>
  </si>
  <si>
    <t>Payback, NPV, IRR</t>
  </si>
  <si>
    <t>Unlevered project cash flows incl. rent prepayment timing; payback month from the cumulative line; 5-year IRR with optional terminal value.</t>
  </si>
  <si>
    <t>S61, S62, S63</t>
  </si>
  <si>
    <t>Location economics</t>
  </si>
  <si>
    <t>District rents from asking-price evidence (P25/median/P75), service charges, weighted scoring, and occupancy-cost % vs revenue. Upgrade: Huff gravity model (S40, S41).</t>
  </si>
  <si>
    <t>S20–S27, S40, S41, S46</t>
  </si>
  <si>
    <t>Sensitivity / tornado</t>
  </si>
  <si>
    <t>Each driver ±flex while others stay at base; sorted by EBITDA swing. Two-way grids show interactions (volume × price, volume × rent).</t>
  </si>
  <si>
    <t>Monte Carlo (S42)</t>
  </si>
  <si>
    <t>1,000 triangular draws per driver between conservative and optimistic values → probability of loss and of payback within 3/5 years.</t>
  </si>
  <si>
    <t>Evidence triangulation</t>
  </si>
  <si>
    <t>For each key input: desk source + listing/quote + interview. Disagreement between sources becomes the scenario range.</t>
  </si>
  <si>
    <t>Field techniques</t>
  </si>
  <si>
    <t>Footfall counts (15-min samples × dayparts), seat-occupancy and dwell timing at comparables, menu-price scraping (dine-in &amp; GoFood), broker &amp; operator interviews (5–8), supplier quotes.</t>
  </si>
  <si>
    <t>S37, S46</t>
  </si>
  <si>
    <t>Limitations (v0.1)</t>
  </si>
  <si>
    <t>Asking rents ≠ deal rents; menu and food costs are illustrative; tax simplified; no VAT/PBJT cash timing; independent Monte Carlo draws; legal structure unverified.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</si>
</sst>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
    <numFmt numFmtId="167" formatCode="&quot;CHF &quot;#,##0;&quot;(CHF &quot;#,##0\);\-"/>
    <numFmt numFmtId="168" formatCode="0.0%;\(0.0%\);\-"/>
    <numFmt numFmtId="169" formatCode="mmm\ yyyy"/>
    <numFmt numFmtId="170" formatCode="0.00\x"/>
    <numFmt numFmtId="171" formatCode="0.#"/>
    <numFmt numFmtId="172" formatCode="0.000"/>
    <numFmt numFmtId="173" formatCode="#,##0,,\m"/>
    <numFmt numFmtId="174" formatCode="#,##0.0"/>
  </numFmts>
  <fonts count="38" x14ac:knownFonts="1">
    <font>
      <sz val="11"/>
      <color theme="1"/>
      <name val="Calibri"/>
      <family val="2"/>
      <charset val="1"/>
    </font>
    <font>
      <i/>
      <sz val="10"/>
      <color rgb="FF595959"/>
      <name val="Arial"/>
      <family val="2"/>
    </font>
    <font>
      <b/>
      <sz val="10"/>
      <color rgb="FF000000"/>
      <name val="Arial"/>
      <family val="2"/>
    </font>
    <font>
      <sz val="10"/>
      <color rgb="FF000000"/>
      <name val="Arial"/>
      <family val="2"/>
    </font>
    <font>
      <b/>
      <sz val="10"/>
      <name val="Arial"/>
      <family val="2"/>
    </font>
    <font>
      <b/>
      <sz val="10"/>
      <color rgb="FF008000"/>
      <name val="Arial"/>
      <family val="2"/>
    </font>
    <font>
      <b/>
      <sz val="10"/>
      <color rgb="FFFFFFFF"/>
      <name val="Arial"/>
      <family val="2"/>
    </font>
    <font>
      <sz val="10"/>
      <color rgb="FF008000"/>
      <name val="Arial"/>
      <family val="2"/>
    </font>
    <font>
      <sz val="10"/>
      <color rgb="FF0000FF"/>
      <name val="Arial"/>
      <family val="2"/>
    </font>
    <font>
      <sz val="8"/>
      <color rgb="FF808080"/>
      <name val="Arial"/>
      <family val="2"/>
    </font>
    <font>
      <sz val="10"/>
      <color rgb="FFC00000"/>
      <name val="Arial"/>
      <family val="2"/>
    </font>
    <font>
      <u/>
      <sz val="9"/>
      <color rgb="FF0563C1"/>
      <name val="Arial"/>
      <family val="2"/>
    </font>
    <font>
      <sz val="9"/>
      <name val="Arial"/>
      <family val="2"/>
    </font>
    <font>
      <sz val="10"/>
      <name val="Arial"/>
      <family val="2"/>
    </font>
    <font>
      <i/>
      <sz val="9"/>
      <name val="Arial"/>
      <family val="2"/>
    </font>
    <font>
      <u/>
      <sz val="11"/>
      <color theme="10"/>
      <name val="Calibri"/>
      <family val="2"/>
      <charset val="1"/>
    </font>
    <font>
      <i/>
      <sz val="10"/>
      <color rgb="FF595959"/>
      <name val="Arial"/>
      <family val="2"/>
    </font>
    <font>
      <b/>
      <sz val="11"/>
      <color theme="1"/>
      <name val="Calibri"/>
      <family val="2"/>
    </font>
    <font>
      <b/>
      <sz val="12"/>
      <color theme="1"/>
      <name val="Calibri"/>
      <family val="2"/>
    </font>
    <font>
      <sz val="12"/>
      <color theme="1"/>
      <name val="Calibri"/>
      <family val="2"/>
    </font>
    <font>
      <b/>
      <sz val="14"/>
      <color rgb="FFC00000"/>
      <name val="Arial"/>
      <family val="2"/>
    </font>
    <font>
      <b/>
      <sz val="12"/>
      <color rgb="FFC00000"/>
      <name val="Arial"/>
      <family val="2"/>
    </font>
    <font>
      <sz val="10"/>
      <color rgb="FF000000"/>
      <name val="Arial"/>
      <family val="2"/>
    </font>
    <font>
      <b/>
      <sz val="10"/>
      <color rgb="FFC00000"/>
      <name val="Arial"/>
      <family val="2"/>
    </font>
    <font>
      <b/>
      <sz val="10"/>
      <name val="Arial"/>
      <family val="2"/>
    </font>
    <font>
      <b/>
      <sz val="14"/>
      <color rgb="FFC00000"/>
      <name val="Arial"/>
      <family val="2"/>
    </font>
    <font>
      <sz val="10"/>
      <color rgb="FF595959"/>
      <name val="Arial"/>
      <family val="2"/>
    </font>
    <font>
      <b/>
      <sz val="11"/>
      <name val="Calibri"/>
      <family val="2"/>
    </font>
    <font>
      <b/>
      <sz val="12"/>
      <name val="Calibri"/>
      <family val="2"/>
    </font>
    <font>
      <b/>
      <sz val="10"/>
      <color rgb="FF000000"/>
      <name val="Arial"/>
      <family val="2"/>
    </font>
    <font>
      <sz val="10"/>
      <color rgb="FF000000"/>
      <name val="Arial"/>
      <family val="2"/>
    </font>
    <font>
      <sz val="10"/>
      <color rgb="FF008000"/>
      <name val="Arial"/>
      <family val="2"/>
    </font>
    <font>
      <b/>
      <sz val="10"/>
      <color rgb="FFFFFFFF"/>
      <name val="Arial"/>
      <family val="2"/>
    </font>
    <font>
      <b/>
      <sz val="10"/>
      <color rgb="FF0000FF"/>
      <name val="Arial"/>
      <family val="2"/>
    </font>
    <font>
      <sz val="10"/>
      <color rgb="FF0000FF"/>
      <name val="Arial"/>
      <family val="2"/>
    </font>
    <font>
      <b/>
      <sz val="12"/>
      <color rgb="FFC00000"/>
      <name val="Arial"/>
      <family val="2"/>
    </font>
    <font>
      <b/>
      <sz val="10"/>
      <color rgb="FF008000"/>
      <name val="Arial"/>
      <family val="2"/>
    </font>
    <font>
      <i/>
      <sz val="10"/>
      <color rgb="FF595959"/>
      <name val="Arial"/>
      <family val="2"/>
    </font>
  </fonts>
  <fills count="21">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EDEDED"/>
        <bgColor rgb="FFE2EFDA"/>
      </patternFill>
    </fill>
    <fill>
      <patternFill patternType="solid">
        <fgColor rgb="FFFFF2CC"/>
        <bgColor rgb="FFFCE4D6"/>
      </patternFill>
    </fill>
    <fill>
      <patternFill patternType="solid">
        <fgColor rgb="FFFCE4D6"/>
        <bgColor rgb="FFFFF2CC"/>
      </patternFill>
    </fill>
    <fill>
      <patternFill patternType="solid">
        <fgColor rgb="FFE2EFDA"/>
        <bgColor rgb="FFEDEDED"/>
      </patternFill>
    </fill>
    <fill>
      <patternFill patternType="solid">
        <fgColor rgb="FFFF0000"/>
        <bgColor indexed="64"/>
      </patternFill>
    </fill>
    <fill>
      <patternFill patternType="solid">
        <fgColor rgb="FFFFFF00"/>
        <bgColor indexed="64"/>
      </patternFill>
    </fill>
    <fill>
      <patternFill patternType="solid">
        <fgColor rgb="FFFF0000"/>
        <bgColor rgb="FFEDEDED"/>
      </patternFill>
    </fill>
    <fill>
      <patternFill patternType="solid">
        <fgColor rgb="FFFFC000"/>
        <bgColor indexed="64"/>
      </patternFill>
    </fill>
    <fill>
      <patternFill patternType="solid">
        <fgColor theme="0"/>
        <bgColor rgb="FFFFFF00"/>
      </patternFill>
    </fill>
    <fill>
      <patternFill patternType="solid">
        <fgColor rgb="FFC00000"/>
        <bgColor rgb="FF333333"/>
      </patternFill>
    </fill>
    <fill>
      <patternFill patternType="solid">
        <fgColor theme="5" tint="0.59999389629810485"/>
        <bgColor rgb="FFD9D9D9"/>
      </patternFill>
    </fill>
    <fill>
      <patternFill patternType="solid">
        <fgColor theme="0"/>
        <bgColor indexed="64"/>
      </patternFill>
    </fill>
    <fill>
      <patternFill patternType="solid">
        <fgColor rgb="FFFFFF00"/>
      </patternFill>
    </fill>
    <fill>
      <patternFill patternType="solid">
        <fgColor rgb="FFC00000"/>
      </patternFill>
    </fill>
    <fill>
      <patternFill patternType="solid">
        <fgColor rgb="FF1F4E78"/>
      </patternFill>
    </fill>
    <fill>
      <patternFill patternType="solid">
        <fgColor rgb="FFE2EFDA"/>
      </patternFill>
    </fill>
    <fill>
      <patternFill patternType="solid">
        <f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215">
    <xf numFmtId="0" fontId="0" fillId="0" borderId="0" xfId="0"/>
    <xf numFmtId="164" fontId="7" fillId="0" borderId="1" xfId="0" applyNumberFormat="1" applyFont="1" applyBorder="1" applyAlignment="1">
      <alignment horizontal="right" vertical="top" wrapText="1"/>
    </xf>
    <xf numFmtId="165" fontId="7" fillId="0" borderId="1" xfId="0" applyNumberFormat="1" applyFont="1" applyBorder="1" applyAlignment="1">
      <alignment horizontal="right" vertical="top" wrapText="1"/>
    </xf>
    <xf numFmtId="0" fontId="3" fillId="0" borderId="1" xfId="0" applyFont="1" applyBorder="1" applyAlignment="1">
      <alignment horizontal="right" vertical="top" wrapText="1"/>
    </xf>
    <xf numFmtId="166" fontId="7" fillId="0" borderId="1" xfId="0" applyNumberFormat="1" applyFont="1" applyBorder="1" applyAlignment="1">
      <alignment horizontal="right" vertical="top" wrapText="1"/>
    </xf>
    <xf numFmtId="0" fontId="3" fillId="7" borderId="1" xfId="0" applyFont="1" applyFill="1" applyBorder="1" applyAlignment="1">
      <alignment vertical="top" wrapText="1"/>
    </xf>
    <xf numFmtId="0" fontId="3" fillId="6" borderId="1" xfId="0" applyFont="1" applyFill="1" applyBorder="1" applyAlignment="1">
      <alignmen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0" borderId="1" xfId="0" applyFont="1" applyBorder="1" applyAlignment="1">
      <alignment vertical="top" wrapText="1"/>
    </xf>
    <xf numFmtId="0" fontId="6" fillId="3" borderId="0" xfId="0" applyFont="1" applyFill="1" applyAlignment="1">
      <alignment vertical="top" wrapText="1"/>
    </xf>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3" fillId="0" borderId="0" xfId="0" applyFont="1"/>
    <xf numFmtId="166" fontId="7" fillId="0" borderId="0" xfId="0" applyNumberFormat="1" applyFont="1"/>
    <xf numFmtId="167" fontId="7" fillId="0" borderId="0" xfId="0" applyNumberFormat="1" applyFont="1"/>
    <xf numFmtId="3" fontId="7" fillId="0" borderId="0" xfId="0" applyNumberFormat="1" applyFont="1"/>
    <xf numFmtId="168" fontId="7" fillId="0" borderId="0" xfId="0" applyNumberFormat="1" applyFont="1"/>
    <xf numFmtId="0" fontId="7" fillId="0" borderId="0" xfId="0" applyFont="1"/>
    <xf numFmtId="164" fontId="7" fillId="0" borderId="0" xfId="0" applyNumberFormat="1" applyFont="1"/>
    <xf numFmtId="0" fontId="7" fillId="0" borderId="1" xfId="0" applyFont="1" applyBorder="1" applyAlignment="1">
      <alignment horizontal="right" vertical="top" wrapText="1"/>
    </xf>
    <xf numFmtId="3" fontId="8" fillId="2" borderId="0" xfId="0" applyNumberFormat="1" applyFont="1" applyFill="1"/>
    <xf numFmtId="0" fontId="9" fillId="0" borderId="0" xfId="0" applyFont="1"/>
    <xf numFmtId="3" fontId="8" fillId="0" borderId="0" xfId="0" applyNumberFormat="1" applyFont="1"/>
    <xf numFmtId="3" fontId="2" fillId="7" borderId="0" xfId="0" applyNumberFormat="1" applyFont="1" applyFill="1"/>
    <xf numFmtId="0" fontId="3" fillId="0" borderId="0" xfId="0" applyFont="1" applyAlignment="1">
      <alignment horizontal="center" vertical="top"/>
    </xf>
    <xf numFmtId="0" fontId="3" fillId="7" borderId="0" xfId="0" applyFont="1" applyFill="1" applyAlignment="1">
      <alignment vertical="top" wrapText="1"/>
    </xf>
    <xf numFmtId="169" fontId="8" fillId="0" borderId="0" xfId="0" applyNumberFormat="1" applyFont="1"/>
    <xf numFmtId="169" fontId="2" fillId="7" borderId="0" xfId="0" applyNumberFormat="1" applyFont="1" applyFill="1"/>
    <xf numFmtId="0" fontId="3" fillId="6" borderId="0" xfId="0" applyFont="1" applyFill="1" applyAlignment="1">
      <alignment vertical="top" wrapText="1"/>
    </xf>
    <xf numFmtId="168" fontId="8" fillId="0" borderId="0" xfId="0" applyNumberFormat="1" applyFont="1"/>
    <xf numFmtId="168" fontId="2" fillId="7" borderId="0" xfId="0" applyNumberFormat="1" applyFont="1" applyFill="1"/>
    <xf numFmtId="0" fontId="3" fillId="4" borderId="0" xfId="0" applyFont="1" applyFill="1" applyAlignment="1">
      <alignment vertical="top" wrapText="1"/>
    </xf>
    <xf numFmtId="170" fontId="8" fillId="2" borderId="0" xfId="0" applyNumberFormat="1" applyFont="1" applyFill="1"/>
    <xf numFmtId="170" fontId="2" fillId="7" borderId="0" xfId="0" applyNumberFormat="1" applyFont="1" applyFill="1"/>
    <xf numFmtId="0" fontId="3" fillId="5" borderId="0" xfId="0" applyFont="1" applyFill="1" applyAlignment="1">
      <alignment vertical="top" wrapText="1"/>
    </xf>
    <xf numFmtId="164" fontId="8" fillId="0" borderId="0" xfId="0" applyNumberFormat="1" applyFont="1"/>
    <xf numFmtId="164" fontId="2" fillId="7" borderId="0" xfId="0" applyNumberFormat="1" applyFont="1" applyFill="1"/>
    <xf numFmtId="166" fontId="7" fillId="2" borderId="0" xfId="0" applyNumberFormat="1" applyFont="1" applyFill="1"/>
    <xf numFmtId="166" fontId="2" fillId="7" borderId="0" xfId="0" applyNumberFormat="1" applyFont="1" applyFill="1"/>
    <xf numFmtId="166" fontId="8" fillId="0" borderId="0" xfId="0" applyNumberFormat="1" applyFont="1"/>
    <xf numFmtId="166" fontId="8" fillId="2" borderId="0" xfId="0" applyNumberFormat="1" applyFont="1" applyFill="1"/>
    <xf numFmtId="168" fontId="8" fillId="2" borderId="0" xfId="0" applyNumberFormat="1" applyFont="1" applyFill="1"/>
    <xf numFmtId="4" fontId="8" fillId="0" borderId="0" xfId="0" applyNumberFormat="1" applyFont="1"/>
    <xf numFmtId="4" fontId="2" fillId="7" borderId="0" xfId="0" applyNumberFormat="1" applyFont="1" applyFill="1"/>
    <xf numFmtId="170" fontId="8" fillId="0" borderId="0" xfId="0" applyNumberFormat="1" applyFont="1"/>
    <xf numFmtId="167" fontId="8" fillId="0" borderId="0" xfId="0" applyNumberFormat="1" applyFont="1"/>
    <xf numFmtId="167" fontId="2" fillId="7" borderId="0" xfId="0" applyNumberFormat="1" applyFont="1" applyFill="1"/>
    <xf numFmtId="2" fontId="8" fillId="0" borderId="0" xfId="0" applyNumberFormat="1" applyFont="1"/>
    <xf numFmtId="2" fontId="2" fillId="7" borderId="0" xfId="0" applyNumberFormat="1" applyFont="1" applyFill="1"/>
    <xf numFmtId="0" fontId="8" fillId="0" borderId="0" xfId="0" applyFont="1"/>
    <xf numFmtId="166" fontId="3" fillId="0" borderId="0" xfId="0" applyNumberFormat="1" applyFont="1"/>
    <xf numFmtId="171" fontId="8" fillId="0" borderId="0" xfId="0" applyNumberFormat="1" applyFont="1"/>
    <xf numFmtId="168" fontId="3" fillId="0" borderId="0" xfId="0" applyNumberFormat="1" applyFont="1"/>
    <xf numFmtId="2" fontId="3" fillId="0" borderId="0" xfId="0" applyNumberFormat="1" applyFont="1"/>
    <xf numFmtId="0" fontId="3" fillId="5" borderId="0" xfId="0" applyFont="1" applyFill="1"/>
    <xf numFmtId="3" fontId="2" fillId="0" borderId="0" xfId="0" applyNumberFormat="1" applyFont="1"/>
    <xf numFmtId="166" fontId="2" fillId="0" borderId="0" xfId="0" applyNumberFormat="1" applyFont="1"/>
    <xf numFmtId="166" fontId="3" fillId="7" borderId="0" xfId="0" applyNumberFormat="1" applyFont="1" applyFill="1"/>
    <xf numFmtId="3" fontId="7" fillId="7" borderId="0" xfId="0" applyNumberFormat="1" applyFont="1" applyFill="1"/>
    <xf numFmtId="3" fontId="3" fillId="0" borderId="0" xfId="0" applyNumberFormat="1" applyFont="1"/>
    <xf numFmtId="0" fontId="3" fillId="7" borderId="0" xfId="0" applyFont="1" applyFill="1"/>
    <xf numFmtId="164" fontId="3" fillId="0" borderId="0" xfId="0" applyNumberFormat="1" applyFont="1"/>
    <xf numFmtId="168" fontId="5" fillId="7" borderId="0" xfId="0" applyNumberFormat="1" applyFont="1" applyFill="1"/>
    <xf numFmtId="0" fontId="10" fillId="0" borderId="0" xfId="0" applyFont="1" applyAlignment="1">
      <alignment vertical="top" wrapText="1"/>
    </xf>
    <xf numFmtId="0" fontId="3" fillId="6" borderId="0" xfId="0" applyFont="1" applyFill="1"/>
    <xf numFmtId="167" fontId="7" fillId="7" borderId="0" xfId="0" applyNumberFormat="1" applyFont="1" applyFill="1"/>
    <xf numFmtId="3" fontId="5" fillId="7" borderId="0" xfId="0" applyNumberFormat="1" applyFont="1" applyFill="1"/>
    <xf numFmtId="166" fontId="5" fillId="7" borderId="0" xfId="0" applyNumberFormat="1" applyFont="1" applyFill="1"/>
    <xf numFmtId="167" fontId="5" fillId="7" borderId="0" xfId="0" applyNumberFormat="1" applyFont="1" applyFill="1"/>
    <xf numFmtId="166" fontId="5" fillId="0" borderId="0" xfId="0" applyNumberFormat="1" applyFont="1"/>
    <xf numFmtId="167" fontId="5" fillId="0" borderId="0" xfId="0" applyNumberFormat="1" applyFont="1"/>
    <xf numFmtId="164" fontId="5" fillId="7" borderId="0" xfId="0" applyNumberFormat="1" applyFont="1" applyFill="1"/>
    <xf numFmtId="3" fontId="4" fillId="0" borderId="0" xfId="0" applyNumberFormat="1" applyFont="1"/>
    <xf numFmtId="169" fontId="7" fillId="0" borderId="0" xfId="0" applyNumberFormat="1" applyFont="1"/>
    <xf numFmtId="2" fontId="7" fillId="0" borderId="0" xfId="0" applyNumberFormat="1" applyFont="1"/>
    <xf numFmtId="172" fontId="7" fillId="0" borderId="0" xfId="0" applyNumberFormat="1" applyFont="1"/>
    <xf numFmtId="172" fontId="3" fillId="0" borderId="0" xfId="0" applyNumberFormat="1" applyFont="1"/>
    <xf numFmtId="172" fontId="8" fillId="0" borderId="0" xfId="0" applyNumberFormat="1" applyFont="1"/>
    <xf numFmtId="173" fontId="3" fillId="0" borderId="0" xfId="0" applyNumberFormat="1" applyFont="1"/>
    <xf numFmtId="168" fontId="3" fillId="7" borderId="0" xfId="0" applyNumberFormat="1" applyFont="1" applyFill="1"/>
    <xf numFmtId="164" fontId="3" fillId="7" borderId="0" xfId="0" applyNumberFormat="1" applyFont="1" applyFill="1"/>
    <xf numFmtId="172" fontId="0" fillId="0" borderId="0" xfId="0" applyNumberFormat="1"/>
    <xf numFmtId="166" fontId="0" fillId="0" borderId="0" xfId="0" applyNumberFormat="1"/>
    <xf numFmtId="164" fontId="0" fillId="0" borderId="0" xfId="0" applyNumberFormat="1"/>
    <xf numFmtId="0" fontId="11" fillId="0" borderId="0" xfId="0" applyFont="1"/>
    <xf numFmtId="0" fontId="12"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1" fillId="0" borderId="0" xfId="0" applyFont="1" applyAlignment="1">
      <alignment vertical="top" wrapText="1"/>
    </xf>
    <xf numFmtId="3" fontId="8" fillId="8" borderId="0" xfId="0" applyNumberFormat="1" applyFont="1" applyFill="1"/>
    <xf numFmtId="2" fontId="8" fillId="8" borderId="0" xfId="0" applyNumberFormat="1" applyFont="1" applyFill="1"/>
    <xf numFmtId="0" fontId="16" fillId="0" borderId="0" xfId="0" applyFont="1"/>
    <xf numFmtId="0" fontId="0" fillId="0" borderId="0" xfId="0" applyAlignment="1">
      <alignment wrapText="1"/>
    </xf>
    <xf numFmtId="0" fontId="17" fillId="0" borderId="0" xfId="0" applyFont="1"/>
    <xf numFmtId="0" fontId="0" fillId="9" borderId="0" xfId="0" applyFill="1"/>
    <xf numFmtId="0" fontId="18" fillId="9" borderId="0" xfId="0" applyFont="1" applyFill="1"/>
    <xf numFmtId="166" fontId="7" fillId="8" borderId="0" xfId="0" applyNumberFormat="1" applyFont="1" applyFill="1"/>
    <xf numFmtId="166" fontId="2" fillId="10" borderId="0" xfId="0" applyNumberFormat="1" applyFont="1" applyFill="1"/>
    <xf numFmtId="0" fontId="0" fillId="8" borderId="0" xfId="0" applyFill="1"/>
    <xf numFmtId="166" fontId="7" fillId="10" borderId="0" xfId="0" applyNumberFormat="1" applyFont="1" applyFill="1"/>
    <xf numFmtId="168" fontId="7" fillId="8" borderId="0" xfId="0" applyNumberFormat="1" applyFont="1" applyFill="1"/>
    <xf numFmtId="168" fontId="5" fillId="10" borderId="0" xfId="0" applyNumberFormat="1" applyFont="1" applyFill="1"/>
    <xf numFmtId="166" fontId="8" fillId="8" borderId="0" xfId="0" applyNumberFormat="1" applyFont="1" applyFill="1"/>
    <xf numFmtId="0" fontId="3" fillId="11" borderId="0" xfId="0" applyFont="1" applyFill="1"/>
    <xf numFmtId="0" fontId="19" fillId="9" borderId="0" xfId="0" applyFont="1" applyFill="1"/>
    <xf numFmtId="167" fontId="7" fillId="8" borderId="0" xfId="0" applyNumberFormat="1" applyFont="1" applyFill="1"/>
    <xf numFmtId="166" fontId="3" fillId="10" borderId="0" xfId="0" applyNumberFormat="1" applyFont="1" applyFill="1"/>
    <xf numFmtId="166" fontId="3" fillId="8" borderId="0" xfId="0" applyNumberFormat="1" applyFont="1" applyFill="1"/>
    <xf numFmtId="3" fontId="7" fillId="8" borderId="0" xfId="0" applyNumberFormat="1" applyFont="1" applyFill="1"/>
    <xf numFmtId="170" fontId="7" fillId="8" borderId="0" xfId="0" applyNumberFormat="1" applyFont="1" applyFill="1"/>
    <xf numFmtId="0" fontId="3" fillId="8" borderId="0" xfId="0" applyFont="1" applyFill="1"/>
    <xf numFmtId="168" fontId="3" fillId="8" borderId="0" xfId="0" applyNumberFormat="1" applyFont="1" applyFill="1"/>
    <xf numFmtId="0" fontId="20" fillId="0" borderId="0" xfId="0" applyFont="1"/>
    <xf numFmtId="0" fontId="5" fillId="12" borderId="0" xfId="0" applyFont="1" applyFill="1"/>
    <xf numFmtId="0" fontId="6" fillId="13" borderId="0" xfId="0" applyFont="1" applyFill="1" applyAlignment="1">
      <alignment vertical="center" wrapText="1"/>
    </xf>
    <xf numFmtId="0" fontId="21" fillId="0" borderId="0" xfId="0" applyFont="1"/>
    <xf numFmtId="0" fontId="6" fillId="13" borderId="0" xfId="0" applyFont="1" applyFill="1" applyAlignment="1">
      <alignment vertical="top" wrapText="1"/>
    </xf>
    <xf numFmtId="0" fontId="4" fillId="14" borderId="0" xfId="0" applyFont="1" applyFill="1"/>
    <xf numFmtId="0" fontId="0" fillId="14" borderId="0" xfId="0" applyFill="1"/>
    <xf numFmtId="0" fontId="15" fillId="0" borderId="0" xfId="1"/>
    <xf numFmtId="0" fontId="23" fillId="0" borderId="0" xfId="0" applyFont="1"/>
    <xf numFmtId="0" fontId="20" fillId="15" borderId="0" xfId="0" applyFont="1" applyFill="1"/>
    <xf numFmtId="0" fontId="24" fillId="14" borderId="0" xfId="0" applyFont="1" applyFill="1"/>
    <xf numFmtId="0" fontId="17" fillId="9" borderId="0" xfId="0" applyFont="1" applyFill="1" applyAlignment="1">
      <alignment wrapText="1"/>
    </xf>
    <xf numFmtId="0" fontId="22" fillId="0" borderId="0" xfId="0" applyFont="1" applyAlignment="1">
      <alignment vertical="top" wrapText="1"/>
    </xf>
    <xf numFmtId="3" fontId="8" fillId="9" borderId="0" xfId="0" applyNumberFormat="1" applyFont="1" applyFill="1"/>
    <xf numFmtId="0" fontId="29" fillId="0" borderId="0" xfId="0" applyFont="1"/>
    <xf numFmtId="0" fontId="36" fillId="0" borderId="0" xfId="0" applyFont="1"/>
    <xf numFmtId="166" fontId="31" fillId="0" borderId="0" xfId="0" applyNumberFormat="1" applyFont="1"/>
    <xf numFmtId="167" fontId="30" fillId="0" borderId="0" xfId="0" applyNumberFormat="1" applyFont="1"/>
    <xf numFmtId="0" fontId="29" fillId="0" borderId="0" xfId="0" applyFont="1" applyAlignment="1">
      <alignment horizontal="right"/>
    </xf>
    <xf numFmtId="0" fontId="33" fillId="16" borderId="0" xfId="0" applyFont="1" applyFill="1" applyAlignment="1">
      <alignment horizontal="center"/>
    </xf>
    <xf numFmtId="0" fontId="30" fillId="0" borderId="0" xfId="0" applyFont="1"/>
    <xf numFmtId="166" fontId="31" fillId="8" borderId="0" xfId="0" applyNumberFormat="1" applyFont="1" applyFill="1"/>
    <xf numFmtId="0" fontId="25" fillId="0" borderId="0" xfId="0" applyFont="1"/>
    <xf numFmtId="0" fontId="26" fillId="0" borderId="0" xfId="0" applyFont="1"/>
    <xf numFmtId="0" fontId="27" fillId="0" borderId="0" xfId="0" applyFont="1"/>
    <xf numFmtId="0" fontId="28" fillId="16" borderId="0" xfId="0" applyFont="1" applyFill="1"/>
    <xf numFmtId="0" fontId="29" fillId="16" borderId="0" xfId="0" applyFont="1" applyFill="1"/>
    <xf numFmtId="3" fontId="31" fillId="0" borderId="0" xfId="0" applyNumberFormat="1" applyFont="1"/>
    <xf numFmtId="0" fontId="32" fillId="17" borderId="0" xfId="0" applyFont="1" applyFill="1" applyAlignment="1">
      <alignment vertical="center" wrapText="1"/>
    </xf>
    <xf numFmtId="0" fontId="32" fillId="18" borderId="0" xfId="0" applyFont="1" applyFill="1" applyAlignment="1">
      <alignment vertical="center" wrapText="1"/>
    </xf>
    <xf numFmtId="166" fontId="30" fillId="0" borderId="0" xfId="0" applyNumberFormat="1" applyFont="1"/>
    <xf numFmtId="166" fontId="29" fillId="0" borderId="0" xfId="0" applyNumberFormat="1" applyFont="1"/>
    <xf numFmtId="168" fontId="30" fillId="0" borderId="0" xfId="0" applyNumberFormat="1" applyFont="1"/>
    <xf numFmtId="0" fontId="30" fillId="0" borderId="0" xfId="0" applyFont="1" applyAlignment="1">
      <alignment vertical="top" wrapText="1"/>
    </xf>
    <xf numFmtId="0" fontId="30" fillId="19" borderId="0" xfId="0" applyFont="1" applyFill="1" applyAlignment="1">
      <alignment vertical="top"/>
    </xf>
    <xf numFmtId="1" fontId="33" fillId="16" borderId="0" xfId="0" applyNumberFormat="1" applyFont="1" applyFill="1" applyAlignment="1">
      <alignment horizontal="center" vertical="top"/>
    </xf>
    <xf numFmtId="0" fontId="30" fillId="0" borderId="0" xfId="0" applyFont="1" applyAlignment="1">
      <alignment vertical="top"/>
    </xf>
    <xf numFmtId="3" fontId="30" fillId="0" borderId="0" xfId="0" applyNumberFormat="1" applyFont="1"/>
    <xf numFmtId="3" fontId="34" fillId="0" borderId="0" xfId="0" applyNumberFormat="1" applyFont="1"/>
    <xf numFmtId="166" fontId="34" fillId="0" borderId="0" xfId="0" applyNumberFormat="1" applyFont="1"/>
    <xf numFmtId="166" fontId="29" fillId="20" borderId="0" xfId="0" applyNumberFormat="1" applyFont="1" applyFill="1"/>
    <xf numFmtId="167" fontId="29" fillId="20" borderId="0" xfId="0" applyNumberFormat="1" applyFont="1" applyFill="1"/>
    <xf numFmtId="168" fontId="29" fillId="20" borderId="0" xfId="0" applyNumberFormat="1" applyFont="1" applyFill="1"/>
    <xf numFmtId="0" fontId="31" fillId="0" borderId="0" xfId="0" applyFont="1"/>
    <xf numFmtId="0" fontId="31" fillId="0" borderId="0" xfId="0" applyFont="1" applyAlignment="1">
      <alignment vertical="top" wrapText="1"/>
    </xf>
    <xf numFmtId="0" fontId="31" fillId="19" borderId="0" xfId="0" applyFont="1" applyFill="1"/>
    <xf numFmtId="168" fontId="31" fillId="0" borderId="0" xfId="0" applyNumberFormat="1" applyFont="1"/>
    <xf numFmtId="0" fontId="30" fillId="19" borderId="0" xfId="0" applyFont="1" applyFill="1"/>
    <xf numFmtId="174" fontId="31" fillId="0" borderId="0" xfId="0" applyNumberFormat="1" applyFont="1"/>
    <xf numFmtId="166" fontId="29" fillId="19" borderId="0" xfId="0" applyNumberFormat="1" applyFont="1" applyFill="1"/>
    <xf numFmtId="167" fontId="29" fillId="19" borderId="0" xfId="0" applyNumberFormat="1" applyFont="1" applyFill="1"/>
    <xf numFmtId="168" fontId="29" fillId="19" borderId="0" xfId="0" applyNumberFormat="1" applyFont="1" applyFill="1"/>
    <xf numFmtId="0" fontId="35" fillId="0" borderId="0" xfId="0" applyFont="1"/>
    <xf numFmtId="0" fontId="30" fillId="0" borderId="4" xfId="0" applyFont="1" applyBorder="1" applyAlignment="1">
      <alignment vertical="top" wrapText="1"/>
    </xf>
    <xf numFmtId="166" fontId="31" fillId="0" borderId="4" xfId="0" applyNumberFormat="1" applyFont="1" applyBorder="1"/>
    <xf numFmtId="166" fontId="29" fillId="0" borderId="4" xfId="0" applyNumberFormat="1" applyFont="1" applyBorder="1"/>
    <xf numFmtId="166" fontId="30" fillId="0" borderId="4" xfId="0" applyNumberFormat="1" applyFont="1" applyBorder="1"/>
    <xf numFmtId="167" fontId="30" fillId="0" borderId="4" xfId="0" applyNumberFormat="1" applyFont="1" applyBorder="1"/>
    <xf numFmtId="167" fontId="29" fillId="0" borderId="4" xfId="0" applyNumberFormat="1" applyFont="1" applyBorder="1"/>
    <xf numFmtId="0" fontId="30" fillId="0" borderId="4" xfId="0" applyFont="1" applyBorder="1"/>
    <xf numFmtId="0" fontId="29" fillId="0" borderId="4" xfId="0" applyFont="1" applyBorder="1"/>
    <xf numFmtId="0" fontId="36" fillId="0" borderId="4" xfId="0" applyFont="1" applyBorder="1"/>
    <xf numFmtId="0" fontId="32" fillId="17" borderId="0" xfId="0" applyFont="1" applyFill="1"/>
    <xf numFmtId="3" fontId="34" fillId="0" borderId="4" xfId="0" applyNumberFormat="1" applyFont="1" applyBorder="1"/>
    <xf numFmtId="10" fontId="34" fillId="16" borderId="4" xfId="0" applyNumberFormat="1" applyFont="1" applyFill="1" applyBorder="1"/>
    <xf numFmtId="168" fontId="34" fillId="16" borderId="4" xfId="0" applyNumberFormat="1" applyFont="1" applyFill="1" applyBorder="1"/>
    <xf numFmtId="10" fontId="34" fillId="0" borderId="4" xfId="0" applyNumberFormat="1" applyFont="1" applyBorder="1"/>
    <xf numFmtId="166" fontId="34" fillId="0" borderId="4" xfId="0" applyNumberFormat="1" applyFont="1" applyBorder="1"/>
    <xf numFmtId="0" fontId="29" fillId="0" borderId="4" xfId="0" applyFont="1" applyBorder="1" applyAlignment="1">
      <alignment vertical="top" wrapText="1"/>
    </xf>
    <xf numFmtId="168" fontId="29" fillId="0" borderId="4" xfId="0" applyNumberFormat="1" applyFont="1" applyBorder="1"/>
    <xf numFmtId="168" fontId="34" fillId="0" borderId="4" xfId="0" applyNumberFormat="1" applyFont="1" applyBorder="1"/>
    <xf numFmtId="174" fontId="29" fillId="0" borderId="4" xfId="0" applyNumberFormat="1" applyFont="1" applyBorder="1"/>
    <xf numFmtId="166" fontId="34" fillId="16" borderId="4" xfId="0" applyNumberFormat="1" applyFont="1" applyFill="1" applyBorder="1"/>
    <xf numFmtId="2" fontId="34" fillId="0" borderId="4" xfId="0" applyNumberFormat="1" applyFont="1" applyBorder="1"/>
    <xf numFmtId="174" fontId="34" fillId="0" borderId="4" xfId="0" applyNumberFormat="1" applyFont="1" applyBorder="1"/>
    <xf numFmtId="0" fontId="30" fillId="0" borderId="4" xfId="0" applyFont="1" applyBorder="1" applyAlignment="1">
      <alignment horizontal="center" vertical="top"/>
    </xf>
    <xf numFmtId="0" fontId="30" fillId="0" borderId="4" xfId="0" applyFont="1" applyBorder="1" applyAlignment="1">
      <alignment vertical="top"/>
    </xf>
    <xf numFmtId="0" fontId="32" fillId="17" borderId="0" xfId="0" applyFont="1" applyFill="1" applyAlignment="1">
      <alignment vertical="top" wrapText="1"/>
    </xf>
    <xf numFmtId="0" fontId="30" fillId="19" borderId="4" xfId="0" applyFont="1" applyFill="1" applyBorder="1"/>
    <xf numFmtId="0" fontId="37" fillId="0" borderId="0" xfId="0" applyFont="1"/>
    <xf numFmtId="0" fontId="6" fillId="13" borderId="0" xfId="0" applyFont="1" applyFill="1" applyAlignment="1">
      <alignment vertical="top" wrapText="1"/>
    </xf>
    <xf numFmtId="0" fontId="0" fillId="0" borderId="0" xfId="0"/>
    <xf numFmtId="0" fontId="3" fillId="0" borderId="1" xfId="0" applyFont="1" applyBorder="1" applyAlignment="1">
      <alignment vertical="top" wrapText="1"/>
    </xf>
    <xf numFmtId="0" fontId="0" fillId="0" borderId="2" xfId="0" applyBorder="1"/>
    <xf numFmtId="0" fontId="0" fillId="0" borderId="3" xfId="0" applyBorder="1"/>
    <xf numFmtId="0" fontId="3" fillId="4" borderId="1" xfId="0" applyFont="1" applyFill="1" applyBorder="1" applyAlignment="1">
      <alignment vertical="top" wrapText="1"/>
    </xf>
    <xf numFmtId="0" fontId="3" fillId="7" borderId="1" xfId="0" applyFont="1" applyFill="1" applyBorder="1" applyAlignment="1">
      <alignment vertical="top" wrapText="1"/>
    </xf>
    <xf numFmtId="0" fontId="3" fillId="0" borderId="1" xfId="0" applyFont="1" applyBorder="1" applyAlignment="1">
      <alignment horizontal="right" vertical="top" wrapText="1"/>
    </xf>
    <xf numFmtId="166" fontId="7" fillId="0" borderId="1" xfId="0" applyNumberFormat="1" applyFont="1" applyBorder="1" applyAlignment="1">
      <alignment horizontal="righ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165" fontId="7" fillId="0" borderId="1" xfId="0" applyNumberFormat="1" applyFont="1" applyBorder="1" applyAlignment="1">
      <alignment horizontal="right" vertical="top" wrapText="1"/>
    </xf>
    <xf numFmtId="164" fontId="7" fillId="0" borderId="1" xfId="0" applyNumberFormat="1" applyFont="1" applyBorder="1" applyAlignment="1">
      <alignment horizontal="right" vertical="top" wrapText="1"/>
    </xf>
    <xf numFmtId="0" fontId="30" fillId="0" borderId="4" xfId="0" applyFont="1" applyBorder="1" applyAlignment="1">
      <alignment vertical="top" wrapText="1"/>
    </xf>
    <xf numFmtId="0" fontId="31" fillId="0" borderId="4" xfId="0" applyFont="1" applyBorder="1" applyAlignment="1">
      <alignment vertical="top" wrapText="1"/>
    </xf>
    <xf numFmtId="0" fontId="32" fillId="17" borderId="0" xfId="0" applyFont="1" applyFill="1" applyAlignment="1">
      <alignment vertical="center" wrapText="1"/>
    </xf>
    <xf numFmtId="168" fontId="31" fillId="0" borderId="4" xfId="0" applyNumberFormat="1" applyFont="1" applyBorder="1" applyAlignment="1">
      <alignment vertical="top" wrapText="1"/>
    </xf>
    <xf numFmtId="174" fontId="31" fillId="0" borderId="4" xfId="0" applyNumberFormat="1" applyFont="1" applyBorder="1" applyAlignment="1">
      <alignment vertical="top" wrapText="1"/>
    </xf>
    <xf numFmtId="166" fontId="31" fillId="0" borderId="4" xfId="0" applyNumberFormat="1" applyFont="1" applyBorder="1" applyAlignment="1">
      <alignment vertical="top" wrapText="1"/>
    </xf>
    <xf numFmtId="0" fontId="6"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9999FF"/>
      <rgbColor rgb="FFBE4B48"/>
      <rgbColor rgb="FFFFF2CC"/>
      <rgbColor rgb="FFEDEDED"/>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CE4D6"/>
      <rgbColor rgb="FF4A7EBB"/>
      <rgbColor rgb="FF33CCCC"/>
      <rgbColor rgb="FF70AD47"/>
      <rgbColor rgb="FFFFC000"/>
      <rgbColor rgb="FFFF9900"/>
      <rgbColor rgb="FFFF6600"/>
      <rgbColor rgb="FF595959"/>
      <rgbColor rgb="FF878787"/>
      <rgbColor rgb="FF1F3864"/>
      <rgbColor rgb="FF4F81BD"/>
      <rgbColor rgb="FF003300"/>
      <rgbColor rgb="FF333300"/>
      <rgbColor rgb="FF993300"/>
      <rgbColor rgb="FFC0504D"/>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800" b="1" strike="noStrike" spc="-1">
                <a:solidFill>
                  <a:srgbClr val="000000"/>
                </a:solidFill>
                <a:latin typeface="Calibri"/>
              </a:defRPr>
            </a:pPr>
            <a:r>
              <a:rPr lang="fr-CH" sz="1800" b="1" strike="noStrike" spc="-1">
                <a:solidFill>
                  <a:srgbClr val="000000"/>
                </a:solidFill>
                <a:latin typeface="Calibri"/>
              </a:rPr>
              <a:t>Monthly revenue vs EBITDA (IDR)</a:t>
            </a:r>
          </a:p>
        </c:rich>
      </c:tx>
      <c:overlay val="0"/>
      <c:spPr>
        <a:noFill/>
        <a:ln w="0">
          <a:noFill/>
          <a:prstDash val="solid"/>
        </a:ln>
      </c:spPr>
    </c:title>
    <c:autoTitleDeleted val="0"/>
    <c:plotArea>
      <c:layout/>
      <c:lineChart>
        <c:grouping val="standard"/>
        <c:varyColors val="0"/>
        <c:ser>
          <c:idx val="0"/>
          <c:order val="0"/>
          <c:tx>
            <c:strRef>
              <c:f>PnL_Monthly!$B$18</c:f>
              <c:strCache>
                <c:ptCount val="1"/>
                <c:pt idx="0">
                  <c:v>TOTAL REVENUE</c:v>
                </c:pt>
              </c:strCache>
            </c:strRef>
          </c:tx>
          <c:spPr>
            <a:ln w="28440">
              <a:solidFill>
                <a:srgbClr val="4A7EBB"/>
              </a:solidFill>
              <a:prstDash val="solid"/>
              <a:round/>
            </a:ln>
          </c:spPr>
          <c:marker>
            <c:symbol val="none"/>
          </c:marker>
          <c:dLbls>
            <c:spPr>
              <a:noFill/>
              <a:ln>
                <a:noFill/>
                <a:prstDash val="solid"/>
              </a:ln>
            </c:spPr>
            <c:txPr>
              <a:bodyPr/>
              <a:lstStyle/>
              <a:p>
                <a:pPr>
                  <a:defRPr sz="1000" b="0" strike="noStrike" spc="-1">
                    <a:solidFill>
                      <a:srgbClr val="000000"/>
                    </a:solidFill>
                    <a:latin typeface="Arial"/>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PnL_Monthly!$C$4:$BJ$4</c:f>
              <c:numCache>
                <c:formatCode>#,##0</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numCache>
            </c:numRef>
          </c:cat>
          <c:val>
            <c:numRef>
              <c:f>PnL_Monthly!$C$18:$BJ$18</c:f>
              <c:numCache>
                <c:formatCode>#,##0;\(#,##0\);\-</c:formatCode>
                <c:ptCount val="60"/>
                <c:pt idx="0">
                  <c:v>404596500</c:v>
                </c:pt>
                <c:pt idx="1">
                  <c:v>445975687.50000006</c:v>
                </c:pt>
                <c:pt idx="2">
                  <c:v>487354875.00000006</c:v>
                </c:pt>
                <c:pt idx="3">
                  <c:v>528734062.5</c:v>
                </c:pt>
                <c:pt idx="4">
                  <c:v>570113250</c:v>
                </c:pt>
                <c:pt idx="5">
                  <c:v>659414332.50000012</c:v>
                </c:pt>
                <c:pt idx="6">
                  <c:v>652871625</c:v>
                </c:pt>
                <c:pt idx="7">
                  <c:v>639843247.5</c:v>
                </c:pt>
                <c:pt idx="8">
                  <c:v>699598500</c:v>
                </c:pt>
                <c:pt idx="9">
                  <c:v>735630000</c:v>
                </c:pt>
                <c:pt idx="10">
                  <c:v>735630000</c:v>
                </c:pt>
                <c:pt idx="11">
                  <c:v>735630000</c:v>
                </c:pt>
                <c:pt idx="12">
                  <c:v>765055200</c:v>
                </c:pt>
              </c:numCache>
            </c:numRef>
          </c:val>
          <c:smooth val="1"/>
          <c:extLst>
            <c:ext xmlns:c16="http://schemas.microsoft.com/office/drawing/2014/chart" uri="{C3380CC4-5D6E-409C-BE32-E72D297353CC}">
              <c16:uniqueId val="{00000000-FBEC-42E1-9D38-D325A2A78330}"/>
            </c:ext>
          </c:extLst>
        </c:ser>
        <c:ser>
          <c:idx val="1"/>
          <c:order val="1"/>
          <c:tx>
            <c:strRef>
              <c:f>PnL_Monthly!$B$35</c:f>
              <c:strCache>
                <c:ptCount val="1"/>
                <c:pt idx="0">
                  <c:v>EBITDA</c:v>
                </c:pt>
              </c:strCache>
            </c:strRef>
          </c:tx>
          <c:spPr>
            <a:ln w="28440">
              <a:solidFill>
                <a:srgbClr val="BE4B48"/>
              </a:solidFill>
              <a:prstDash val="solid"/>
              <a:round/>
            </a:ln>
          </c:spPr>
          <c:marker>
            <c:symbol val="none"/>
          </c:marker>
          <c:dLbls>
            <c:spPr>
              <a:noFill/>
              <a:ln>
                <a:noFill/>
                <a:prstDash val="solid"/>
              </a:ln>
            </c:spPr>
            <c:txPr>
              <a:bodyPr/>
              <a:lstStyle/>
              <a:p>
                <a:pPr>
                  <a:defRPr sz="1000" b="0" strike="noStrike" spc="-1">
                    <a:solidFill>
                      <a:srgbClr val="000000"/>
                    </a:solidFill>
                    <a:latin typeface="Arial"/>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PnL_Monthly!$C$4:$BJ$4</c:f>
              <c:numCache>
                <c:formatCode>#,##0</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numCache>
            </c:numRef>
          </c:cat>
          <c:val>
            <c:numRef>
              <c:f>PnL_Monthly!$C$35:$BJ$35</c:f>
              <c:numCache>
                <c:formatCode>#,##0;\(#,##0\);\-</c:formatCode>
                <c:ptCount val="60"/>
                <c:pt idx="0">
                  <c:v>-56892700.616693288</c:v>
                </c:pt>
                <c:pt idx="1">
                  <c:v>-32932829.25930962</c:v>
                </c:pt>
                <c:pt idx="2">
                  <c:v>-8972957.901925981</c:v>
                </c:pt>
                <c:pt idx="3">
                  <c:v>14986913.455457628</c:v>
                </c:pt>
                <c:pt idx="4">
                  <c:v>38946784.812841237</c:v>
                </c:pt>
                <c:pt idx="5">
                  <c:v>90651006.030509651</c:v>
                </c:pt>
                <c:pt idx="6">
                  <c:v>86866527.527608573</c:v>
                </c:pt>
                <c:pt idx="7">
                  <c:v>79327174.607526124</c:v>
                </c:pt>
                <c:pt idx="8">
                  <c:v>113925856.81359035</c:v>
                </c:pt>
                <c:pt idx="9">
                  <c:v>134786270.24237579</c:v>
                </c:pt>
                <c:pt idx="10">
                  <c:v>134786270.24237579</c:v>
                </c:pt>
                <c:pt idx="11">
                  <c:v>134786270.24237579</c:v>
                </c:pt>
                <c:pt idx="12">
                  <c:v>136829612.90040416</c:v>
                </c:pt>
              </c:numCache>
            </c:numRef>
          </c:val>
          <c:smooth val="1"/>
          <c:extLst>
            <c:ext xmlns:c16="http://schemas.microsoft.com/office/drawing/2014/chart" uri="{C3380CC4-5D6E-409C-BE32-E72D297353CC}">
              <c16:uniqueId val="{00000001-FBEC-42E1-9D38-D325A2A78330}"/>
            </c:ext>
          </c:extLst>
        </c:ser>
        <c:dLbls>
          <c:showLegendKey val="0"/>
          <c:showVal val="0"/>
          <c:showCatName val="0"/>
          <c:showSerName val="0"/>
          <c:showPercent val="0"/>
          <c:showBubbleSize val="0"/>
        </c:dLbls>
        <c:hiLowLines>
          <c:spPr>
            <a:ln w="0">
              <a:noFill/>
              <a:prstDash val="solid"/>
            </a:ln>
          </c:spPr>
        </c:hiLowLines>
        <c:smooth val="0"/>
        <c:axId val="11574138"/>
        <c:axId val="36537850"/>
      </c:lineChart>
      <c:catAx>
        <c:axId val="11574138"/>
        <c:scaling>
          <c:orientation val="minMax"/>
        </c:scaling>
        <c:delete val="0"/>
        <c:axPos val="b"/>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fr-FR"/>
          </a:p>
        </c:txPr>
        <c:crossAx val="36537850"/>
        <c:crosses val="autoZero"/>
        <c:auto val="1"/>
        <c:lblAlgn val="ctr"/>
        <c:lblOffset val="100"/>
        <c:noMultiLvlLbl val="0"/>
      </c:catAx>
      <c:valAx>
        <c:axId val="36537850"/>
        <c:scaling>
          <c:orientation val="minMax"/>
        </c:scaling>
        <c:delete val="0"/>
        <c:axPos val="l"/>
        <c:majorGridlines>
          <c:spPr>
            <a:ln w="9360">
              <a:solidFill>
                <a:srgbClr val="878787"/>
              </a:solidFill>
              <a:prstDash val="solid"/>
              <a:round/>
            </a:ln>
          </c:spPr>
        </c:majorGridlines>
        <c:numFmt formatCode="#,##0;\(#,##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fr-FR"/>
          </a:p>
        </c:txPr>
        <c:crossAx val="11574138"/>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800" b="1" strike="noStrike" spc="-1">
                <a:solidFill>
                  <a:srgbClr val="000000"/>
                </a:solidFill>
                <a:latin typeface="Calibri"/>
              </a:defRPr>
            </a:pPr>
            <a:r>
              <a:rPr lang="fr-CH" sz="1800" b="1" strike="noStrike" spc="-1">
                <a:solidFill>
                  <a:srgbClr val="000000"/>
                </a:solidFill>
                <a:latin typeface="Calibri"/>
              </a:rPr>
              <a:t>Cumulative project cash vs investment (payback when &gt; 0)</a:t>
            </a:r>
          </a:p>
        </c:rich>
      </c:tx>
      <c:overlay val="0"/>
      <c:spPr>
        <a:noFill/>
        <a:ln w="0">
          <a:noFill/>
          <a:prstDash val="solid"/>
        </a:ln>
      </c:spPr>
    </c:title>
    <c:autoTitleDeleted val="0"/>
    <c:plotArea>
      <c:layout/>
      <c:lineChart>
        <c:grouping val="standard"/>
        <c:varyColors val="0"/>
        <c:ser>
          <c:idx val="0"/>
          <c:order val="0"/>
          <c:tx>
            <c:strRef>
              <c:f>PnL_Monthly!$B$52</c:f>
              <c:strCache>
                <c:ptCount val="1"/>
                <c:pt idx="0">
                  <c:v>Cumulative FCF less total investment</c:v>
                </c:pt>
              </c:strCache>
            </c:strRef>
          </c:tx>
          <c:spPr>
            <a:ln w="28440">
              <a:solidFill>
                <a:srgbClr val="4A7EBB"/>
              </a:solidFill>
              <a:prstDash val="solid"/>
              <a:round/>
            </a:ln>
          </c:spPr>
          <c:marker>
            <c:symbol val="none"/>
          </c:marker>
          <c:dLbls>
            <c:spPr>
              <a:noFill/>
              <a:ln>
                <a:noFill/>
                <a:prstDash val="solid"/>
              </a:ln>
            </c:spPr>
            <c:txPr>
              <a:bodyPr/>
              <a:lstStyle/>
              <a:p>
                <a:pPr>
                  <a:defRPr sz="1000" b="0" strike="noStrike" spc="-1">
                    <a:solidFill>
                      <a:srgbClr val="000000"/>
                    </a:solidFill>
                    <a:latin typeface="Arial"/>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PnL_Monthly!$C$4:$BJ$4</c:f>
              <c:numCache>
                <c:formatCode>#,##0</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numCache>
            </c:numRef>
          </c:cat>
          <c:val>
            <c:numRef>
              <c:f>PnL_Monthly!$C$52:$BJ$52</c:f>
              <c:numCache>
                <c:formatCode>#,##0;\(#,##0\);\-</c:formatCode>
                <c:ptCount val="60"/>
                <c:pt idx="0">
                  <c:v>-4285364611.7416935</c:v>
                </c:pt>
                <c:pt idx="1">
                  <c:v>-4280523222.2510028</c:v>
                </c:pt>
                <c:pt idx="2">
                  <c:v>-4251721961.4029288</c:v>
                </c:pt>
                <c:pt idx="3">
                  <c:v>-4198960829.1974711</c:v>
                </c:pt>
                <c:pt idx="4">
                  <c:v>-4122239825.6346302</c:v>
                </c:pt>
                <c:pt idx="5">
                  <c:v>-3993814600.8541203</c:v>
                </c:pt>
                <c:pt idx="6">
                  <c:v>-3869173854.5765119</c:v>
                </c:pt>
                <c:pt idx="7">
                  <c:v>-3752072461.2189856</c:v>
                </c:pt>
                <c:pt idx="8">
                  <c:v>-3613666952.7587085</c:v>
                </c:pt>
                <c:pt idx="9">
                  <c:v>-3464270031.719655</c:v>
                </c:pt>
                <c:pt idx="10">
                  <c:v>-3314873110.6806021</c:v>
                </c:pt>
                <c:pt idx="11">
                  <c:v>-3165476189.6415491</c:v>
                </c:pt>
                <c:pt idx="12">
                  <c:v>-3052259680.0792341</c:v>
                </c:pt>
              </c:numCache>
            </c:numRef>
          </c:val>
          <c:smooth val="1"/>
          <c:extLst>
            <c:ext xmlns:c16="http://schemas.microsoft.com/office/drawing/2014/chart" uri="{C3380CC4-5D6E-409C-BE32-E72D297353CC}">
              <c16:uniqueId val="{00000000-AD83-4FF6-BE48-2ADE45A09744}"/>
            </c:ext>
          </c:extLst>
        </c:ser>
        <c:dLbls>
          <c:showLegendKey val="0"/>
          <c:showVal val="0"/>
          <c:showCatName val="0"/>
          <c:showSerName val="0"/>
          <c:showPercent val="0"/>
          <c:showBubbleSize val="0"/>
        </c:dLbls>
        <c:hiLowLines>
          <c:spPr>
            <a:ln w="0">
              <a:noFill/>
              <a:prstDash val="solid"/>
            </a:ln>
          </c:spPr>
        </c:hiLowLines>
        <c:smooth val="0"/>
        <c:axId val="6008677"/>
        <c:axId val="12089734"/>
      </c:lineChart>
      <c:catAx>
        <c:axId val="6008677"/>
        <c:scaling>
          <c:orientation val="minMax"/>
        </c:scaling>
        <c:delete val="0"/>
        <c:axPos val="b"/>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fr-FR"/>
          </a:p>
        </c:txPr>
        <c:crossAx val="12089734"/>
        <c:crosses val="autoZero"/>
        <c:auto val="1"/>
        <c:lblAlgn val="ctr"/>
        <c:lblOffset val="100"/>
        <c:noMultiLvlLbl val="0"/>
      </c:catAx>
      <c:valAx>
        <c:axId val="12089734"/>
        <c:scaling>
          <c:orientation val="minMax"/>
        </c:scaling>
        <c:delete val="0"/>
        <c:axPos val="l"/>
        <c:majorGridlines>
          <c:spPr>
            <a:ln w="9360">
              <a:solidFill>
                <a:srgbClr val="878787"/>
              </a:solidFill>
              <a:prstDash val="solid"/>
              <a:round/>
            </a:ln>
          </c:spPr>
        </c:majorGridlines>
        <c:numFmt formatCode="#,##0;\(#,##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fr-FR"/>
          </a:p>
        </c:txPr>
        <c:crossAx val="6008677"/>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800" b="1" strike="noStrike" spc="-1">
                <a:solidFill>
                  <a:srgbClr val="000000"/>
                </a:solidFill>
                <a:latin typeface="Calibri"/>
              </a:defRPr>
            </a:pPr>
            <a:r>
              <a:rPr lang="fr-CH" sz="1800" b="1" strike="noStrike" spc="-1">
                <a:solidFill>
                  <a:srgbClr val="000000"/>
                </a:solidFill>
                <a:latin typeface="Calibri"/>
              </a:rPr>
              <a:t>Tornado – </a:t>
            </a:r>
            <a:r>
              <a:rPr lang="el-GR" sz="1800" b="1" strike="noStrike" spc="-1">
                <a:solidFill>
                  <a:srgbClr val="000000"/>
                </a:solidFill>
                <a:latin typeface="Calibri"/>
              </a:rPr>
              <a:t>Δ </a:t>
            </a:r>
            <a:r>
              <a:rPr lang="fr-CH" sz="1800" b="1" strike="noStrike" spc="-1">
                <a:solidFill>
                  <a:srgbClr val="000000"/>
                </a:solidFill>
                <a:latin typeface="Calibri"/>
              </a:rPr>
              <a:t>monthly EBITDA (IDR) for ±flex</a:t>
            </a:r>
          </a:p>
        </c:rich>
      </c:tx>
      <c:overlay val="0"/>
      <c:spPr>
        <a:noFill/>
        <a:ln w="0">
          <a:noFill/>
          <a:prstDash val="solid"/>
        </a:ln>
      </c:spPr>
    </c:title>
    <c:autoTitleDeleted val="0"/>
    <c:plotArea>
      <c:layout/>
      <c:barChart>
        <c:barDir val="bar"/>
        <c:grouping val="clustered"/>
        <c:varyColors val="0"/>
        <c:ser>
          <c:idx val="0"/>
          <c:order val="0"/>
          <c:tx>
            <c:strRef>
              <c:f>Sensitivity!$B$27</c:f>
              <c:strCache>
                <c:ptCount val="1"/>
                <c:pt idx="0">
                  <c:v>Δ EBITDA @ −flex</c:v>
                </c:pt>
              </c:strCache>
            </c:strRef>
          </c:tx>
          <c:spPr>
            <a:solidFill>
              <a:srgbClr val="4F81BD"/>
            </a:solidFill>
            <a:ln w="0">
              <a:noFill/>
              <a:prstDash val="solid"/>
            </a:ln>
          </c:spPr>
          <c:invertIfNegative val="0"/>
          <c:dLbls>
            <c:spPr>
              <a:noFill/>
              <a:ln>
                <a:noFill/>
                <a:prstDash val="solid"/>
              </a:ln>
            </c:spPr>
            <c:txPr>
              <a:bodyPr/>
              <a:lstStyle/>
              <a:p>
                <a:pPr>
                  <a:defRPr sz="1000" b="0" strike="noStrike" spc="-1">
                    <a:solidFill>
                      <a:srgbClr val="000000"/>
                    </a:solidFill>
                    <a:latin typeface="Arial"/>
                  </a:defRPr>
                </a:pPr>
                <a:endParaRPr lang="fr-FR"/>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Sensitivity!$A$28:$A$34</c:f>
              <c:strCache>
                <c:ptCount val="7"/>
                <c:pt idx="0">
                  <c:v>Average spend / menu prices</c:v>
                </c:pt>
                <c:pt idx="1">
                  <c:v>Guest volume (all channels)</c:v>
                </c:pt>
                <c:pt idx="2">
                  <c:v>Food &amp; beverage cost %</c:v>
                </c:pt>
                <c:pt idx="3">
                  <c:v>Staff cost</c:v>
                </c:pt>
                <c:pt idx="4">
                  <c:v>Other fixed costs</c:v>
                </c:pt>
                <c:pt idx="5">
                  <c:v>Rent + service charge</c:v>
                </c:pt>
                <c:pt idx="6">
                  <c:v>Delivery commission</c:v>
                </c:pt>
              </c:strCache>
            </c:strRef>
          </c:cat>
          <c:val>
            <c:numRef>
              <c:f>Sensitivity!$B$28:$B$34</c:f>
              <c:numCache>
                <c:formatCode>#,##0;\(#,##0\);\-</c:formatCode>
                <c:ptCount val="7"/>
                <c:pt idx="0">
                  <c:v>-128228883.00000001</c:v>
                </c:pt>
                <c:pt idx="1">
                  <c:v>-85190653.715141788</c:v>
                </c:pt>
                <c:pt idx="2">
                  <c:v>43038229.284858227</c:v>
                </c:pt>
                <c:pt idx="3">
                  <c:v>33381466</c:v>
                </c:pt>
                <c:pt idx="4">
                  <c:v>17297089.916666627</c:v>
                </c:pt>
                <c:pt idx="5">
                  <c:v>7554843.75</c:v>
                </c:pt>
                <c:pt idx="6">
                  <c:v>4403925</c:v>
                </c:pt>
              </c:numCache>
            </c:numRef>
          </c:val>
          <c:extLst>
            <c:ext xmlns:c16="http://schemas.microsoft.com/office/drawing/2014/chart" uri="{C3380CC4-5D6E-409C-BE32-E72D297353CC}">
              <c16:uniqueId val="{00000000-26A0-40F7-8525-7C047A3872B8}"/>
            </c:ext>
          </c:extLst>
        </c:ser>
        <c:ser>
          <c:idx val="1"/>
          <c:order val="1"/>
          <c:tx>
            <c:strRef>
              <c:f>Sensitivity!$C$27</c:f>
              <c:strCache>
                <c:ptCount val="1"/>
                <c:pt idx="0">
                  <c:v>Δ EBITDA @ +flex</c:v>
                </c:pt>
              </c:strCache>
            </c:strRef>
          </c:tx>
          <c:spPr>
            <a:solidFill>
              <a:srgbClr val="C0504D"/>
            </a:solidFill>
            <a:ln w="0">
              <a:noFill/>
              <a:prstDash val="solid"/>
            </a:ln>
          </c:spPr>
          <c:invertIfNegative val="0"/>
          <c:dLbls>
            <c:spPr>
              <a:noFill/>
              <a:ln>
                <a:noFill/>
                <a:prstDash val="solid"/>
              </a:ln>
            </c:spPr>
            <c:txPr>
              <a:bodyPr/>
              <a:lstStyle/>
              <a:p>
                <a:pPr>
                  <a:defRPr sz="1000" b="0" strike="noStrike" spc="-1">
                    <a:solidFill>
                      <a:srgbClr val="000000"/>
                    </a:solidFill>
                    <a:latin typeface="Arial"/>
                  </a:defRPr>
                </a:pPr>
                <a:endParaRPr lang="fr-FR"/>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Sensitivity!$A$28:$A$34</c:f>
              <c:strCache>
                <c:ptCount val="7"/>
                <c:pt idx="0">
                  <c:v>Average spend / menu prices</c:v>
                </c:pt>
                <c:pt idx="1">
                  <c:v>Guest volume (all channels)</c:v>
                </c:pt>
                <c:pt idx="2">
                  <c:v>Food &amp; beverage cost %</c:v>
                </c:pt>
                <c:pt idx="3">
                  <c:v>Staff cost</c:v>
                </c:pt>
                <c:pt idx="4">
                  <c:v>Other fixed costs</c:v>
                </c:pt>
                <c:pt idx="5">
                  <c:v>Rent + service charge</c:v>
                </c:pt>
                <c:pt idx="6">
                  <c:v>Delivery commission</c:v>
                </c:pt>
              </c:strCache>
            </c:strRef>
          </c:cat>
          <c:val>
            <c:numRef>
              <c:f>Sensitivity!$C$28:$C$34</c:f>
              <c:numCache>
                <c:formatCode>#,##0;\(#,##0\);\-</c:formatCode>
                <c:ptCount val="7"/>
                <c:pt idx="0">
                  <c:v>128228883</c:v>
                </c:pt>
                <c:pt idx="1">
                  <c:v>85190653.715141892</c:v>
                </c:pt>
                <c:pt idx="2">
                  <c:v>-43038229.284858122</c:v>
                </c:pt>
                <c:pt idx="3">
                  <c:v>-33381466.000000015</c:v>
                </c:pt>
                <c:pt idx="4">
                  <c:v>-17297089.916666672</c:v>
                </c:pt>
                <c:pt idx="5">
                  <c:v>-7554843.7500000149</c:v>
                </c:pt>
                <c:pt idx="6">
                  <c:v>-4403925.0000000149</c:v>
                </c:pt>
              </c:numCache>
            </c:numRef>
          </c:val>
          <c:extLst>
            <c:ext xmlns:c16="http://schemas.microsoft.com/office/drawing/2014/chart" uri="{C3380CC4-5D6E-409C-BE32-E72D297353CC}">
              <c16:uniqueId val="{00000001-26A0-40F7-8525-7C047A3872B8}"/>
            </c:ext>
          </c:extLst>
        </c:ser>
        <c:dLbls>
          <c:showLegendKey val="0"/>
          <c:showVal val="0"/>
          <c:showCatName val="0"/>
          <c:showSerName val="0"/>
          <c:showPercent val="0"/>
          <c:showBubbleSize val="0"/>
        </c:dLbls>
        <c:gapWidth val="150"/>
        <c:overlap val="100"/>
        <c:axId val="99398263"/>
        <c:axId val="6368863"/>
      </c:barChart>
      <c:catAx>
        <c:axId val="99398263"/>
        <c:scaling>
          <c:orientation val="maxMin"/>
        </c:scaling>
        <c:delete val="0"/>
        <c:axPos val="l"/>
        <c:numFmt formatCode="General"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fr-FR"/>
          </a:p>
        </c:txPr>
        <c:crossAx val="6368863"/>
        <c:crosses val="autoZero"/>
        <c:auto val="1"/>
        <c:lblAlgn val="ctr"/>
        <c:lblOffset val="100"/>
        <c:noMultiLvlLbl val="0"/>
      </c:catAx>
      <c:valAx>
        <c:axId val="6368863"/>
        <c:scaling>
          <c:orientation val="minMax"/>
        </c:scaling>
        <c:delete val="0"/>
        <c:axPos val="t"/>
        <c:numFmt formatCode="#,##0;\(#,##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fr-FR"/>
          </a:p>
        </c:txPr>
        <c:crossAx val="99398263"/>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spcFirstLastPara="1" vertOverflow="ellipsis" wrap="square" anchor="ctr" anchorCtr="1"/>
          <a:lstStyle/>
          <a:p>
            <a:pPr>
              <a:defRPr sz="1800" b="1" i="0" strike="noStrike" kern="1200" spc="-1" baseline="0">
                <a:solidFill>
                  <a:srgbClr val="000000"/>
                </a:solidFill>
                <a:latin typeface="Calibri"/>
                <a:ea typeface="+mn-ea"/>
                <a:cs typeface="+mn-cs"/>
              </a:defRPr>
            </a:pPr>
            <a:r>
              <a:rPr lang="fr-CH" sz="1800" b="1" strike="noStrike" spc="-1">
                <a:solidFill>
                  <a:srgbClr val="000000"/>
                </a:solidFill>
                <a:latin typeface="Calibri"/>
              </a:rPr>
              <a:t>Distribution of steady-state monthly EBITDA (IDR m)</a:t>
            </a:r>
          </a:p>
        </c:rich>
      </c:tx>
      <c:overlay val="0"/>
      <c:spPr>
        <a:noFill/>
        <a:ln w="0">
          <a:noFill/>
          <a:prstDash val="solid"/>
        </a:ln>
      </c:spPr>
    </c:title>
    <c:autoTitleDeleted val="0"/>
    <c:plotArea>
      <c:layout/>
      <c:barChart>
        <c:barDir val="col"/>
        <c:grouping val="clustered"/>
        <c:varyColors val="0"/>
        <c:ser>
          <c:idx val="0"/>
          <c:order val="0"/>
          <c:tx>
            <c:strRef>
              <c:f>MonteCarlo!$F$24</c:f>
              <c:strCache>
                <c:ptCount val="1"/>
                <c:pt idx="0">
                  <c:v>Count</c:v>
                </c:pt>
              </c:strCache>
            </c:strRef>
          </c:tx>
          <c:spPr>
            <a:solidFill>
              <a:schemeClr val="accent2"/>
            </a:solidFill>
            <a:ln>
              <a:noFill/>
              <a:prstDash val="solid"/>
            </a:ln>
          </c:spPr>
          <c:invertIfNegative val="0"/>
          <c:dLbls>
            <c:spPr>
              <a:noFill/>
              <a:ln>
                <a:noFill/>
                <a:prstDash val="solid"/>
              </a:ln>
            </c:spPr>
            <c:txPr>
              <a:bodyPr rot="0" spcFirstLastPara="1" vertOverflow="ellipsis" vert="horz" anchor="ctr" anchorCtr="1"/>
              <a:lstStyle/>
              <a:p>
                <a:pPr>
                  <a:defRPr sz="1000" b="0" i="0" strike="noStrike" kern="1200" spc="-1" baseline="0">
                    <a:solidFill>
                      <a:srgbClr val="000000"/>
                    </a:solidFill>
                    <a:latin typeface="Arial"/>
                    <a:ea typeface="+mn-ea"/>
                    <a:cs typeface="+mn-cs"/>
                  </a:defRPr>
                </a:pPr>
                <a:endParaRPr lang="fr-FR"/>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MonteCarlo!$D$25:$D$36</c:f>
              <c:numCache>
                <c:formatCode>#,##0,,\m</c:formatCode>
                <c:ptCount val="12"/>
                <c:pt idx="0">
                  <c:v>5049453.1467380337</c:v>
                </c:pt>
                <c:pt idx="1">
                  <c:v>35493078.279865198</c:v>
                </c:pt>
                <c:pt idx="2">
                  <c:v>65936703.412992358</c:v>
                </c:pt>
                <c:pt idx="3">
                  <c:v>96380328.546119526</c:v>
                </c:pt>
                <c:pt idx="4">
                  <c:v>126823953.67924669</c:v>
                </c:pt>
                <c:pt idx="5">
                  <c:v>157267578.81237385</c:v>
                </c:pt>
                <c:pt idx="6">
                  <c:v>187711203.94550103</c:v>
                </c:pt>
                <c:pt idx="7">
                  <c:v>218154829.07862818</c:v>
                </c:pt>
                <c:pt idx="8">
                  <c:v>248598454.21175537</c:v>
                </c:pt>
                <c:pt idx="9">
                  <c:v>279042079.34488249</c:v>
                </c:pt>
                <c:pt idx="10">
                  <c:v>309485704.4780097</c:v>
                </c:pt>
                <c:pt idx="11">
                  <c:v>339929329.61113679</c:v>
                </c:pt>
              </c:numCache>
            </c:numRef>
          </c:cat>
          <c:val>
            <c:numRef>
              <c:f>MonteCarlo!$F$25:$F$36</c:f>
              <c:numCache>
                <c:formatCode>#,##0</c:formatCode>
                <c:ptCount val="12"/>
                <c:pt idx="0">
                  <c:v>24</c:v>
                </c:pt>
                <c:pt idx="1">
                  <c:v>73</c:v>
                </c:pt>
                <c:pt idx="2">
                  <c:v>102</c:v>
                </c:pt>
                <c:pt idx="3">
                  <c:v>132</c:v>
                </c:pt>
                <c:pt idx="4">
                  <c:v>166</c:v>
                </c:pt>
                <c:pt idx="5">
                  <c:v>131</c:v>
                </c:pt>
                <c:pt idx="6">
                  <c:v>121</c:v>
                </c:pt>
                <c:pt idx="7">
                  <c:v>102</c:v>
                </c:pt>
                <c:pt idx="8">
                  <c:v>64</c:v>
                </c:pt>
                <c:pt idx="9">
                  <c:v>54</c:v>
                </c:pt>
                <c:pt idx="10">
                  <c:v>23</c:v>
                </c:pt>
                <c:pt idx="11">
                  <c:v>8</c:v>
                </c:pt>
              </c:numCache>
            </c:numRef>
          </c:val>
          <c:extLst>
            <c:ext xmlns:c16="http://schemas.microsoft.com/office/drawing/2014/chart" uri="{C3380CC4-5D6E-409C-BE32-E72D297353CC}">
              <c16:uniqueId val="{00000000-647F-412E-B939-256B1814FE94}"/>
            </c:ext>
          </c:extLst>
        </c:ser>
        <c:dLbls>
          <c:showLegendKey val="0"/>
          <c:showVal val="0"/>
          <c:showCatName val="0"/>
          <c:showSerName val="0"/>
          <c:showPercent val="0"/>
          <c:showBubbleSize val="0"/>
        </c:dLbls>
        <c:gapWidth val="150"/>
        <c:axId val="83394946"/>
        <c:axId val="12318566"/>
      </c:barChart>
      <c:catAx>
        <c:axId val="83394946"/>
        <c:scaling>
          <c:orientation val="minMax"/>
        </c:scaling>
        <c:delete val="0"/>
        <c:axPos val="b"/>
        <c:numFmt formatCode="#,##0,,\m" sourceLinked="0"/>
        <c:majorTickMark val="none"/>
        <c:minorTickMark val="none"/>
        <c:tickLblPos val="nextTo"/>
        <c:spPr>
          <a:noFill/>
          <a:ln w="9360" cap="flat" cmpd="sng" algn="ctr">
            <a:solidFill>
              <a:srgbClr val="878787"/>
            </a:solidFill>
            <a:prstDash val="solid"/>
            <a:round/>
          </a:ln>
        </c:spPr>
        <c:txPr>
          <a:bodyPr rot="-60000000" spcFirstLastPara="1" vertOverflow="ellipsis" vert="horz" wrap="square" anchor="ctr" anchorCtr="1"/>
          <a:lstStyle/>
          <a:p>
            <a:pPr>
              <a:defRPr sz="1000" b="0" i="0" strike="noStrike" kern="1200" spc="-1" baseline="0">
                <a:solidFill>
                  <a:srgbClr val="000000"/>
                </a:solidFill>
                <a:latin typeface="Calibri"/>
                <a:ea typeface="+mn-ea"/>
                <a:cs typeface="+mn-cs"/>
              </a:defRPr>
            </a:pPr>
            <a:endParaRPr lang="fr-FR"/>
          </a:p>
        </c:txPr>
        <c:crossAx val="12318566"/>
        <c:crosses val="autoZero"/>
        <c:auto val="1"/>
        <c:lblAlgn val="ctr"/>
        <c:lblOffset val="100"/>
        <c:noMultiLvlLbl val="0"/>
      </c:catAx>
      <c:valAx>
        <c:axId val="12318566"/>
        <c:scaling>
          <c:orientation val="minMax"/>
        </c:scaling>
        <c:delete val="0"/>
        <c:axPos val="l"/>
        <c:majorGridlines>
          <c:spPr>
            <a:ln w="9360" cap="flat" cmpd="sng" algn="ctr">
              <a:solidFill>
                <a:srgbClr val="878787"/>
              </a:solidFill>
              <a:prstDash val="solid"/>
              <a:round/>
            </a:ln>
          </c:spPr>
        </c:majorGridlines>
        <c:numFmt formatCode="#,##0" sourceLinked="0"/>
        <c:majorTickMark val="none"/>
        <c:minorTickMark val="none"/>
        <c:tickLblPos val="nextTo"/>
        <c:spPr>
          <a:noFill/>
          <a:ln w="9360" cap="flat" cmpd="sng" algn="ctr">
            <a:solidFill>
              <a:srgbClr val="878787"/>
            </a:solidFill>
            <a:prstDash val="solid"/>
            <a:round/>
          </a:ln>
        </c:spPr>
        <c:txPr>
          <a:bodyPr rot="-60000000" spcFirstLastPara="1" vertOverflow="ellipsis" vert="horz" wrap="square" anchor="ctr" anchorCtr="1"/>
          <a:lstStyle/>
          <a:p>
            <a:pPr>
              <a:defRPr sz="1000" b="0" i="0" strike="noStrike" kern="1200" spc="-1" baseline="0">
                <a:solidFill>
                  <a:srgbClr val="000000"/>
                </a:solidFill>
                <a:latin typeface="Calibri"/>
                <a:ea typeface="+mn-ea"/>
                <a:cs typeface="+mn-cs"/>
              </a:defRPr>
            </a:pPr>
            <a:endParaRPr lang="fr-FR"/>
          </a:p>
        </c:txPr>
        <c:crossAx val="83394946"/>
        <c:crosses val="autoZero"/>
        <c:crossBetween val="between"/>
      </c:valAx>
    </c:plotArea>
    <c:plotVisOnly val="1"/>
    <c:dispBlanksAs val="gap"/>
    <c:showDLblsOverMax val="1"/>
  </c:chart>
  <c:spPr>
    <a:solidFill>
      <a:srgbClr val="FFFFFF"/>
    </a:solidFill>
    <a:ln w="9360" cap="flat" cmpd="sng" algn="ctr">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960120</xdr:colOff>
      <xdr:row>5</xdr:row>
      <xdr:rowOff>135795</xdr:rowOff>
    </xdr:from>
    <xdr:to>
      <xdr:col>9</xdr:col>
      <xdr:colOff>574830</xdr:colOff>
      <xdr:row>19</xdr:row>
      <xdr:rowOff>172890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982980</xdr:colOff>
      <xdr:row>22</xdr:row>
      <xdr:rowOff>166635</xdr:rowOff>
    </xdr:from>
    <xdr:to>
      <xdr:col>10</xdr:col>
      <xdr:colOff>26190</xdr:colOff>
      <xdr:row>35</xdr:row>
      <xdr:rowOff>122085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365760</xdr:colOff>
      <xdr:row>24</xdr:row>
      <xdr:rowOff>128175</xdr:rowOff>
    </xdr:from>
    <xdr:to>
      <xdr:col>18</xdr:col>
      <xdr:colOff>228090</xdr:colOff>
      <xdr:row>39</xdr:row>
      <xdr:rowOff>40185</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2</xdr:row>
      <xdr:rowOff>160920</xdr:rowOff>
    </xdr:from>
    <xdr:to>
      <xdr:col>19</xdr:col>
      <xdr:colOff>192316</xdr:colOff>
      <xdr:row>16</xdr:row>
      <xdr:rowOff>4260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s://www.rumah123.com/en/rent/jakarta-selatan/senopati/shophouse/" TargetMode="External"/><Relationship Id="rId2" Type="http://schemas.openxmlformats.org/officeDocument/2006/relationships/hyperlink" Target="https://www.rumah123.com/en/rent/jakarta-selatan/scbd/commercial-space/" TargetMode="External"/><Relationship Id="rId1" Type="http://schemas.openxmlformats.org/officeDocument/2006/relationships/hyperlink" Target="https://www.rumah123.com/en/property/jakarta-selatan-scbd/disewakan-space-utk-resto-bar-rooftop-di-pacific-century-tower-scbd-csr3740301/"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26" Type="http://schemas.openxmlformats.org/officeDocument/2006/relationships/hyperlink" Target="https://www.brighton.co.id/disewa/ruko/jakarta-utara/pantai-indah-kapuk" TargetMode="External"/><Relationship Id="rId21" Type="http://schemas.openxmlformats.org/officeDocument/2006/relationships/hyperlink" Target="https://www.pinhome.id/sewa/ruko/area/jalan-senopati-jakarta-selatan/properti" TargetMode="External"/><Relationship Id="rId42" Type="http://schemas.openxmlformats.org/officeDocument/2006/relationships/hyperlink" Target="https://www.imanet.org/-/media/125d2e3fa1434a2ca33a95520d373e39.ashx" TargetMode="External"/><Relationship Id="rId47" Type="http://schemas.openxmlformats.org/officeDocument/2006/relationships/hyperlink" Target="https://docs.midtrans.com/docs/what-is-the-applicable-transaction-fee-for-qris" TargetMode="External"/><Relationship Id="rId63" Type="http://schemas.openxmlformats.org/officeDocument/2006/relationships/hyperlink" Target="https://rabbet.com/blog/real-estate-development-how-much-contingency-do-i-need" TargetMode="External"/><Relationship Id="rId68" Type="http://schemas.openxmlformats.org/officeDocument/2006/relationships/hyperlink" Target="https://www.sitegems.etailsystems.com/buy/la-marzocco-linea-pb-2-group-av_1571.htm" TargetMode="External"/><Relationship Id="rId2" Type="http://schemas.openxmlformats.org/officeDocument/2006/relationships/hyperlink" Target="https://xpnd.co.id/regulatory/bkpm-regulation-5-2025-pt-pma-capital-implications/" TargetMode="External"/><Relationship Id="rId16" Type="http://schemas.openxmlformats.org/officeDocument/2006/relationships/hyperlink" Target="https://wise.com/us/currency-converter/chf-to-idr-rate" TargetMode="External"/><Relationship Id="rId29" Type="http://schemas.openxmlformats.org/officeDocument/2006/relationships/hyperlink" Target="https://www.cbre.com/insights/reports/jakarta-retail-market-outlook-q1-2026" TargetMode="External"/><Relationship Id="rId11" Type="http://schemas.openxmlformats.org/officeDocument/2006/relationships/hyperlink" Target="https://www.cnbcindonesia.com/news/20260901103232-4-763915/daftar-resmi-tarif-listrik-per-kwh-pelanggan-pln-per-1-september-2026" TargetMode="External"/><Relationship Id="rId24" Type="http://schemas.openxmlformats.org/officeDocument/2006/relationships/hyperlink" Target="https://www.flokq.com/ruko-sewa-kuningan" TargetMode="External"/><Relationship Id="rId32" Type="http://schemas.openxmlformats.org/officeDocument/2006/relationships/hyperlink" Target="https://menukuliner.net/menu/286760/common-grounds-citywalk" TargetMode="External"/><Relationship Id="rId37" Type="http://schemas.openxmlformats.org/officeDocument/2006/relationships/hyperlink" Target="https://ecommons.cornell.edu/entities/publication/779ca191-03a2-4abe-8e4b-2de7fdd4f7ff" TargetMode="External"/><Relationship Id="rId40" Type="http://schemas.openxmlformats.org/officeDocument/2006/relationships/hyperlink" Target="https://www.sciencedirect.com/science/article/abs/pii/S014362281400263X" TargetMode="External"/><Relationship Id="rId45" Type="http://schemas.openxmlformats.org/officeDocument/2006/relationships/hyperlink" Target="https://www.sciencedirect.com/org/science/article/pii/S0007070X25000291" TargetMode="External"/><Relationship Id="rId53" Type="http://schemas.openxmlformats.org/officeDocument/2006/relationships/hyperlink" Target="https://gitnux.org/food-waste-in-restaurants-statistics/" TargetMode="External"/><Relationship Id="rId58" Type="http://schemas.openxmlformats.org/officeDocument/2006/relationships/hyperlink" Target="https://www.thejakartapost.com/news/2018/05/13/fb-players-gear-up-for-ramadhan.html" TargetMode="External"/><Relationship Id="rId66" Type="http://schemas.openxmlformats.org/officeDocument/2006/relationships/hyperlink" Target="https://www.hashmicro.com/id/blog/review-aplikasi-moka-pos/" TargetMode="External"/><Relationship Id="rId74" Type="http://schemas.openxmlformats.org/officeDocument/2006/relationships/hyperlink" Target="https://kantorku.id/blog/gaji-manajer/" TargetMode="External"/><Relationship Id="rId5" Type="http://schemas.openxmlformats.org/officeDocument/2006/relationships/hyperlink" Target="https://employsome.com/hire/indonesia/bpjs-indonesia/" TargetMode="External"/><Relationship Id="rId61" Type="http://schemas.openxmlformats.org/officeDocument/2006/relationships/hyperlink" Target="https://tradingeconomics.com/indonesia/government-bond-yield" TargetMode="External"/><Relationship Id="rId19" Type="http://schemas.openxmlformats.org/officeDocument/2006/relationships/hyperlink" Target="https://www.bca.co.id/en/informasi/Suku-Bunga-Dasar-Kredit" TargetMode="External"/><Relationship Id="rId14" Type="http://schemas.openxmlformats.org/officeDocument/2006/relationships/hyperlink" Target="https://www.online-pajak.com/pajak/pph-sewa-bangunan/" TargetMode="External"/><Relationship Id="rId22" Type="http://schemas.openxmlformats.org/officeDocument/2006/relationships/hyperlink" Target="https://www.rumah123.com/en/rent/jakarta-selatan/scbd/commercial-space/" TargetMode="External"/><Relationship Id="rId27" Type="http://schemas.openxmlformats.org/officeDocument/2006/relationships/hyperlink" Target="https://realestateasia.com/commercial-retail/news/will-jakarta-retail-rents-increase-year" TargetMode="External"/><Relationship Id="rId30" Type="http://schemas.openxmlformats.org/officeDocument/2006/relationships/hyperlink" Target="https://apps.fas.usda.gov/newgainapi/api/Report/DownloadReportByFileName?fileName=Food+Service+-+Hotel+Restaurant+Institutional+Annual_Jakarta_Indonesia_ID2025-0049.pdf" TargetMode="External"/><Relationship Id="rId35" Type="http://schemas.openxmlformats.org/officeDocument/2006/relationships/hyperlink" Target="https://pos.toasttab.com/blog/on-the-line/average-restaurant-square-footage" TargetMode="External"/><Relationship Id="rId43" Type="http://schemas.openxmlformats.org/officeDocument/2006/relationships/hyperlink" Target="https://www.worldcoffeeportal.com/news/fore-coffee-hits-its-stride-after-significant-ipo-year/" TargetMode="External"/><Relationship Id="rId48" Type="http://schemas.openxmlformats.org/officeDocument/2006/relationships/hyperlink" Target="https://business.brucecounty.on.ca/hubfs/Fall%202021%20Webinars/Oct%209th-%202021%20Restaurant%20Benchmarks.pdf" TargetMode="External"/><Relationship Id="rId56" Type="http://schemas.openxmlformats.org/officeDocument/2006/relationships/hyperlink" Target="https://ekonomi.bisnis.com/read/20260719/44/1989129/turun-cek-daftar-harga-bright-gas-pertamina-terbaru-19-juli-2026" TargetMode="External"/><Relationship Id="rId64" Type="http://schemas.openxmlformats.org/officeDocument/2006/relationships/hyperlink" Target="https://xpnd.co.id/blogs/pt-pma-establishment-cost-2026/" TargetMode="External"/><Relationship Id="rId69" Type="http://schemas.openxmlformats.org/officeDocument/2006/relationships/hyperlink" Target="https://majestycoffee.com/collections/mahlkonig" TargetMode="External"/><Relationship Id="rId8" Type="http://schemas.openxmlformats.org/officeDocument/2006/relationships/hyperlink" Target="https://id.indeed.com/career/head-chef/salaries/Jakarta" TargetMode="External"/><Relationship Id="rId51" Type="http://schemas.openxmlformats.org/officeDocument/2006/relationships/hyperlink" Target="https://pos.toasttab.com/vi-us/blog/on-the-line/restaurant-marketing-budget" TargetMode="External"/><Relationship Id="rId72" Type="http://schemas.openxmlformats.org/officeDocument/2006/relationships/hyperlink" Target="https://www.loker.id/gaji/restaurant/manajemen/jakarta-selatan" TargetMode="External"/><Relationship Id="rId3" Type="http://schemas.openxmlformats.org/officeDocument/2006/relationships/hyperlink" Target="https://xpnd.co.id/guides/requirements-for-pt-pma-restaurant/" TargetMode="External"/><Relationship Id="rId12" Type="http://schemas.openxmlformats.org/officeDocument/2006/relationships/hyperlink" Target="https://menuthere.com/delivery-app-commission/grabfood-indonesia" TargetMode="External"/><Relationship Id="rId17" Type="http://schemas.openxmlformats.org/officeDocument/2006/relationships/hyperlink" Target="https://finansial.bisnis.com/read/20260923/11/2006538/alasan-bank-indonesia-tahan-bi-rate-september-2026-di-575" TargetMode="External"/><Relationship Id="rId25" Type="http://schemas.openxmlformats.org/officeDocument/2006/relationships/hyperlink" Target="https://www.flokq.com/ruko-sewa-kemang" TargetMode="External"/><Relationship Id="rId33" Type="http://schemas.openxmlformats.org/officeDocument/2006/relationships/hyperlink" Target="https://www.idntimes.com/food/dining-guide/perfecto-ini-5-spot-makan-pasta-rasa-autentik-di-jakarta-selatan-01-3ln1w-37jgyf" TargetMode="External"/><Relationship Id="rId38" Type="http://schemas.openxmlformats.org/officeDocument/2006/relationships/hyperlink" Target="https://journals.sagepub.com/doi/10.1177/001088049904000315" TargetMode="External"/><Relationship Id="rId46" Type="http://schemas.openxmlformats.org/officeDocument/2006/relationships/hyperlink" Target="https://www.bi.go.id/id/publikasi/ruang-media/cerita-bi/Pages/mdr-qris.aspx" TargetMode="External"/><Relationship Id="rId59" Type="http://schemas.openxmlformats.org/officeDocument/2006/relationships/hyperlink" Target="https://www.sec.gov/Archives/edgar/data/1617977/000156459019005749/habt-10k_20181225.htm" TargetMode="External"/><Relationship Id="rId67" Type="http://schemas.openxmlformats.org/officeDocument/2006/relationships/hyperlink" Target="https://www.caterkwik.co.uk/shop/shop-by-brand/rational/rational-icombi-pro/" TargetMode="External"/><Relationship Id="rId20" Type="http://schemas.openxmlformats.org/officeDocument/2006/relationships/hyperlink" Target="https://www.flokq.com/ruko-sewa-senopati" TargetMode="External"/><Relationship Id="rId41" Type="http://schemas.openxmlformats.org/officeDocument/2006/relationships/hyperlink" Target="https://www.researchgate.net/publication/325974971_The_Evaluation_of_Trade_Area_Models_and_Analysis_Methods_for_Site_Selection_from_International_Quick_Service_Restaurants_Perspective" TargetMode="External"/><Relationship Id="rId54" Type="http://schemas.openxmlformats.org/officeDocument/2006/relationships/hyperlink" Target="https://portfoliomanager.energystar.gov/pdf/reference/US%20National%20Median%20Table.pdf" TargetMode="External"/><Relationship Id="rId62" Type="http://schemas.openxmlformats.org/officeDocument/2006/relationships/hyperlink" Target="https://pages.stern.nyu.edu/~adamodar/New_Home_Page/datafile/ctryprem.html" TargetMode="External"/><Relationship Id="rId70" Type="http://schemas.openxmlformats.org/officeDocument/2006/relationships/hyperlink" Target="https://wise.com/gb/currency-converter/gbp-to-idr-rate" TargetMode="External"/><Relationship Id="rId75" Type="http://schemas.openxmlformats.org/officeDocument/2006/relationships/hyperlink" Target="https://setkab.go.id/pekerja-dengan-masa-kerja-1-bulan-kini-berhak-dapat-thr/" TargetMode="External"/><Relationship Id="rId1" Type="http://schemas.openxmlformats.org/officeDocument/2006/relationships/hyperlink" Target="https://www.aseanbriefing.com/news/indonesias-minimum-investment-requirements-what-foreign-investors-need-to-plan-before-entry/" TargetMode="External"/><Relationship Id="rId6" Type="http://schemas.openxmlformats.org/officeDocument/2006/relationships/hyperlink" Target="https://kantorku.id/blog/gaji-barista/" TargetMode="External"/><Relationship Id="rId15" Type="http://schemas.openxmlformats.org/officeDocument/2006/relationships/hyperlink" Target="https://sevenstonesindonesia.com/blog/indonesia-quietly-rewrites-the-rules-for-small-business-taxation-and-pt-pma-owners-need-to-pay-attention/" TargetMode="External"/><Relationship Id="rId23" Type="http://schemas.openxmlformats.org/officeDocument/2006/relationships/hyperlink" Target="https://www.rumah123.com/en/property/jakarta-selatan-scbd/disewakan-space-utk-resto-bar-rooftop-di-pacific-century-tower-scbd-csr3740301/" TargetMode="External"/><Relationship Id="rId28" Type="http://schemas.openxmlformats.org/officeDocument/2006/relationships/hyperlink" Target="https://www.jll.com/en-sea/insights/market-dynamics/jakarta-retail" TargetMode="External"/><Relationship Id="rId36" Type="http://schemas.openxmlformats.org/officeDocument/2006/relationships/hyperlink" Target="https://daniels.du.edu/assets/research-hg-parsa-part-1-2015.pdf" TargetMode="External"/><Relationship Id="rId49" Type="http://schemas.openxmlformats.org/officeDocument/2006/relationships/hyperlink" Target="https://vantainsights.com/insights/restaurant-food-cost-percentage" TargetMode="External"/><Relationship Id="rId57" Type="http://schemas.openxmlformats.org/officeDocument/2006/relationships/hyperlink" Target="https://www.bloombergtechnoz.com/detail-news/115267/kapan-lebaran-2027-ini-prediksi-awal-ramadan-dan-idulfitri" TargetMode="External"/><Relationship Id="rId10" Type="http://schemas.openxmlformats.org/officeDocument/2006/relationships/hyperlink" Target="https://splusa.id/biaya-desain-interior-cafe/" TargetMode="External"/><Relationship Id="rId31" Type="http://schemas.openxmlformats.org/officeDocument/2006/relationships/hyperlink" Target="https://hargamenu.net/common-grounds-menu-daftar-menu-harga-dan-lokasi-kedai-kopi-juara-dunia-di-indonesia/" TargetMode="External"/><Relationship Id="rId44" Type="http://schemas.openxmlformats.org/officeDocument/2006/relationships/hyperlink" Target="https://perfectdailygrind.com/2026/03/indonesia-specialty-coffee-market-growth/" TargetMode="External"/><Relationship Id="rId52" Type="http://schemas.openxmlformats.org/officeDocument/2006/relationships/hyperlink" Target="https://www.getresq.com/blog/restaurant-maintenance-costs" TargetMode="External"/><Relationship Id="rId60" Type="http://schemas.openxmlformats.org/officeDocument/2006/relationships/hyperlink" Target="https://www.pajak.go.id/id/artikel/membangun-keadilan-dan-kemudahan-dalam-penghitungan-penyusutan-dan-amortisasi" TargetMode="External"/><Relationship Id="rId65" Type="http://schemas.openxmlformats.org/officeDocument/2006/relationships/hyperlink" Target="https://www.cnnindonesia.com/ekonomi/20220316194306-92-772301/daftar-tarif-sertifikasi-halal-kemenag" TargetMode="External"/><Relationship Id="rId73" Type="http://schemas.openxmlformats.org/officeDocument/2006/relationships/hyperlink" Target="https://www.loker.id/gaji/restaurant/waitress/jakarta-selatan" TargetMode="External"/><Relationship Id="rId4" Type="http://schemas.openxmlformats.org/officeDocument/2006/relationships/hyperlink" Target="https://databoks.katadata.co.id/en/employment/statistics/695206d6675b6/indonesias-2026-provincial-minimum-wage-highest-in-jakarta" TargetMode="External"/><Relationship Id="rId9" Type="http://schemas.openxmlformats.org/officeDocument/2006/relationships/hyperlink" Target="https://ncsaindonesia.com/web/gaji-chef-di-indonesia-dari-daily-worker-hingga-executive-chef-hotel/" TargetMode="External"/><Relationship Id="rId13" Type="http://schemas.openxmlformats.org/officeDocument/2006/relationships/hyperlink" Target="https://www.bfi.co.id/en/blog/pajak-makan-di-restoran-berdasarkan-provinsi" TargetMode="External"/><Relationship Id="rId18" Type="http://schemas.openxmlformats.org/officeDocument/2006/relationships/hyperlink" Target="https://www.rancakmedia.com/finance/101033/indonesias-september-2026-inflation-3-28-stays-within-bi-target/" TargetMode="External"/><Relationship Id="rId39" Type="http://schemas.openxmlformats.org/officeDocument/2006/relationships/hyperlink" Target="http://www.publishingindia.com/GetBrochure.aspx?query=UERGQnJvY2h1cmVzfC82NC5wZGZ8LzY0LnBkZg%3D%3D" TargetMode="External"/><Relationship Id="rId34" Type="http://schemas.openxmlformats.org/officeDocument/2006/relationships/hyperlink" Target="https://blog.cove.id/pasta-jakarta/" TargetMode="External"/><Relationship Id="rId50" Type="http://schemas.openxmlformats.org/officeDocument/2006/relationships/hyperlink" Target="https://restaurantbusinessonline.com/advice-guy/how-figure-out-prime-cost-occupancy-percentages" TargetMode="External"/><Relationship Id="rId55" Type="http://schemas.openxmlformats.org/officeDocument/2006/relationships/hyperlink" Target="https://www.cnbcindonesia.com/news/20250502131201-4-630428/pam-jaya-pasang-tarif-air-terjangkau-rp-1000-per-meter-kubik" TargetMode="External"/><Relationship Id="rId76" Type="http://schemas.openxmlformats.org/officeDocument/2006/relationships/hyperlink" Target="https://www.smartbrief.com/original/poll-most-diners-stay-about-hour" TargetMode="External"/><Relationship Id="rId7" Type="http://schemas.openxmlformats.org/officeDocument/2006/relationships/hyperlink" Target="https://id.indeed.com/career/barista/salaries/Jakarta" TargetMode="External"/><Relationship Id="rId71" Type="http://schemas.openxmlformats.org/officeDocument/2006/relationships/hyperlink" Target="https://longforecast.com/usd-to-idr-forecast-tod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showGridLines="0" zoomScaleNormal="100" workbookViewId="0">
      <selection activeCell="A3" sqref="A3"/>
    </sheetView>
  </sheetViews>
  <sheetFormatPr baseColWidth="10" defaultColWidth="8.6640625" defaultRowHeight="15" x14ac:dyDescent="0.2"/>
  <cols>
    <col min="1" max="1" width="24" customWidth="1"/>
    <col min="2" max="2" width="110" customWidth="1"/>
  </cols>
  <sheetData>
    <row r="1" spans="1:2" ht="18" customHeight="1" x14ac:dyDescent="0.2">
      <c r="A1" s="115" t="s">
        <v>139</v>
      </c>
    </row>
    <row r="2" spans="1:2" ht="20.25" customHeight="1" x14ac:dyDescent="0.2">
      <c r="A2" s="94" t="s">
        <v>140</v>
      </c>
    </row>
    <row r="4" spans="1:2" ht="60" customHeight="1" x14ac:dyDescent="0.2">
      <c r="A4" s="12" t="s">
        <v>141</v>
      </c>
      <c r="B4" s="126" t="s">
        <v>142</v>
      </c>
    </row>
    <row r="5" spans="1:2" x14ac:dyDescent="0.2">
      <c r="A5" s="12"/>
      <c r="B5" s="95"/>
    </row>
    <row r="6" spans="1:2" ht="31.5" customHeight="1" x14ac:dyDescent="0.2">
      <c r="A6" s="12" t="s">
        <v>143</v>
      </c>
      <c r="B6" s="13" t="s">
        <v>144</v>
      </c>
    </row>
    <row r="7" spans="1:2" ht="31.5" customHeight="1" x14ac:dyDescent="0.2">
      <c r="A7" s="12" t="s">
        <v>145</v>
      </c>
      <c r="B7" s="13" t="s">
        <v>146</v>
      </c>
    </row>
    <row r="8" spans="1:2" ht="31.5" customHeight="1" x14ac:dyDescent="0.2">
      <c r="A8" s="12" t="s">
        <v>147</v>
      </c>
      <c r="B8" s="127" t="s">
        <v>148</v>
      </c>
    </row>
    <row r="9" spans="1:2" ht="31.5" customHeight="1" x14ac:dyDescent="0.2">
      <c r="A9" s="12" t="s">
        <v>149</v>
      </c>
      <c r="B9" s="13" t="s">
        <v>150</v>
      </c>
    </row>
    <row r="10" spans="1:2" ht="31.5" customHeight="1" x14ac:dyDescent="0.2">
      <c r="A10" s="12" t="s">
        <v>151</v>
      </c>
      <c r="B10" s="13" t="s">
        <v>152</v>
      </c>
    </row>
    <row r="11" spans="1:2" ht="31.5" customHeight="1" x14ac:dyDescent="0.2">
      <c r="A11" s="12" t="s">
        <v>153</v>
      </c>
      <c r="B11" s="127" t="s">
        <v>154</v>
      </c>
    </row>
    <row r="12" spans="1:2" ht="31.5" customHeight="1" x14ac:dyDescent="0.2">
      <c r="A12" s="12" t="s">
        <v>155</v>
      </c>
      <c r="B12" s="13" t="s">
        <v>156</v>
      </c>
    </row>
    <row r="13" spans="1:2" ht="31.5" customHeight="1" x14ac:dyDescent="0.2">
      <c r="A13" s="12" t="s">
        <v>157</v>
      </c>
      <c r="B13" s="13" t="s">
        <v>158</v>
      </c>
    </row>
    <row r="14" spans="1:2" ht="66" customHeight="1" x14ac:dyDescent="0.2">
      <c r="A14" s="14" t="s">
        <v>159</v>
      </c>
      <c r="B14" s="13" t="s">
        <v>160</v>
      </c>
    </row>
    <row r="15" spans="1:2" ht="42" x14ac:dyDescent="0.2">
      <c r="A15" s="14" t="s">
        <v>161</v>
      </c>
      <c r="B15" s="13" t="s">
        <v>162</v>
      </c>
    </row>
    <row r="16" spans="1:2" x14ac:dyDescent="0.2">
      <c r="B16" s="95"/>
    </row>
    <row r="17" spans="2:2" x14ac:dyDescent="0.2">
      <c r="B17" s="95"/>
    </row>
    <row r="18" spans="2:2" x14ac:dyDescent="0.2">
      <c r="B18" s="95"/>
    </row>
    <row r="19" spans="2:2" x14ac:dyDescent="0.2">
      <c r="B19" s="95"/>
    </row>
    <row r="20" spans="2:2" x14ac:dyDescent="0.2">
      <c r="B20" s="95"/>
    </row>
    <row r="21" spans="2:2" x14ac:dyDescent="0.2">
      <c r="B21" s="95"/>
    </row>
    <row r="22" spans="2:2" x14ac:dyDescent="0.2">
      <c r="B22" s="95"/>
    </row>
    <row r="23" spans="2:2" x14ac:dyDescent="0.2">
      <c r="B23" s="95"/>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P58"/>
  <sheetViews>
    <sheetView showGridLines="0" zoomScaleNormal="100" workbookViewId="0">
      <selection activeCell="C4" sqref="C4"/>
    </sheetView>
  </sheetViews>
  <sheetFormatPr baseColWidth="10" defaultColWidth="8.6640625" defaultRowHeight="15" x14ac:dyDescent="0.2"/>
  <cols>
    <col min="1" max="1" width="50" customWidth="1"/>
    <col min="2" max="2" width="18" customWidth="1"/>
    <col min="3" max="3" width="16" customWidth="1"/>
    <col min="4" max="4" width="7.1640625" customWidth="1"/>
    <col min="5" max="5" width="36" customWidth="1"/>
    <col min="6" max="8" width="16" customWidth="1"/>
  </cols>
  <sheetData>
    <row r="1" spans="1:6" ht="17.25" customHeight="1" x14ac:dyDescent="0.2">
      <c r="A1" s="115" t="s">
        <v>163</v>
      </c>
    </row>
    <row r="2" spans="1:6" ht="15" customHeight="1" x14ac:dyDescent="0.2">
      <c r="A2" s="11" t="s">
        <v>164</v>
      </c>
    </row>
    <row r="3" spans="1:6" x14ac:dyDescent="0.2">
      <c r="A3" t="s">
        <v>165</v>
      </c>
      <c r="B3" s="97" t="s">
        <v>166</v>
      </c>
      <c r="C3" s="97"/>
      <c r="D3" s="97"/>
      <c r="E3" s="97"/>
      <c r="F3" s="97"/>
    </row>
    <row r="4" spans="1:6" x14ac:dyDescent="0.2">
      <c r="B4" s="97" t="s">
        <v>167</v>
      </c>
      <c r="C4" s="97"/>
      <c r="D4" s="97"/>
      <c r="E4" s="97"/>
      <c r="F4" s="97"/>
    </row>
    <row r="5" spans="1:6" ht="15" customHeight="1" x14ac:dyDescent="0.2">
      <c r="A5" s="12" t="s">
        <v>168</v>
      </c>
      <c r="B5" s="116" t="str">
        <f>Inputs!$E$4</f>
        <v>Base</v>
      </c>
    </row>
    <row r="6" spans="1:6" x14ac:dyDescent="0.2">
      <c r="A6" s="129" t="s">
        <v>169</v>
      </c>
      <c r="B6" s="130" t="str">
        <f>Inputs!$I$4</f>
        <v>Lease – CAPEX (Rent)</v>
      </c>
    </row>
    <row r="7" spans="1:6" ht="15" customHeight="1" x14ac:dyDescent="0.2">
      <c r="A7" s="117" t="s">
        <v>170</v>
      </c>
      <c r="B7" s="117" t="s">
        <v>171</v>
      </c>
      <c r="C7" s="117" t="s">
        <v>172</v>
      </c>
    </row>
    <row r="8" spans="1:6" ht="15" customHeight="1" x14ac:dyDescent="0.2">
      <c r="A8" s="15" t="s">
        <v>173</v>
      </c>
      <c r="B8" s="16">
        <f>CHOOSE(Inputs!$H$4,'CAPEX (Buy)'!$H$37,'CAPEX (Rent)'!$H$40)</f>
        <v>4266246129.875</v>
      </c>
      <c r="C8" s="17">
        <f>B8/Inputs!$H$10</f>
        <v>197511.39490162037</v>
      </c>
    </row>
    <row r="9" spans="1:6" ht="15" customHeight="1" x14ac:dyDescent="0.2">
      <c r="A9" s="15" t="s">
        <v>174</v>
      </c>
      <c r="B9" s="16">
        <f>Funding!$B$8</f>
        <v>4320000000</v>
      </c>
      <c r="C9" s="17">
        <f>B9/Inputs!$H$10</f>
        <v>200000</v>
      </c>
    </row>
    <row r="10" spans="1:6" ht="15" customHeight="1" x14ac:dyDescent="0.2">
      <c r="A10" s="15" t="s">
        <v>175</v>
      </c>
      <c r="B10" s="16">
        <f>Funding!$B$9</f>
        <v>-53753870.125</v>
      </c>
      <c r="C10" s="17">
        <f>B10/Inputs!$H$10</f>
        <v>-2488.6050983796295</v>
      </c>
    </row>
    <row r="11" spans="1:6" ht="15" customHeight="1" x14ac:dyDescent="0.2">
      <c r="A11" s="15" t="s">
        <v>176</v>
      </c>
      <c r="B11" s="16">
        <f>Funding!$B$10</f>
        <v>0</v>
      </c>
      <c r="C11" s="17">
        <f>B11/Inputs!$H$10</f>
        <v>0</v>
      </c>
    </row>
    <row r="12" spans="1:6" ht="15" customHeight="1" x14ac:dyDescent="0.2">
      <c r="A12" s="15" t="s">
        <v>177</v>
      </c>
      <c r="B12" s="16">
        <f>Scenarios!$F$13</f>
        <v>735630000</v>
      </c>
      <c r="C12" s="17">
        <f>B12/Inputs!$H$10</f>
        <v>34056.944444444445</v>
      </c>
    </row>
    <row r="13" spans="1:6" ht="15" customHeight="1" x14ac:dyDescent="0.2">
      <c r="A13" s="15" t="s">
        <v>178</v>
      </c>
      <c r="B13" s="16">
        <f>Scenarios!$F$34</f>
        <v>134786270.24237579</v>
      </c>
      <c r="C13" s="17">
        <f>B13/Inputs!$H$10</f>
        <v>6240.1051038136939</v>
      </c>
    </row>
    <row r="14" spans="1:6" ht="15" customHeight="1" x14ac:dyDescent="0.2">
      <c r="A14" s="15" t="s">
        <v>179</v>
      </c>
      <c r="B14" s="16">
        <f>Scenarios!$F$43</f>
        <v>16761711.88920611</v>
      </c>
      <c r="C14" s="17">
        <f>B14/Inputs!$H$10</f>
        <v>776.00518005583842</v>
      </c>
    </row>
    <row r="15" spans="1:6" ht="15" customHeight="1" x14ac:dyDescent="0.2">
      <c r="A15" s="15" t="s">
        <v>180</v>
      </c>
      <c r="B15" s="16">
        <f>Annual!$C$5</f>
        <v>7295392080</v>
      </c>
      <c r="C15" s="17">
        <f>B15/Inputs!$H$10</f>
        <v>337749.63333333336</v>
      </c>
    </row>
    <row r="16" spans="1:6" ht="15" customHeight="1" x14ac:dyDescent="0.2">
      <c r="A16" s="15" t="s">
        <v>181</v>
      </c>
      <c r="B16" s="16">
        <f>Annual!$C$11</f>
        <v>730264586.19673204</v>
      </c>
      <c r="C16" s="17">
        <f>B16/Inputs!$H$10</f>
        <v>33808.545657256116</v>
      </c>
    </row>
    <row r="17" spans="1:5" ht="15" customHeight="1" x14ac:dyDescent="0.2">
      <c r="A17" s="15" t="s">
        <v>182</v>
      </c>
      <c r="B17" s="16">
        <f>Annual!$E$11</f>
        <v>0</v>
      </c>
      <c r="C17" s="17">
        <f>B17/Inputs!$H$10</f>
        <v>0</v>
      </c>
    </row>
    <row r="18" spans="1:5" ht="15" customHeight="1" x14ac:dyDescent="0.2">
      <c r="A18" s="15" t="s">
        <v>183</v>
      </c>
      <c r="B18" s="16">
        <f>MIN(PnL_Monthly!$C$49:$BJ$49)</f>
        <v>794813727.00830674</v>
      </c>
      <c r="C18" s="17">
        <f>B18/Inputs!$H$10</f>
        <v>36796.931805940127</v>
      </c>
    </row>
    <row r="19" spans="1:5" ht="15" customHeight="1" x14ac:dyDescent="0.2">
      <c r="A19" s="15" t="s">
        <v>184</v>
      </c>
      <c r="B19" s="16">
        <f>Annual!$C$31</f>
        <v>-3185886005.2459583</v>
      </c>
      <c r="C19" s="17">
        <f>B19/Inputs!$H$10</f>
        <v>-147494.72246509066</v>
      </c>
    </row>
    <row r="20" spans="1:5" ht="15" customHeight="1" x14ac:dyDescent="0.2">
      <c r="A20" s="15" t="s">
        <v>185</v>
      </c>
      <c r="B20" s="18">
        <f>Scenarios!$F$45</f>
        <v>136.71311846340777</v>
      </c>
    </row>
    <row r="21" spans="1:5" ht="15" customHeight="1" x14ac:dyDescent="0.2">
      <c r="A21" s="15" t="s">
        <v>186</v>
      </c>
      <c r="B21" s="18">
        <f>Scenarios!$F$6</f>
        <v>200</v>
      </c>
    </row>
    <row r="22" spans="1:5" ht="15" customHeight="1" x14ac:dyDescent="0.2">
      <c r="A22" s="15" t="s">
        <v>187</v>
      </c>
      <c r="B22" s="19">
        <f>Scenarios!$F$35</f>
        <v>0.18322563006181883</v>
      </c>
    </row>
    <row r="23" spans="1:5" ht="15" customHeight="1" x14ac:dyDescent="0.2">
      <c r="A23" s="15" t="s">
        <v>188</v>
      </c>
      <c r="B23" s="19">
        <f>Scenarios!$F$39</f>
        <v>0.51941665840747508</v>
      </c>
    </row>
    <row r="24" spans="1:5" ht="15" customHeight="1" x14ac:dyDescent="0.2">
      <c r="A24" s="15" t="s">
        <v>189</v>
      </c>
      <c r="B24" s="19">
        <f>Scenarios!$F$40</f>
        <v>5.1349481057053135E-2</v>
      </c>
    </row>
    <row r="25" spans="1:5" ht="15" customHeight="1" x14ac:dyDescent="0.2">
      <c r="A25" s="15" t="s">
        <v>190</v>
      </c>
      <c r="B25" s="18" t="str">
        <f>IF(MIN(PnL_Monthly!$C$53:$BJ$53)=0,"&gt; 60 months",MIN(PnL_Monthly!$C$53:$BJ$53))</f>
        <v>&gt; 60 months</v>
      </c>
    </row>
    <row r="26" spans="1:5" ht="15" customHeight="1" x14ac:dyDescent="0.2">
      <c r="A26" s="15" t="s">
        <v>191</v>
      </c>
      <c r="B26" s="19">
        <f>Annual!$C$30</f>
        <v>-0.4690948611220801</v>
      </c>
    </row>
    <row r="27" spans="1:5" ht="15" customHeight="1" x14ac:dyDescent="0.2">
      <c r="A27" s="15" t="s">
        <v>192</v>
      </c>
      <c r="B27" s="20" t="str">
        <f>Funding!$B$23</f>
        <v>OK – equity covers paid-up capital</v>
      </c>
    </row>
    <row r="28" spans="1:5" ht="15" customHeight="1" x14ac:dyDescent="0.2">
      <c r="A28" s="15" t="s">
        <v>193</v>
      </c>
      <c r="B28" s="18">
        <f>Revenue!$C$5</f>
        <v>60</v>
      </c>
    </row>
    <row r="29" spans="1:5" x14ac:dyDescent="0.2">
      <c r="A29" s="15" t="s">
        <v>194</v>
      </c>
      <c r="B29" s="131">
        <f>IF(Inputs!$H$4=2,'CAPEX (Rent)'!$H$47,0)</f>
        <v>18483149.583333332</v>
      </c>
      <c r="C29" s="132">
        <f>B29/Inputs!$H$10</f>
        <v>855.70136959876538</v>
      </c>
    </row>
    <row r="30" spans="1:5" ht="34.5" customHeight="1" x14ac:dyDescent="0.2">
      <c r="B30" s="117" t="s">
        <v>195</v>
      </c>
      <c r="C30" s="117" t="s">
        <v>196</v>
      </c>
      <c r="D30" s="117" t="s">
        <v>197</v>
      </c>
      <c r="E30" s="117" t="s">
        <v>198</v>
      </c>
    </row>
    <row r="31" spans="1:5" ht="15" customHeight="1" x14ac:dyDescent="0.2">
      <c r="A31" s="15" t="s">
        <v>199</v>
      </c>
      <c r="B31" s="16">
        <f>Scenarios!$C$13</f>
        <v>481770000</v>
      </c>
      <c r="C31" s="16">
        <f>Scenarios!$D$13</f>
        <v>735630000</v>
      </c>
      <c r="D31" s="16">
        <f>Scenarios!$E$13</f>
        <v>1083805000</v>
      </c>
    </row>
    <row r="32" spans="1:5" ht="15" customHeight="1" x14ac:dyDescent="0.2">
      <c r="A32" s="15" t="s">
        <v>200</v>
      </c>
      <c r="B32" s="16">
        <f>Scenarios!$C$34</f>
        <v>-107897672.49284896</v>
      </c>
      <c r="C32" s="16">
        <f>Scenarios!$D$34</f>
        <v>134786270.24237579</v>
      </c>
      <c r="D32" s="16">
        <f>Scenarios!$E$34</f>
        <v>411641703.68435258</v>
      </c>
    </row>
    <row r="33" spans="1:4" ht="15" customHeight="1" x14ac:dyDescent="0.2">
      <c r="A33" s="15" t="s">
        <v>201</v>
      </c>
      <c r="B33" s="19">
        <f>Scenarios!$C$35</f>
        <v>-0.22396096164736071</v>
      </c>
      <c r="C33" s="19">
        <f>Scenarios!$D$35</f>
        <v>0.18322563006181883</v>
      </c>
      <c r="D33" s="19">
        <f>Scenarios!$E$35</f>
        <v>0.37981159312270435</v>
      </c>
    </row>
    <row r="34" spans="1:4" ht="15" customHeight="1" x14ac:dyDescent="0.2">
      <c r="A34" s="15" t="s">
        <v>202</v>
      </c>
      <c r="B34" s="16">
        <f>Scenarios!$C$43</f>
        <v>22950906.806761336</v>
      </c>
      <c r="C34" s="16">
        <f>Scenarios!$D$43</f>
        <v>16761711.88920611</v>
      </c>
      <c r="D34" s="16">
        <f>Scenarios!$E$43</f>
        <v>14180294.751065653</v>
      </c>
    </row>
    <row r="35" spans="1:4" ht="15" customHeight="1" x14ac:dyDescent="0.2">
      <c r="A35" s="15" t="s">
        <v>203</v>
      </c>
      <c r="B35" s="18">
        <f>Scenarios!$C$45</f>
        <v>221.52005448957016</v>
      </c>
      <c r="C35" s="18">
        <f>Scenarios!$D$45</f>
        <v>136.71311846340777</v>
      </c>
      <c r="D35" s="18">
        <f>Scenarios!$E$45</f>
        <v>100.09111864740636</v>
      </c>
    </row>
    <row r="36" spans="1:4" ht="15" customHeight="1" x14ac:dyDescent="0.2">
      <c r="A36" s="15" t="s">
        <v>204</v>
      </c>
      <c r="B36" s="17">
        <f>Scenarios!$C$54</f>
        <v>314583.94014206016</v>
      </c>
      <c r="C36" s="17">
        <f>Scenarios!$D$54</f>
        <v>197511.39490162037</v>
      </c>
      <c r="D36" s="17">
        <f>Scenarios!$E$54</f>
        <v>159628.47650150463</v>
      </c>
    </row>
    <row r="37" spans="1:4" ht="15" customHeight="1" x14ac:dyDescent="0.2">
      <c r="A37" s="15" t="s">
        <v>205</v>
      </c>
      <c r="B37" s="17">
        <f>Scenarios!$C$55</f>
        <v>114583.94014206016</v>
      </c>
      <c r="C37" s="17">
        <f>Scenarios!$D$55</f>
        <v>-2488.6050983796304</v>
      </c>
      <c r="D37" s="17">
        <f>Scenarios!$E$55</f>
        <v>-40371.523498495371</v>
      </c>
    </row>
    <row r="38" spans="1:4" ht="15" customHeight="1" x14ac:dyDescent="0.2">
      <c r="A38" s="15" t="s">
        <v>206</v>
      </c>
      <c r="B38" s="21" t="str">
        <f>Scenarios!$C$56</f>
        <v>never</v>
      </c>
      <c r="C38" s="21">
        <f>Scenarios!$D$56</f>
        <v>3.3816168803871856</v>
      </c>
      <c r="D38" s="21">
        <f>Scenarios!$E$56</f>
        <v>0.93217547164925219</v>
      </c>
    </row>
    <row r="40" spans="1:4" ht="15" customHeight="1" x14ac:dyDescent="0.2">
      <c r="A40" s="12" t="s">
        <v>207</v>
      </c>
    </row>
    <row r="41" spans="1:4" ht="15" customHeight="1" x14ac:dyDescent="0.2">
      <c r="A41" s="15" t="s">
        <v>208</v>
      </c>
      <c r="B41" s="20" t="str">
        <f>Scenarios!$F$58</f>
        <v>OK</v>
      </c>
    </row>
    <row r="42" spans="1:4" ht="15" customHeight="1" x14ac:dyDescent="0.2">
      <c r="A42" s="15" t="s">
        <v>209</v>
      </c>
      <c r="B42" s="20" t="str">
        <f>Scenarios!$F$59</f>
        <v>OK</v>
      </c>
    </row>
    <row r="43" spans="1:4" ht="15" customHeight="1" x14ac:dyDescent="0.2">
      <c r="A43" s="15" t="s">
        <v>210</v>
      </c>
      <c r="B43" s="20" t="str">
        <f>IF(MIN(PnL_Monthly!$C$49:$BJ$49)&gt;=0,"OK","Cash goes negative – increase WC reserve / funding")</f>
        <v>OK</v>
      </c>
    </row>
    <row r="44" spans="1:4" ht="15" customHeight="1" x14ac:dyDescent="0.2">
      <c r="A44" s="15" t="s">
        <v>211</v>
      </c>
      <c r="B44" s="20" t="str">
        <f>IF(Funding!$B$11&gt;0,"Need "&amp;TEXT(Funding!$C$11,"#,##0")&amp;" CHF more","OK")</f>
        <v>OK</v>
      </c>
    </row>
    <row r="45" spans="1:4" ht="15" customHeight="1" x14ac:dyDescent="0.2">
      <c r="A45" s="15" t="s">
        <v>212</v>
      </c>
      <c r="B45" s="20" t="str">
        <f>IF(COUNTIF(Staffing!$E$6:$E$14,"Below UMP!")&gt;0,"Some roles below UMP","OK")</f>
        <v>OK</v>
      </c>
    </row>
    <row r="46" spans="1:4" ht="15" customHeight="1" x14ac:dyDescent="0.2">
      <c r="A46" s="15" t="s">
        <v>213</v>
      </c>
      <c r="B46" s="20" t="str">
        <f>Revenue!$E$26</f>
        <v>OK – demand fits seat capacity</v>
      </c>
    </row>
    <row r="47" spans="1:4" ht="15" customHeight="1" x14ac:dyDescent="0.2">
      <c r="A47" s="15" t="s">
        <v>214</v>
      </c>
      <c r="B47" s="20" t="str">
        <f>Menu!$I$30</f>
        <v>OK</v>
      </c>
    </row>
    <row r="48" spans="1:4" ht="15" customHeight="1" x14ac:dyDescent="0.2">
      <c r="A48" s="15" t="s">
        <v>215</v>
      </c>
      <c r="B48" s="20" t="str">
        <f>IF(ABS(AVERAGE(Inputs!$H$92:$H$103)-1)&lt;0.02,"OK","Average "&amp;TEXT(AVERAGE(Inputs!$H$92:$H$103),"0.00"))</f>
        <v>OK</v>
      </c>
    </row>
    <row r="51" spans="1:16" ht="15.75" customHeight="1" x14ac:dyDescent="0.2">
      <c r="A51" s="118" t="s">
        <v>216</v>
      </c>
    </row>
    <row r="52" spans="1:16" ht="27" customHeight="1" x14ac:dyDescent="0.2">
      <c r="A52" s="119" t="s">
        <v>114</v>
      </c>
      <c r="B52" s="119" t="s">
        <v>115</v>
      </c>
      <c r="C52" s="195" t="s">
        <v>116</v>
      </c>
      <c r="D52" s="196"/>
      <c r="E52" s="196"/>
      <c r="F52" s="195" t="s">
        <v>117</v>
      </c>
      <c r="G52" s="196"/>
      <c r="H52" s="196"/>
      <c r="I52" s="196"/>
      <c r="J52" s="196"/>
      <c r="K52" s="196"/>
      <c r="L52" s="196"/>
      <c r="M52" s="196"/>
      <c r="N52" s="195" t="s">
        <v>22</v>
      </c>
      <c r="O52" s="196"/>
      <c r="P52" s="196"/>
    </row>
    <row r="53" spans="1:16" ht="27" customHeight="1" x14ac:dyDescent="0.2">
      <c r="A53" s="9" t="s">
        <v>217</v>
      </c>
      <c r="B53" s="3" t="s">
        <v>125</v>
      </c>
      <c r="C53" s="197" t="s">
        <v>218</v>
      </c>
      <c r="D53" s="198"/>
      <c r="E53" s="199"/>
      <c r="F53" s="197" t="s">
        <v>219</v>
      </c>
      <c r="G53" s="198"/>
      <c r="H53" s="198"/>
      <c r="I53" s="198"/>
      <c r="J53" s="198"/>
      <c r="K53" s="198"/>
      <c r="L53" s="198"/>
      <c r="M53" s="199"/>
      <c r="N53" s="200" t="s">
        <v>138</v>
      </c>
      <c r="O53" s="198"/>
      <c r="P53" s="199"/>
    </row>
    <row r="54" spans="1:16" ht="15" customHeight="1" x14ac:dyDescent="0.2">
      <c r="A54" s="9" t="s">
        <v>220</v>
      </c>
      <c r="B54" s="4">
        <f>Dashboard!B8</f>
        <v>4266246129.875</v>
      </c>
      <c r="C54" s="197" t="s">
        <v>221</v>
      </c>
      <c r="D54" s="198"/>
      <c r="E54" s="199"/>
      <c r="F54" s="197" t="s">
        <v>222</v>
      </c>
      <c r="G54" s="198"/>
      <c r="H54" s="198"/>
      <c r="I54" s="198"/>
      <c r="J54" s="198"/>
      <c r="K54" s="198"/>
      <c r="L54" s="198"/>
      <c r="M54" s="199"/>
      <c r="N54" s="204" t="s">
        <v>27</v>
      </c>
      <c r="O54" s="198"/>
      <c r="P54" s="199"/>
    </row>
    <row r="55" spans="1:16" ht="27" customHeight="1" x14ac:dyDescent="0.2">
      <c r="A55" s="9" t="s">
        <v>223</v>
      </c>
      <c r="B55" s="4">
        <f>Dashboard!B12</f>
        <v>735630000</v>
      </c>
      <c r="C55" s="197" t="s">
        <v>224</v>
      </c>
      <c r="D55" s="198"/>
      <c r="E55" s="199"/>
      <c r="F55" s="197" t="s">
        <v>225</v>
      </c>
      <c r="G55" s="198"/>
      <c r="H55" s="198"/>
      <c r="I55" s="198"/>
      <c r="J55" s="198"/>
      <c r="K55" s="198"/>
      <c r="L55" s="198"/>
      <c r="M55" s="199"/>
      <c r="N55" s="205" t="s">
        <v>127</v>
      </c>
      <c r="O55" s="198"/>
      <c r="P55" s="199"/>
    </row>
    <row r="56" spans="1:16" ht="15" customHeight="1" x14ac:dyDescent="0.2">
      <c r="A56" s="9" t="s">
        <v>226</v>
      </c>
      <c r="B56" s="4">
        <f>Dashboard!B13</f>
        <v>134786270.24237579</v>
      </c>
      <c r="C56" s="197" t="s">
        <v>227</v>
      </c>
      <c r="D56" s="198"/>
      <c r="E56" s="199"/>
      <c r="F56" s="197" t="s">
        <v>228</v>
      </c>
      <c r="G56" s="198"/>
      <c r="H56" s="198"/>
      <c r="I56" s="198"/>
      <c r="J56" s="198"/>
      <c r="K56" s="198"/>
      <c r="L56" s="198"/>
      <c r="M56" s="199"/>
      <c r="N56" s="204" t="s">
        <v>27</v>
      </c>
      <c r="O56" s="198"/>
      <c r="P56" s="199"/>
    </row>
    <row r="57" spans="1:16" ht="15" customHeight="1" x14ac:dyDescent="0.2">
      <c r="A57" s="9" t="s">
        <v>229</v>
      </c>
      <c r="B57" s="22" t="str">
        <f>Dashboard!B27</f>
        <v>OK – equity covers paid-up capital</v>
      </c>
      <c r="C57" s="197" t="s">
        <v>230</v>
      </c>
      <c r="D57" s="198"/>
      <c r="E57" s="199"/>
      <c r="F57" s="197" t="s">
        <v>231</v>
      </c>
      <c r="G57" s="198"/>
      <c r="H57" s="198"/>
      <c r="I57" s="198"/>
      <c r="J57" s="198"/>
      <c r="K57" s="198"/>
      <c r="L57" s="198"/>
      <c r="M57" s="199"/>
      <c r="N57" s="201" t="s">
        <v>131</v>
      </c>
      <c r="O57" s="198"/>
      <c r="P57" s="199"/>
    </row>
    <row r="58" spans="1:16" ht="15" customHeight="1" x14ac:dyDescent="0.2">
      <c r="A58" s="9" t="s">
        <v>232</v>
      </c>
      <c r="B58" s="3" t="s">
        <v>125</v>
      </c>
      <c r="C58" s="197" t="s">
        <v>125</v>
      </c>
      <c r="D58" s="198"/>
      <c r="E58" s="199"/>
      <c r="F58" s="197" t="s">
        <v>233</v>
      </c>
      <c r="G58" s="198"/>
      <c r="H58" s="198"/>
      <c r="I58" s="198"/>
      <c r="J58" s="198"/>
      <c r="K58" s="198"/>
      <c r="L58" s="198"/>
      <c r="M58" s="199"/>
      <c r="N58" s="200" t="s">
        <v>234</v>
      </c>
      <c r="O58" s="198"/>
      <c r="P58" s="199"/>
    </row>
  </sheetData>
  <mergeCells count="21">
    <mergeCell ref="C54:E54"/>
    <mergeCell ref="F53:M53"/>
    <mergeCell ref="C55:E55"/>
    <mergeCell ref="N58:P58"/>
    <mergeCell ref="N52:P52"/>
    <mergeCell ref="F54:M54"/>
    <mergeCell ref="C56:E56"/>
    <mergeCell ref="N57:P57"/>
    <mergeCell ref="C52:E52"/>
    <mergeCell ref="F55:M55"/>
    <mergeCell ref="C57:E57"/>
    <mergeCell ref="C53:E53"/>
    <mergeCell ref="N55:P55"/>
    <mergeCell ref="N54:P54"/>
    <mergeCell ref="C58:E58"/>
    <mergeCell ref="F58:M58"/>
    <mergeCell ref="F56:M56"/>
    <mergeCell ref="F52:M52"/>
    <mergeCell ref="N56:P56"/>
    <mergeCell ref="N53:P53"/>
    <mergeCell ref="F57:M57"/>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L103"/>
  <sheetViews>
    <sheetView showGridLines="0" zoomScale="99" zoomScaleNormal="100" workbookViewId="0">
      <pane xSplit="4" ySplit="8" topLeftCell="I9" activePane="bottomRight" state="frozen"/>
      <selection pane="topRight" activeCell="E1" sqref="E1"/>
      <selection pane="bottomLeft" activeCell="A7" sqref="A7"/>
      <selection pane="bottomRight" activeCell="E55" sqref="E55"/>
    </sheetView>
  </sheetViews>
  <sheetFormatPr baseColWidth="10" defaultColWidth="8.6640625" defaultRowHeight="15" x14ac:dyDescent="0.2"/>
  <cols>
    <col min="1" max="1" width="16" customWidth="1"/>
    <col min="2" max="2" width="12" customWidth="1"/>
    <col min="3" max="3" width="90.5" bestFit="1" customWidth="1"/>
    <col min="4" max="4" width="12" customWidth="1"/>
    <col min="5" max="7" width="15" customWidth="1"/>
    <col min="8" max="8" width="16" customWidth="1"/>
    <col min="9" max="9" width="60" customWidth="1"/>
    <col min="10" max="10" width="10" customWidth="1"/>
    <col min="11" max="11" width="85" customWidth="1"/>
    <col min="12" max="12" width="20" customWidth="1"/>
  </cols>
  <sheetData>
    <row r="1" spans="1:12" ht="17.25" customHeight="1" x14ac:dyDescent="0.2">
      <c r="A1" s="115" t="s">
        <v>235</v>
      </c>
    </row>
    <row r="2" spans="1:12" ht="15" customHeight="1" x14ac:dyDescent="0.2">
      <c r="A2" s="11" t="s">
        <v>236</v>
      </c>
    </row>
    <row r="4" spans="1:12" ht="15" customHeight="1" x14ac:dyDescent="0.2">
      <c r="C4" s="12" t="s">
        <v>237</v>
      </c>
      <c r="D4" s="23">
        <v>2</v>
      </c>
      <c r="E4" s="12" t="str">
        <f>CHOOSE($D$4,"Conservative","Base","Optimistic")</f>
        <v>Base</v>
      </c>
      <c r="F4" s="133" t="s">
        <v>238</v>
      </c>
      <c r="H4" s="134">
        <v>2</v>
      </c>
      <c r="I4" s="129" t="str">
        <f>CHOOSE($H$4,"Buy – CAPEX (Buy)","Lease – CAPEX (Rent)")</f>
        <v>Lease – CAPEX (Rent)</v>
      </c>
    </row>
    <row r="5" spans="1:12" x14ac:dyDescent="0.2">
      <c r="A5" t="s">
        <v>239</v>
      </c>
      <c r="B5" s="97" t="s">
        <v>240</v>
      </c>
      <c r="C5" s="97"/>
      <c r="D5" s="97"/>
      <c r="E5" s="97"/>
    </row>
    <row r="6" spans="1:12" x14ac:dyDescent="0.2">
      <c r="B6" s="97" t="s">
        <v>241</v>
      </c>
      <c r="C6" s="97"/>
      <c r="D6" s="97"/>
      <c r="E6" s="97"/>
      <c r="F6" s="97"/>
    </row>
    <row r="7" spans="1:12" x14ac:dyDescent="0.2">
      <c r="B7" s="97"/>
      <c r="C7" s="97"/>
      <c r="D7" s="97"/>
      <c r="E7" s="97"/>
    </row>
    <row r="8" spans="1:12" ht="23.25" customHeight="1" x14ac:dyDescent="0.2">
      <c r="A8" s="117" t="s">
        <v>242</v>
      </c>
      <c r="B8" s="117" t="s">
        <v>6</v>
      </c>
      <c r="C8" s="117" t="s">
        <v>243</v>
      </c>
      <c r="D8" s="117" t="s">
        <v>244</v>
      </c>
      <c r="E8" s="117" t="s">
        <v>196</v>
      </c>
      <c r="F8" s="117" t="s">
        <v>197</v>
      </c>
      <c r="G8" s="117" t="s">
        <v>198</v>
      </c>
      <c r="H8" s="117" t="s">
        <v>245</v>
      </c>
      <c r="I8" s="117" t="s">
        <v>246</v>
      </c>
      <c r="J8" s="117" t="s">
        <v>247</v>
      </c>
      <c r="K8" s="119" t="s">
        <v>248</v>
      </c>
      <c r="L8" s="119" t="s">
        <v>22</v>
      </c>
    </row>
    <row r="9" spans="1:12" ht="15" customHeight="1" x14ac:dyDescent="0.2">
      <c r="A9" s="120" t="s">
        <v>249</v>
      </c>
      <c r="B9" s="121"/>
      <c r="C9" s="121"/>
      <c r="D9" s="121"/>
      <c r="E9" s="121"/>
      <c r="F9" s="121"/>
      <c r="G9" s="121"/>
      <c r="H9" s="121"/>
      <c r="I9" s="121"/>
      <c r="J9" s="121"/>
    </row>
    <row r="10" spans="1:12" ht="27" customHeight="1" x14ac:dyDescent="0.2">
      <c r="A10" s="24" t="s">
        <v>250</v>
      </c>
      <c r="B10" s="15" t="s">
        <v>251</v>
      </c>
      <c r="C10" s="15" t="s">
        <v>252</v>
      </c>
      <c r="D10" s="15" t="s">
        <v>253</v>
      </c>
      <c r="E10" s="25">
        <v>20500</v>
      </c>
      <c r="F10" s="25">
        <v>21600</v>
      </c>
      <c r="G10" s="25">
        <v>22500</v>
      </c>
      <c r="H10" s="26">
        <f t="shared" ref="H10:H18" si="0">CHOOSE($D$4,E10,F10,G10)</f>
        <v>21600</v>
      </c>
      <c r="I10" s="13" t="s">
        <v>254</v>
      </c>
      <c r="J10" s="27" t="s">
        <v>255</v>
      </c>
      <c r="K10" s="13" t="s">
        <v>256</v>
      </c>
      <c r="L10" s="28" t="s">
        <v>257</v>
      </c>
    </row>
    <row r="11" spans="1:12" ht="27" customHeight="1" x14ac:dyDescent="0.2">
      <c r="A11" s="24" t="s">
        <v>258</v>
      </c>
      <c r="B11" s="15" t="s">
        <v>259</v>
      </c>
      <c r="C11" s="15" t="s">
        <v>260</v>
      </c>
      <c r="D11" s="15" t="s">
        <v>261</v>
      </c>
      <c r="E11" s="29">
        <v>46569</v>
      </c>
      <c r="F11" s="29">
        <v>46569</v>
      </c>
      <c r="G11" s="29">
        <v>46569</v>
      </c>
      <c r="H11" s="30">
        <f t="shared" si="0"/>
        <v>46569</v>
      </c>
      <c r="I11" s="13" t="s">
        <v>262</v>
      </c>
      <c r="J11" s="27" t="s">
        <v>263</v>
      </c>
      <c r="K11" s="13" t="s">
        <v>264</v>
      </c>
      <c r="L11" s="31" t="s">
        <v>127</v>
      </c>
    </row>
    <row r="12" spans="1:12" ht="27" customHeight="1" x14ac:dyDescent="0.2">
      <c r="A12" s="24" t="s">
        <v>265</v>
      </c>
      <c r="B12" s="15" t="s">
        <v>259</v>
      </c>
      <c r="C12" s="15" t="s">
        <v>266</v>
      </c>
      <c r="D12" s="15" t="s">
        <v>265</v>
      </c>
      <c r="E12" s="25">
        <v>30</v>
      </c>
      <c r="F12" s="25">
        <v>30</v>
      </c>
      <c r="G12" s="25">
        <v>30</v>
      </c>
      <c r="H12" s="26">
        <f t="shared" si="0"/>
        <v>30</v>
      </c>
      <c r="I12" s="13" t="s">
        <v>267</v>
      </c>
      <c r="J12" s="27" t="s">
        <v>268</v>
      </c>
      <c r="K12" s="13" t="s">
        <v>269</v>
      </c>
      <c r="L12" s="31" t="s">
        <v>127</v>
      </c>
    </row>
    <row r="13" spans="1:12" ht="27" customHeight="1" x14ac:dyDescent="0.2">
      <c r="A13" s="24" t="s">
        <v>270</v>
      </c>
      <c r="B13" s="15" t="s">
        <v>251</v>
      </c>
      <c r="C13" s="15" t="s">
        <v>271</v>
      </c>
      <c r="D13" s="15" t="s">
        <v>272</v>
      </c>
      <c r="E13" s="32">
        <v>0.03</v>
      </c>
      <c r="F13" s="32">
        <v>0.04</v>
      </c>
      <c r="G13" s="32">
        <v>0.05</v>
      </c>
      <c r="H13" s="33">
        <f t="shared" si="0"/>
        <v>0.04</v>
      </c>
      <c r="I13" s="13" t="s">
        <v>273</v>
      </c>
      <c r="J13" s="27" t="s">
        <v>268</v>
      </c>
      <c r="K13" s="13" t="s">
        <v>274</v>
      </c>
      <c r="L13" s="28" t="s">
        <v>257</v>
      </c>
    </row>
    <row r="14" spans="1:12" ht="27" customHeight="1" x14ac:dyDescent="0.2">
      <c r="A14" s="24" t="s">
        <v>275</v>
      </c>
      <c r="B14" s="15" t="s">
        <v>251</v>
      </c>
      <c r="C14" s="15" t="s">
        <v>276</v>
      </c>
      <c r="D14" s="15" t="s">
        <v>272</v>
      </c>
      <c r="E14" s="32">
        <v>4.4999999999999998E-2</v>
      </c>
      <c r="F14" s="32">
        <v>3.5000000000000003E-2</v>
      </c>
      <c r="G14" s="32">
        <v>0.03</v>
      </c>
      <c r="H14" s="33">
        <f t="shared" si="0"/>
        <v>3.5000000000000003E-2</v>
      </c>
      <c r="I14" s="13" t="s">
        <v>277</v>
      </c>
      <c r="J14" s="27" t="s">
        <v>268</v>
      </c>
      <c r="K14" s="13" t="s">
        <v>278</v>
      </c>
      <c r="L14" s="28" t="s">
        <v>257</v>
      </c>
    </row>
    <row r="15" spans="1:12" ht="15" customHeight="1" x14ac:dyDescent="0.2">
      <c r="A15" s="24" t="s">
        <v>279</v>
      </c>
      <c r="B15" s="15" t="s">
        <v>251</v>
      </c>
      <c r="C15" s="15" t="s">
        <v>280</v>
      </c>
      <c r="D15" s="15" t="s">
        <v>272</v>
      </c>
      <c r="E15" s="32">
        <v>7.0000000000000007E-2</v>
      </c>
      <c r="F15" s="32">
        <v>6.2E-2</v>
      </c>
      <c r="G15" s="32">
        <v>0.05</v>
      </c>
      <c r="H15" s="33">
        <f t="shared" si="0"/>
        <v>6.2E-2</v>
      </c>
      <c r="I15" s="13" t="s">
        <v>281</v>
      </c>
      <c r="J15" s="27" t="s">
        <v>268</v>
      </c>
      <c r="K15" s="13" t="s">
        <v>282</v>
      </c>
      <c r="L15" s="28" t="s">
        <v>257</v>
      </c>
    </row>
    <row r="16" spans="1:12" ht="15" customHeight="1" x14ac:dyDescent="0.2">
      <c r="A16" s="24" t="s">
        <v>283</v>
      </c>
      <c r="B16" s="15" t="s">
        <v>284</v>
      </c>
      <c r="C16" s="15" t="s">
        <v>285</v>
      </c>
      <c r="D16" s="15" t="s">
        <v>272</v>
      </c>
      <c r="E16" s="32">
        <v>0.22</v>
      </c>
      <c r="F16" s="32">
        <v>0.22</v>
      </c>
      <c r="G16" s="32">
        <v>0.22</v>
      </c>
      <c r="H16" s="33">
        <f t="shared" si="0"/>
        <v>0.22</v>
      </c>
      <c r="I16" s="13" t="s">
        <v>286</v>
      </c>
      <c r="J16" s="27" t="s">
        <v>268</v>
      </c>
      <c r="K16" s="13" t="s">
        <v>287</v>
      </c>
      <c r="L16" s="28" t="s">
        <v>131</v>
      </c>
    </row>
    <row r="17" spans="1:12" ht="15" customHeight="1" x14ac:dyDescent="0.2">
      <c r="A17" s="24" t="s">
        <v>288</v>
      </c>
      <c r="B17" s="15" t="s">
        <v>284</v>
      </c>
      <c r="C17" s="15" t="s">
        <v>289</v>
      </c>
      <c r="D17" s="15" t="s">
        <v>272</v>
      </c>
      <c r="E17" s="32">
        <v>0.1</v>
      </c>
      <c r="F17" s="32">
        <v>0.1</v>
      </c>
      <c r="G17" s="32">
        <v>0.1</v>
      </c>
      <c r="H17" s="33">
        <f t="shared" si="0"/>
        <v>0.1</v>
      </c>
      <c r="I17" s="13" t="s">
        <v>290</v>
      </c>
      <c r="J17" s="27" t="s">
        <v>255</v>
      </c>
      <c r="K17" s="13" t="s">
        <v>291</v>
      </c>
      <c r="L17" s="28" t="s">
        <v>131</v>
      </c>
    </row>
    <row r="18" spans="1:12" ht="27" customHeight="1" x14ac:dyDescent="0.2">
      <c r="A18" s="24" t="s">
        <v>292</v>
      </c>
      <c r="B18" s="15" t="s">
        <v>284</v>
      </c>
      <c r="C18" s="15" t="s">
        <v>293</v>
      </c>
      <c r="D18" s="15" t="s">
        <v>272</v>
      </c>
      <c r="E18" s="32">
        <v>0.11</v>
      </c>
      <c r="F18" s="32">
        <v>0.11</v>
      </c>
      <c r="G18" s="32">
        <v>0.11</v>
      </c>
      <c r="H18" s="33">
        <f t="shared" si="0"/>
        <v>0.11</v>
      </c>
      <c r="I18" s="13" t="s">
        <v>294</v>
      </c>
      <c r="J18" s="27" t="s">
        <v>268</v>
      </c>
      <c r="K18" s="13" t="s">
        <v>295</v>
      </c>
      <c r="L18" s="28" t="s">
        <v>131</v>
      </c>
    </row>
    <row r="19" spans="1:12" ht="15" customHeight="1" x14ac:dyDescent="0.2">
      <c r="A19" s="120" t="s">
        <v>296</v>
      </c>
      <c r="B19" s="121"/>
      <c r="C19" s="121"/>
      <c r="D19" s="121"/>
      <c r="E19" s="121"/>
      <c r="F19" s="121"/>
      <c r="G19" s="121"/>
      <c r="H19" s="121"/>
      <c r="I19" s="121"/>
      <c r="J19" s="121"/>
    </row>
    <row r="20" spans="1:12" ht="27" customHeight="1" x14ac:dyDescent="0.2">
      <c r="A20" s="24" t="s">
        <v>297</v>
      </c>
      <c r="B20" s="15" t="s">
        <v>298</v>
      </c>
      <c r="C20" s="15" t="s">
        <v>299</v>
      </c>
      <c r="D20" s="15" t="s">
        <v>300</v>
      </c>
      <c r="E20" s="23">
        <v>2</v>
      </c>
      <c r="F20" s="23">
        <v>2</v>
      </c>
      <c r="G20" s="23">
        <v>2</v>
      </c>
      <c r="H20" s="26">
        <f t="shared" ref="H20:H31" si="1">CHOOSE($D$4,E20,F20,G20)</f>
        <v>2</v>
      </c>
      <c r="I20" s="13" t="s">
        <v>301</v>
      </c>
      <c r="J20" s="27" t="s">
        <v>302</v>
      </c>
      <c r="K20" s="13" t="s">
        <v>303</v>
      </c>
      <c r="L20" s="34" t="s">
        <v>234</v>
      </c>
    </row>
    <row r="21" spans="1:12" ht="15" customHeight="1" x14ac:dyDescent="0.2">
      <c r="A21" s="24" t="s">
        <v>304</v>
      </c>
      <c r="B21" s="15" t="s">
        <v>305</v>
      </c>
      <c r="C21" s="15" t="s">
        <v>306</v>
      </c>
      <c r="D21" s="15" t="s">
        <v>307</v>
      </c>
      <c r="E21" s="23">
        <v>150</v>
      </c>
      <c r="F21" s="23">
        <v>150</v>
      </c>
      <c r="G21" s="23">
        <v>150</v>
      </c>
      <c r="H21" s="26">
        <f t="shared" si="1"/>
        <v>150</v>
      </c>
      <c r="I21" s="13" t="s">
        <v>308</v>
      </c>
      <c r="J21" s="27" t="s">
        <v>302</v>
      </c>
      <c r="K21" s="13" t="s">
        <v>309</v>
      </c>
      <c r="L21" s="34" t="s">
        <v>234</v>
      </c>
    </row>
    <row r="22" spans="1:12" ht="40.5" customHeight="1" x14ac:dyDescent="0.2">
      <c r="A22" s="24" t="s">
        <v>310</v>
      </c>
      <c r="B22" s="15" t="s">
        <v>305</v>
      </c>
      <c r="C22" s="15" t="s">
        <v>311</v>
      </c>
      <c r="D22" s="15" t="s">
        <v>312</v>
      </c>
      <c r="E22" s="35">
        <v>1.2</v>
      </c>
      <c r="F22" s="35">
        <v>1</v>
      </c>
      <c r="G22" s="35">
        <v>1</v>
      </c>
      <c r="H22" s="36">
        <f t="shared" si="1"/>
        <v>1</v>
      </c>
      <c r="I22" s="13" t="s">
        <v>313</v>
      </c>
      <c r="J22" s="27" t="s">
        <v>263</v>
      </c>
      <c r="K22" s="13" t="s">
        <v>314</v>
      </c>
      <c r="L22" s="37" t="s">
        <v>27</v>
      </c>
    </row>
    <row r="23" spans="1:12" ht="15" customHeight="1" x14ac:dyDescent="0.2">
      <c r="A23" s="24" t="s">
        <v>315</v>
      </c>
      <c r="B23" s="15" t="s">
        <v>305</v>
      </c>
      <c r="C23" s="15" t="s">
        <v>316</v>
      </c>
      <c r="D23" s="15" t="s">
        <v>272</v>
      </c>
      <c r="E23" s="32">
        <v>0.6</v>
      </c>
      <c r="F23" s="32">
        <v>0.6</v>
      </c>
      <c r="G23" s="32">
        <v>0.6</v>
      </c>
      <c r="H23" s="33">
        <f t="shared" si="1"/>
        <v>0.6</v>
      </c>
      <c r="I23" s="13" t="s">
        <v>317</v>
      </c>
      <c r="J23" s="27" t="s">
        <v>268</v>
      </c>
      <c r="K23" s="13" t="s">
        <v>318</v>
      </c>
      <c r="L23" s="28" t="s">
        <v>131</v>
      </c>
    </row>
    <row r="24" spans="1:12" ht="27" customHeight="1" x14ac:dyDescent="0.2">
      <c r="A24" s="24" t="s">
        <v>319</v>
      </c>
      <c r="B24" s="15" t="s">
        <v>305</v>
      </c>
      <c r="C24" s="15" t="s">
        <v>320</v>
      </c>
      <c r="D24" s="15" t="s">
        <v>307</v>
      </c>
      <c r="E24" s="38">
        <v>1.5</v>
      </c>
      <c r="F24" s="38">
        <v>1.5</v>
      </c>
      <c r="G24" s="38">
        <v>1.5</v>
      </c>
      <c r="H24" s="39">
        <f t="shared" si="1"/>
        <v>1.5</v>
      </c>
      <c r="I24" s="13" t="s">
        <v>321</v>
      </c>
      <c r="J24" s="27" t="s">
        <v>268</v>
      </c>
      <c r="K24" s="13" t="s">
        <v>322</v>
      </c>
      <c r="L24" s="28" t="s">
        <v>257</v>
      </c>
    </row>
    <row r="25" spans="1:12" ht="27" customHeight="1" x14ac:dyDescent="0.2">
      <c r="A25" s="24" t="s">
        <v>323</v>
      </c>
      <c r="B25" s="15" t="s">
        <v>324</v>
      </c>
      <c r="C25" s="15" t="s">
        <v>325</v>
      </c>
      <c r="D25" s="15" t="s">
        <v>171</v>
      </c>
      <c r="E25" s="40">
        <f>INDEX(Location!$E$8:$E$13,$H$20)</f>
        <v>351857.86555786559</v>
      </c>
      <c r="F25" s="40">
        <f>INDEX(Location!$D$8:$D$13,$H$20)</f>
        <v>251828.125</v>
      </c>
      <c r="G25" s="40">
        <f>INDEX(Location!$C$8:$C$13,$H$20)</f>
        <v>205161.38392857145</v>
      </c>
      <c r="H25" s="41">
        <f t="shared" si="1"/>
        <v>251828.125</v>
      </c>
      <c r="I25" s="13" t="s">
        <v>326</v>
      </c>
      <c r="J25" s="27" t="s">
        <v>263</v>
      </c>
      <c r="K25" s="13" t="s">
        <v>327</v>
      </c>
      <c r="L25" s="28" t="s">
        <v>257</v>
      </c>
    </row>
    <row r="26" spans="1:12" ht="27" customHeight="1" x14ac:dyDescent="0.2">
      <c r="A26" s="24" t="s">
        <v>328</v>
      </c>
      <c r="B26" s="15" t="s">
        <v>324</v>
      </c>
      <c r="C26" s="15" t="s">
        <v>329</v>
      </c>
      <c r="D26" s="15" t="s">
        <v>171</v>
      </c>
      <c r="E26" s="16">
        <f>INDEX(Location!$G$8:$G$13,$H$20)</f>
        <v>0</v>
      </c>
      <c r="F26" s="16">
        <f>INDEX(Location!$G$8:$G$13,$H$20)</f>
        <v>0</v>
      </c>
      <c r="G26" s="16">
        <f>INDEX(Location!$G$8:$G$13,$H$20)</f>
        <v>0</v>
      </c>
      <c r="H26" s="41">
        <f t="shared" si="1"/>
        <v>0</v>
      </c>
      <c r="I26" s="13" t="s">
        <v>330</v>
      </c>
      <c r="J26" s="27" t="s">
        <v>263</v>
      </c>
      <c r="K26" s="13" t="s">
        <v>331</v>
      </c>
      <c r="L26" s="28" t="s">
        <v>257</v>
      </c>
    </row>
    <row r="27" spans="1:12" ht="27" customHeight="1" x14ac:dyDescent="0.2">
      <c r="A27" s="24" t="s">
        <v>332</v>
      </c>
      <c r="B27" s="15" t="s">
        <v>324</v>
      </c>
      <c r="C27" s="15" t="s">
        <v>333</v>
      </c>
      <c r="D27" s="15" t="s">
        <v>272</v>
      </c>
      <c r="E27" s="32">
        <v>0.111</v>
      </c>
      <c r="F27" s="32">
        <v>0</v>
      </c>
      <c r="G27" s="32">
        <v>0</v>
      </c>
      <c r="H27" s="33">
        <f t="shared" si="1"/>
        <v>0</v>
      </c>
      <c r="I27" s="13" t="s">
        <v>334</v>
      </c>
      <c r="J27" s="27" t="s">
        <v>268</v>
      </c>
      <c r="K27" s="13" t="s">
        <v>335</v>
      </c>
      <c r="L27" s="28" t="s">
        <v>257</v>
      </c>
    </row>
    <row r="28" spans="1:12" ht="27" customHeight="1" x14ac:dyDescent="0.2">
      <c r="A28" s="24" t="s">
        <v>336</v>
      </c>
      <c r="B28" s="15" t="s">
        <v>324</v>
      </c>
      <c r="C28" s="15" t="s">
        <v>337</v>
      </c>
      <c r="D28" s="15" t="s">
        <v>272</v>
      </c>
      <c r="E28" s="32">
        <v>0.08</v>
      </c>
      <c r="F28" s="32">
        <v>0.06</v>
      </c>
      <c r="G28" s="32">
        <v>0.05</v>
      </c>
      <c r="H28" s="33">
        <f t="shared" si="1"/>
        <v>0.06</v>
      </c>
      <c r="I28" s="13" t="s">
        <v>338</v>
      </c>
      <c r="J28" s="27" t="s">
        <v>263</v>
      </c>
      <c r="K28" s="13" t="s">
        <v>339</v>
      </c>
      <c r="L28" s="31" t="s">
        <v>127</v>
      </c>
    </row>
    <row r="29" spans="1:12" ht="27" customHeight="1" x14ac:dyDescent="0.2">
      <c r="A29" s="24" t="s">
        <v>340</v>
      </c>
      <c r="B29" s="15" t="s">
        <v>324</v>
      </c>
      <c r="C29" s="15" t="s">
        <v>341</v>
      </c>
      <c r="D29" s="15" t="s">
        <v>342</v>
      </c>
      <c r="E29" s="25">
        <v>24</v>
      </c>
      <c r="F29" s="25">
        <v>12</v>
      </c>
      <c r="G29" s="25">
        <v>12</v>
      </c>
      <c r="H29" s="26">
        <f t="shared" si="1"/>
        <v>12</v>
      </c>
      <c r="I29" s="13" t="s">
        <v>343</v>
      </c>
      <c r="J29" s="27" t="s">
        <v>268</v>
      </c>
      <c r="K29" s="13" t="s">
        <v>344</v>
      </c>
      <c r="L29" s="37" t="s">
        <v>27</v>
      </c>
    </row>
    <row r="30" spans="1:12" ht="15" customHeight="1" x14ac:dyDescent="0.2">
      <c r="A30" s="24" t="s">
        <v>345</v>
      </c>
      <c r="B30" s="15" t="s">
        <v>324</v>
      </c>
      <c r="C30" s="15" t="s">
        <v>346</v>
      </c>
      <c r="D30" s="15" t="s">
        <v>342</v>
      </c>
      <c r="E30" s="25">
        <v>3</v>
      </c>
      <c r="F30" s="25">
        <v>2</v>
      </c>
      <c r="G30" s="25">
        <v>1</v>
      </c>
      <c r="H30" s="26">
        <f t="shared" si="1"/>
        <v>2</v>
      </c>
      <c r="I30" s="13" t="s">
        <v>347</v>
      </c>
      <c r="J30" s="27" t="s">
        <v>263</v>
      </c>
      <c r="K30" s="13" t="s">
        <v>348</v>
      </c>
      <c r="L30" s="31" t="s">
        <v>127</v>
      </c>
    </row>
    <row r="31" spans="1:12" ht="15" customHeight="1" x14ac:dyDescent="0.2">
      <c r="A31" s="24" t="s">
        <v>349</v>
      </c>
      <c r="B31" s="15" t="s">
        <v>324</v>
      </c>
      <c r="C31" s="15" t="s">
        <v>350</v>
      </c>
      <c r="D31" s="15" t="s">
        <v>342</v>
      </c>
      <c r="E31" s="25">
        <v>3</v>
      </c>
      <c r="F31" s="25">
        <v>2</v>
      </c>
      <c r="G31" s="25">
        <v>1</v>
      </c>
      <c r="H31" s="26">
        <f t="shared" si="1"/>
        <v>2</v>
      </c>
      <c r="I31" s="13" t="s">
        <v>351</v>
      </c>
      <c r="J31" s="27" t="s">
        <v>263</v>
      </c>
      <c r="K31" s="13" t="s">
        <v>352</v>
      </c>
      <c r="L31" s="31" t="s">
        <v>127</v>
      </c>
    </row>
    <row r="32" spans="1:12" ht="15" customHeight="1" x14ac:dyDescent="0.2">
      <c r="A32" s="120" t="s">
        <v>353</v>
      </c>
      <c r="B32" s="121"/>
      <c r="C32" s="121"/>
      <c r="D32" s="121"/>
      <c r="E32" s="121"/>
      <c r="F32" s="121"/>
      <c r="G32" s="121"/>
      <c r="H32" s="121"/>
      <c r="I32" s="121"/>
      <c r="J32" s="121"/>
    </row>
    <row r="33" spans="1:12" ht="54" customHeight="1" x14ac:dyDescent="0.2">
      <c r="A33" s="24" t="s">
        <v>354</v>
      </c>
      <c r="B33" s="15" t="s">
        <v>355</v>
      </c>
      <c r="C33" s="15" t="s">
        <v>356</v>
      </c>
      <c r="D33" s="15" t="s">
        <v>357</v>
      </c>
      <c r="E33" s="25">
        <v>35</v>
      </c>
      <c r="F33" s="25">
        <v>45</v>
      </c>
      <c r="G33" s="25">
        <v>55</v>
      </c>
      <c r="H33" s="26">
        <f t="shared" ref="H33:H47" si="2">CHOOSE($D$4,E33,F33,G33)</f>
        <v>45</v>
      </c>
      <c r="I33" s="13" t="s">
        <v>358</v>
      </c>
      <c r="J33" s="27" t="s">
        <v>263</v>
      </c>
      <c r="K33" s="13" t="s">
        <v>359</v>
      </c>
      <c r="L33" s="31" t="s">
        <v>127</v>
      </c>
    </row>
    <row r="34" spans="1:12" ht="15" customHeight="1" x14ac:dyDescent="0.2">
      <c r="A34" s="24" t="s">
        <v>360</v>
      </c>
      <c r="B34" s="15" t="s">
        <v>355</v>
      </c>
      <c r="C34" s="15" t="s">
        <v>361</v>
      </c>
      <c r="D34" s="15" t="s">
        <v>362</v>
      </c>
      <c r="E34" s="42">
        <v>55000</v>
      </c>
      <c r="F34" s="42">
        <v>65000</v>
      </c>
      <c r="G34" s="42">
        <v>75000</v>
      </c>
      <c r="H34" s="41">
        <f t="shared" si="2"/>
        <v>65000</v>
      </c>
      <c r="I34" s="13" t="s">
        <v>363</v>
      </c>
      <c r="J34" s="27" t="s">
        <v>268</v>
      </c>
      <c r="K34" s="13" t="s">
        <v>364</v>
      </c>
      <c r="L34" s="28" t="s">
        <v>257</v>
      </c>
    </row>
    <row r="35" spans="1:12" ht="15" customHeight="1" x14ac:dyDescent="0.2">
      <c r="A35" s="24" t="s">
        <v>365</v>
      </c>
      <c r="B35" s="15" t="s">
        <v>355</v>
      </c>
      <c r="C35" s="15" t="s">
        <v>366</v>
      </c>
      <c r="D35" s="15" t="s">
        <v>357</v>
      </c>
      <c r="E35" s="23">
        <v>60</v>
      </c>
      <c r="F35" s="23">
        <v>75</v>
      </c>
      <c r="G35" s="23">
        <v>95</v>
      </c>
      <c r="H35" s="26">
        <f t="shared" si="2"/>
        <v>75</v>
      </c>
      <c r="I35" s="13" t="s">
        <v>367</v>
      </c>
      <c r="J35" s="27" t="s">
        <v>263</v>
      </c>
      <c r="K35" s="13" t="s">
        <v>368</v>
      </c>
      <c r="L35" s="31" t="s">
        <v>127</v>
      </c>
    </row>
    <row r="36" spans="1:12" ht="27" customHeight="1" x14ac:dyDescent="0.2">
      <c r="A36" s="24" t="s">
        <v>369</v>
      </c>
      <c r="B36" s="15" t="s">
        <v>355</v>
      </c>
      <c r="C36" s="15" t="s">
        <v>370</v>
      </c>
      <c r="D36" s="15" t="s">
        <v>362</v>
      </c>
      <c r="E36" s="43">
        <v>110000</v>
      </c>
      <c r="F36" s="43">
        <v>120000</v>
      </c>
      <c r="G36" s="43">
        <v>135000</v>
      </c>
      <c r="H36" s="41">
        <f t="shared" si="2"/>
        <v>120000</v>
      </c>
      <c r="I36" s="13" t="s">
        <v>371</v>
      </c>
      <c r="J36" s="27" t="s">
        <v>268</v>
      </c>
      <c r="K36" s="13" t="s">
        <v>372</v>
      </c>
      <c r="L36" s="28" t="s">
        <v>257</v>
      </c>
    </row>
    <row r="37" spans="1:12" ht="15" customHeight="1" x14ac:dyDescent="0.2">
      <c r="A37" s="24" t="s">
        <v>373</v>
      </c>
      <c r="B37" s="15" t="s">
        <v>355</v>
      </c>
      <c r="C37" s="15" t="s">
        <v>374</v>
      </c>
      <c r="D37" s="15" t="s">
        <v>357</v>
      </c>
      <c r="E37" s="25">
        <v>25</v>
      </c>
      <c r="F37" s="25">
        <v>35</v>
      </c>
      <c r="G37" s="25">
        <v>45</v>
      </c>
      <c r="H37" s="26">
        <f t="shared" si="2"/>
        <v>35</v>
      </c>
      <c r="I37" s="13" t="s">
        <v>367</v>
      </c>
      <c r="J37" s="27" t="s">
        <v>263</v>
      </c>
      <c r="K37" s="13" t="s">
        <v>375</v>
      </c>
      <c r="L37" s="31" t="s">
        <v>127</v>
      </c>
    </row>
    <row r="38" spans="1:12" ht="15" customHeight="1" x14ac:dyDescent="0.2">
      <c r="A38" s="24" t="s">
        <v>376</v>
      </c>
      <c r="B38" s="15" t="s">
        <v>355</v>
      </c>
      <c r="C38" s="15" t="s">
        <v>377</v>
      </c>
      <c r="D38" s="15" t="s">
        <v>362</v>
      </c>
      <c r="E38" s="42">
        <v>60000</v>
      </c>
      <c r="F38" s="42">
        <v>70000</v>
      </c>
      <c r="G38" s="42">
        <v>80000</v>
      </c>
      <c r="H38" s="41">
        <f t="shared" si="2"/>
        <v>70000</v>
      </c>
      <c r="I38" s="13" t="s">
        <v>378</v>
      </c>
      <c r="J38" s="27" t="s">
        <v>263</v>
      </c>
      <c r="K38" s="13" t="s">
        <v>379</v>
      </c>
      <c r="L38" s="28" t="s">
        <v>257</v>
      </c>
    </row>
    <row r="39" spans="1:12" ht="15" customHeight="1" x14ac:dyDescent="0.2">
      <c r="A39" s="24" t="s">
        <v>380</v>
      </c>
      <c r="B39" s="15" t="s">
        <v>355</v>
      </c>
      <c r="C39" s="15" t="s">
        <v>381</v>
      </c>
      <c r="D39" s="15" t="s">
        <v>357</v>
      </c>
      <c r="E39" s="25">
        <v>35</v>
      </c>
      <c r="F39" s="25">
        <v>45</v>
      </c>
      <c r="G39" s="25">
        <v>60</v>
      </c>
      <c r="H39" s="26">
        <f t="shared" si="2"/>
        <v>45</v>
      </c>
      <c r="I39" s="13" t="s">
        <v>382</v>
      </c>
      <c r="J39" s="27" t="s">
        <v>263</v>
      </c>
      <c r="K39" s="13" t="s">
        <v>383</v>
      </c>
      <c r="L39" s="31" t="s">
        <v>127</v>
      </c>
    </row>
    <row r="40" spans="1:12" ht="15" customHeight="1" x14ac:dyDescent="0.2">
      <c r="A40" s="24" t="s">
        <v>384</v>
      </c>
      <c r="B40" s="15" t="s">
        <v>355</v>
      </c>
      <c r="C40" s="15" t="s">
        <v>385</v>
      </c>
      <c r="D40" s="15" t="s">
        <v>362</v>
      </c>
      <c r="E40" s="42">
        <v>125000</v>
      </c>
      <c r="F40" s="42">
        <v>140000</v>
      </c>
      <c r="G40" s="42">
        <v>150000</v>
      </c>
      <c r="H40" s="41">
        <f t="shared" si="2"/>
        <v>140000</v>
      </c>
      <c r="I40" s="13" t="s">
        <v>386</v>
      </c>
      <c r="J40" s="27" t="s">
        <v>263</v>
      </c>
      <c r="K40" s="13" t="s">
        <v>387</v>
      </c>
      <c r="L40" s="28" t="s">
        <v>257</v>
      </c>
    </row>
    <row r="41" spans="1:12" ht="15" customHeight="1" x14ac:dyDescent="0.2">
      <c r="A41" s="24" t="s">
        <v>388</v>
      </c>
      <c r="B41" s="15" t="s">
        <v>355</v>
      </c>
      <c r="C41" s="15" t="s">
        <v>389</v>
      </c>
      <c r="D41" s="15" t="s">
        <v>390</v>
      </c>
      <c r="E41" s="25">
        <v>15</v>
      </c>
      <c r="F41" s="25">
        <v>25</v>
      </c>
      <c r="G41" s="25">
        <v>35</v>
      </c>
      <c r="H41" s="26">
        <f t="shared" si="2"/>
        <v>25</v>
      </c>
      <c r="I41" s="13" t="s">
        <v>391</v>
      </c>
      <c r="J41" s="27" t="s">
        <v>263</v>
      </c>
      <c r="K41" s="13" t="s">
        <v>392</v>
      </c>
      <c r="L41" s="31" t="s">
        <v>127</v>
      </c>
    </row>
    <row r="42" spans="1:12" ht="15" customHeight="1" x14ac:dyDescent="0.2">
      <c r="A42" s="24" t="s">
        <v>393</v>
      </c>
      <c r="B42" s="15" t="s">
        <v>355</v>
      </c>
      <c r="C42" s="15" t="s">
        <v>394</v>
      </c>
      <c r="D42" s="15" t="s">
        <v>395</v>
      </c>
      <c r="E42" s="42">
        <v>100000</v>
      </c>
      <c r="F42" s="42">
        <v>115000</v>
      </c>
      <c r="G42" s="42">
        <v>130000</v>
      </c>
      <c r="H42" s="41">
        <f t="shared" si="2"/>
        <v>115000</v>
      </c>
      <c r="I42" s="13" t="s">
        <v>396</v>
      </c>
      <c r="J42" s="27" t="s">
        <v>268</v>
      </c>
      <c r="K42" s="13" t="s">
        <v>397</v>
      </c>
      <c r="L42" s="28" t="s">
        <v>257</v>
      </c>
    </row>
    <row r="43" spans="1:12" ht="15" customHeight="1" x14ac:dyDescent="0.2">
      <c r="A43" s="24" t="s">
        <v>398</v>
      </c>
      <c r="B43" s="15" t="s">
        <v>355</v>
      </c>
      <c r="C43" s="15" t="s">
        <v>399</v>
      </c>
      <c r="D43" s="15" t="s">
        <v>272</v>
      </c>
      <c r="E43" s="32">
        <v>0.3</v>
      </c>
      <c r="F43" s="32">
        <v>0.3</v>
      </c>
      <c r="G43" s="32">
        <v>0.3</v>
      </c>
      <c r="H43" s="33">
        <f t="shared" si="2"/>
        <v>0.3</v>
      </c>
      <c r="I43" s="13" t="s">
        <v>400</v>
      </c>
      <c r="J43" s="27" t="s">
        <v>263</v>
      </c>
      <c r="K43" s="13" t="s">
        <v>401</v>
      </c>
      <c r="L43" s="31" t="s">
        <v>127</v>
      </c>
    </row>
    <row r="44" spans="1:12" ht="15" customHeight="1" x14ac:dyDescent="0.2">
      <c r="A44" s="24" t="s">
        <v>402</v>
      </c>
      <c r="B44" s="15" t="s">
        <v>355</v>
      </c>
      <c r="C44" s="15" t="s">
        <v>403</v>
      </c>
      <c r="D44" s="15" t="s">
        <v>404</v>
      </c>
      <c r="E44" s="42">
        <v>0</v>
      </c>
      <c r="F44" s="42">
        <v>15000000</v>
      </c>
      <c r="G44" s="42">
        <v>25000000</v>
      </c>
      <c r="H44" s="41">
        <f t="shared" si="2"/>
        <v>15000000</v>
      </c>
      <c r="I44" s="13" t="s">
        <v>405</v>
      </c>
      <c r="J44" s="27" t="s">
        <v>263</v>
      </c>
      <c r="K44" s="13" t="s">
        <v>406</v>
      </c>
      <c r="L44" s="31" t="s">
        <v>127</v>
      </c>
    </row>
    <row r="45" spans="1:12" ht="15" customHeight="1" x14ac:dyDescent="0.2">
      <c r="A45" s="24" t="s">
        <v>407</v>
      </c>
      <c r="B45" s="15" t="s">
        <v>355</v>
      </c>
      <c r="C45" s="15" t="s">
        <v>408</v>
      </c>
      <c r="D45" s="15" t="s">
        <v>272</v>
      </c>
      <c r="E45" s="32">
        <v>0.01</v>
      </c>
      <c r="F45" s="32">
        <v>0.02</v>
      </c>
      <c r="G45" s="32">
        <v>3.5000000000000003E-2</v>
      </c>
      <c r="H45" s="33">
        <f t="shared" si="2"/>
        <v>0.02</v>
      </c>
      <c r="I45" s="13" t="s">
        <v>409</v>
      </c>
      <c r="J45" s="27" t="s">
        <v>263</v>
      </c>
      <c r="K45" s="13" t="s">
        <v>410</v>
      </c>
      <c r="L45" s="31" t="s">
        <v>127</v>
      </c>
    </row>
    <row r="46" spans="1:12" ht="27" customHeight="1" x14ac:dyDescent="0.2">
      <c r="A46" s="24" t="s">
        <v>411</v>
      </c>
      <c r="B46" s="15" t="s">
        <v>412</v>
      </c>
      <c r="C46" s="15" t="s">
        <v>413</v>
      </c>
      <c r="D46" s="15" t="s">
        <v>272</v>
      </c>
      <c r="E46" s="44">
        <v>0.45</v>
      </c>
      <c r="F46" s="44">
        <v>0.55000000000000004</v>
      </c>
      <c r="G46" s="44">
        <v>0.7</v>
      </c>
      <c r="H46" s="33">
        <f t="shared" si="2"/>
        <v>0.55000000000000004</v>
      </c>
      <c r="I46" s="13" t="s">
        <v>414</v>
      </c>
      <c r="J46" s="27" t="s">
        <v>263</v>
      </c>
      <c r="K46" s="13" t="s">
        <v>415</v>
      </c>
      <c r="L46" s="31" t="s">
        <v>127</v>
      </c>
    </row>
    <row r="47" spans="1:12" ht="27" customHeight="1" x14ac:dyDescent="0.2">
      <c r="A47" s="24" t="s">
        <v>416</v>
      </c>
      <c r="B47" s="15" t="s">
        <v>412</v>
      </c>
      <c r="C47" s="15" t="s">
        <v>417</v>
      </c>
      <c r="D47" s="15" t="s">
        <v>342</v>
      </c>
      <c r="E47" s="25">
        <v>12</v>
      </c>
      <c r="F47" s="25">
        <v>9</v>
      </c>
      <c r="G47" s="25">
        <v>6</v>
      </c>
      <c r="H47" s="26">
        <f t="shared" si="2"/>
        <v>9</v>
      </c>
      <c r="I47" s="13" t="s">
        <v>418</v>
      </c>
      <c r="J47" s="27" t="s">
        <v>263</v>
      </c>
      <c r="K47" s="13" t="s">
        <v>419</v>
      </c>
      <c r="L47" s="37" t="s">
        <v>27</v>
      </c>
    </row>
    <row r="48" spans="1:12" ht="15" customHeight="1" x14ac:dyDescent="0.2">
      <c r="A48" s="120" t="s">
        <v>420</v>
      </c>
      <c r="B48" s="121"/>
      <c r="C48" s="121"/>
      <c r="D48" s="121"/>
      <c r="E48" s="121"/>
      <c r="F48" s="121"/>
      <c r="G48" s="121"/>
      <c r="H48" s="121"/>
      <c r="I48" s="121"/>
      <c r="J48" s="121"/>
    </row>
    <row r="49" spans="1:12" ht="27" customHeight="1" x14ac:dyDescent="0.2">
      <c r="A49" s="24" t="s">
        <v>421</v>
      </c>
      <c r="B49" s="15" t="s">
        <v>422</v>
      </c>
      <c r="C49" s="15" t="s">
        <v>423</v>
      </c>
      <c r="D49" s="15" t="s">
        <v>424</v>
      </c>
      <c r="E49" s="32">
        <v>0.03</v>
      </c>
      <c r="F49" s="32">
        <v>0</v>
      </c>
      <c r="G49" s="32">
        <v>-0.02</v>
      </c>
      <c r="H49" s="33">
        <f t="shared" ref="H49:H59" si="3">CHOOSE($D$4,E49,F49,G49)</f>
        <v>0</v>
      </c>
      <c r="I49" s="13" t="s">
        <v>425</v>
      </c>
      <c r="J49" s="27" t="s">
        <v>268</v>
      </c>
      <c r="K49" s="13" t="s">
        <v>426</v>
      </c>
      <c r="L49" s="31" t="s">
        <v>127</v>
      </c>
    </row>
    <row r="50" spans="1:12" ht="15" customHeight="1" x14ac:dyDescent="0.2">
      <c r="A50" s="24" t="s">
        <v>427</v>
      </c>
      <c r="B50" s="15" t="s">
        <v>422</v>
      </c>
      <c r="C50" s="15" t="s">
        <v>428</v>
      </c>
      <c r="D50" s="15" t="s">
        <v>272</v>
      </c>
      <c r="E50" s="32">
        <v>0.4</v>
      </c>
      <c r="F50" s="32">
        <v>0.35</v>
      </c>
      <c r="G50" s="32">
        <v>0.3</v>
      </c>
      <c r="H50" s="33">
        <f t="shared" si="3"/>
        <v>0.35</v>
      </c>
      <c r="I50" s="13" t="s">
        <v>429</v>
      </c>
      <c r="J50" s="27" t="s">
        <v>263</v>
      </c>
      <c r="K50" s="13" t="s">
        <v>430</v>
      </c>
      <c r="L50" s="28" t="s">
        <v>257</v>
      </c>
    </row>
    <row r="51" spans="1:12" ht="15" customHeight="1" x14ac:dyDescent="0.2">
      <c r="A51" s="24" t="s">
        <v>431</v>
      </c>
      <c r="B51" s="15" t="s">
        <v>422</v>
      </c>
      <c r="C51" s="15" t="s">
        <v>432</v>
      </c>
      <c r="D51" s="15" t="s">
        <v>272</v>
      </c>
      <c r="E51" s="32">
        <v>0.6</v>
      </c>
      <c r="F51" s="32">
        <v>0.55000000000000004</v>
      </c>
      <c r="G51" s="32">
        <v>0.5</v>
      </c>
      <c r="H51" s="33">
        <f t="shared" si="3"/>
        <v>0.55000000000000004</v>
      </c>
      <c r="I51" s="13" t="s">
        <v>409</v>
      </c>
      <c r="J51" s="27" t="s">
        <v>263</v>
      </c>
      <c r="K51" s="13" t="s">
        <v>433</v>
      </c>
      <c r="L51" s="31" t="s">
        <v>127</v>
      </c>
    </row>
    <row r="52" spans="1:12" ht="27" customHeight="1" x14ac:dyDescent="0.2">
      <c r="A52" s="24" t="s">
        <v>434</v>
      </c>
      <c r="B52" s="15" t="s">
        <v>435</v>
      </c>
      <c r="C52" s="15" t="s">
        <v>436</v>
      </c>
      <c r="D52" s="15" t="s">
        <v>272</v>
      </c>
      <c r="E52" s="32">
        <v>0.06</v>
      </c>
      <c r="F52" s="32">
        <v>0.05</v>
      </c>
      <c r="G52" s="32">
        <v>0.04</v>
      </c>
      <c r="H52" s="33">
        <f t="shared" si="3"/>
        <v>0.05</v>
      </c>
      <c r="I52" s="13" t="s">
        <v>437</v>
      </c>
      <c r="J52" s="27" t="s">
        <v>263</v>
      </c>
      <c r="K52" s="13" t="s">
        <v>438</v>
      </c>
      <c r="L52" s="28" t="s">
        <v>257</v>
      </c>
    </row>
    <row r="53" spans="1:12" ht="27" customHeight="1" x14ac:dyDescent="0.2">
      <c r="A53" s="24" t="s">
        <v>439</v>
      </c>
      <c r="B53" s="15" t="s">
        <v>435</v>
      </c>
      <c r="C53" s="15" t="s">
        <v>440</v>
      </c>
      <c r="D53" s="15" t="s">
        <v>272</v>
      </c>
      <c r="E53" s="32">
        <v>0.02</v>
      </c>
      <c r="F53" s="32">
        <v>1.4999999999999999E-2</v>
      </c>
      <c r="G53" s="32">
        <v>0.01</v>
      </c>
      <c r="H53" s="33">
        <f t="shared" si="3"/>
        <v>1.4999999999999999E-2</v>
      </c>
      <c r="I53" s="13" t="s">
        <v>441</v>
      </c>
      <c r="J53" s="27" t="s">
        <v>263</v>
      </c>
      <c r="K53" s="13" t="s">
        <v>442</v>
      </c>
      <c r="L53" s="28" t="s">
        <v>257</v>
      </c>
    </row>
    <row r="54" spans="1:12" ht="27" customHeight="1" x14ac:dyDescent="0.2">
      <c r="A54" s="24" t="s">
        <v>443</v>
      </c>
      <c r="B54" s="15" t="s">
        <v>435</v>
      </c>
      <c r="C54" s="15" t="s">
        <v>444</v>
      </c>
      <c r="D54" s="15" t="s">
        <v>272</v>
      </c>
      <c r="E54" s="44">
        <v>0.28000000000000003</v>
      </c>
      <c r="F54" s="44">
        <v>0.23</v>
      </c>
      <c r="G54" s="44">
        <v>0.2</v>
      </c>
      <c r="H54" s="33">
        <f t="shared" si="3"/>
        <v>0.23</v>
      </c>
      <c r="I54" s="13" t="s">
        <v>445</v>
      </c>
      <c r="J54" s="27" t="s">
        <v>268</v>
      </c>
      <c r="K54" s="13" t="s">
        <v>446</v>
      </c>
      <c r="L54" s="28" t="s">
        <v>257</v>
      </c>
    </row>
    <row r="55" spans="1:12" ht="27" customHeight="1" x14ac:dyDescent="0.2">
      <c r="A55" s="24" t="s">
        <v>447</v>
      </c>
      <c r="B55" s="15" t="s">
        <v>435</v>
      </c>
      <c r="C55" s="15" t="s">
        <v>448</v>
      </c>
      <c r="D55" s="15" t="s">
        <v>272</v>
      </c>
      <c r="E55" s="32">
        <v>1.4999999999999999E-2</v>
      </c>
      <c r="F55" s="32">
        <v>1.2E-2</v>
      </c>
      <c r="G55" s="32">
        <v>8.9999999999999993E-3</v>
      </c>
      <c r="H55" s="33">
        <f t="shared" si="3"/>
        <v>1.2E-2</v>
      </c>
      <c r="I55" s="13" t="s">
        <v>449</v>
      </c>
      <c r="J55" s="27" t="s">
        <v>263</v>
      </c>
      <c r="K55" s="13" t="s">
        <v>450</v>
      </c>
      <c r="L55" s="37" t="s">
        <v>27</v>
      </c>
    </row>
    <row r="56" spans="1:12" ht="15" customHeight="1" x14ac:dyDescent="0.2">
      <c r="A56" s="24" t="s">
        <v>451</v>
      </c>
      <c r="B56" s="15" t="s">
        <v>435</v>
      </c>
      <c r="C56" s="15" t="s">
        <v>452</v>
      </c>
      <c r="D56" s="15" t="s">
        <v>272</v>
      </c>
      <c r="E56" s="32">
        <v>0.04</v>
      </c>
      <c r="F56" s="32">
        <v>0.03</v>
      </c>
      <c r="G56" s="32">
        <v>2.5000000000000001E-2</v>
      </c>
      <c r="H56" s="33">
        <f t="shared" si="3"/>
        <v>0.03</v>
      </c>
      <c r="I56" s="13" t="s">
        <v>453</v>
      </c>
      <c r="J56" s="27" t="s">
        <v>263</v>
      </c>
      <c r="K56" s="13" t="s">
        <v>454</v>
      </c>
      <c r="L56" s="28" t="s">
        <v>257</v>
      </c>
    </row>
    <row r="57" spans="1:12" ht="15" customHeight="1" x14ac:dyDescent="0.2">
      <c r="A57" s="24" t="s">
        <v>455</v>
      </c>
      <c r="B57" s="15" t="s">
        <v>435</v>
      </c>
      <c r="C57" s="15" t="s">
        <v>456</v>
      </c>
      <c r="D57" s="15" t="s">
        <v>272</v>
      </c>
      <c r="E57" s="32">
        <v>0.02</v>
      </c>
      <c r="F57" s="32">
        <v>1.4999999999999999E-2</v>
      </c>
      <c r="G57" s="32">
        <v>0.01</v>
      </c>
      <c r="H57" s="33">
        <f t="shared" si="3"/>
        <v>1.4999999999999999E-2</v>
      </c>
      <c r="I57" s="13" t="s">
        <v>457</v>
      </c>
      <c r="J57" s="27" t="s">
        <v>263</v>
      </c>
      <c r="K57" s="13" t="s">
        <v>458</v>
      </c>
      <c r="L57" s="28" t="s">
        <v>257</v>
      </c>
    </row>
    <row r="58" spans="1:12" ht="15" customHeight="1" x14ac:dyDescent="0.2">
      <c r="A58" s="24" t="s">
        <v>459</v>
      </c>
      <c r="B58" s="15" t="s">
        <v>435</v>
      </c>
      <c r="C58" s="15" t="s">
        <v>460</v>
      </c>
      <c r="D58" s="15" t="s">
        <v>272</v>
      </c>
      <c r="E58" s="32">
        <v>1.4999999999999999E-2</v>
      </c>
      <c r="F58" s="32">
        <v>0.01</v>
      </c>
      <c r="G58" s="32">
        <v>5.0000000000000001E-3</v>
      </c>
      <c r="H58" s="33">
        <f t="shared" si="3"/>
        <v>0.01</v>
      </c>
      <c r="I58" s="13" t="s">
        <v>409</v>
      </c>
      <c r="J58" s="27" t="s">
        <v>263</v>
      </c>
      <c r="K58" s="13" t="s">
        <v>461</v>
      </c>
      <c r="L58" s="31" t="s">
        <v>127</v>
      </c>
    </row>
    <row r="59" spans="1:12" ht="15" customHeight="1" x14ac:dyDescent="0.2">
      <c r="A59" s="24" t="s">
        <v>462</v>
      </c>
      <c r="B59" s="15" t="s">
        <v>435</v>
      </c>
      <c r="C59" s="15" t="s">
        <v>463</v>
      </c>
      <c r="D59" s="15" t="s">
        <v>272</v>
      </c>
      <c r="E59" s="32">
        <v>0</v>
      </c>
      <c r="F59" s="32">
        <v>0</v>
      </c>
      <c r="G59" s="32">
        <v>0</v>
      </c>
      <c r="H59" s="33">
        <f t="shared" si="3"/>
        <v>0</v>
      </c>
      <c r="I59" s="13" t="s">
        <v>464</v>
      </c>
      <c r="J59" s="27" t="s">
        <v>302</v>
      </c>
      <c r="K59" s="13" t="s">
        <v>465</v>
      </c>
      <c r="L59" s="34" t="s">
        <v>234</v>
      </c>
    </row>
    <row r="60" spans="1:12" ht="15" customHeight="1" x14ac:dyDescent="0.2">
      <c r="A60" s="120" t="s">
        <v>466</v>
      </c>
      <c r="B60" s="121"/>
      <c r="C60" s="121"/>
      <c r="D60" s="121"/>
      <c r="E60" s="121"/>
      <c r="F60" s="121"/>
      <c r="G60" s="121"/>
      <c r="H60" s="121"/>
      <c r="I60" s="121"/>
      <c r="J60" s="121"/>
    </row>
    <row r="61" spans="1:12" ht="15" customHeight="1" x14ac:dyDescent="0.2">
      <c r="A61" s="24" t="s">
        <v>467</v>
      </c>
      <c r="B61" s="15" t="s">
        <v>468</v>
      </c>
      <c r="C61" s="15" t="s">
        <v>469</v>
      </c>
      <c r="D61" s="15" t="s">
        <v>404</v>
      </c>
      <c r="E61" s="42">
        <v>5729876</v>
      </c>
      <c r="F61" s="42">
        <v>5729876</v>
      </c>
      <c r="G61" s="42">
        <v>5729876</v>
      </c>
      <c r="H61" s="41">
        <f>CHOOSE($D$4,E61,F61,G61)</f>
        <v>5729876</v>
      </c>
      <c r="I61" s="13" t="s">
        <v>470</v>
      </c>
      <c r="J61" s="27" t="s">
        <v>255</v>
      </c>
      <c r="K61" s="13" t="s">
        <v>471</v>
      </c>
      <c r="L61" s="28" t="s">
        <v>131</v>
      </c>
    </row>
    <row r="62" spans="1:12" ht="15" customHeight="1" x14ac:dyDescent="0.2">
      <c r="A62" s="24" t="s">
        <v>472</v>
      </c>
      <c r="B62" s="15" t="s">
        <v>468</v>
      </c>
      <c r="C62" s="15" t="s">
        <v>473</v>
      </c>
      <c r="D62" s="15" t="s">
        <v>312</v>
      </c>
      <c r="E62" s="35">
        <v>1.1000000000000001</v>
      </c>
      <c r="F62" s="35">
        <v>1</v>
      </c>
      <c r="G62" s="35">
        <v>1</v>
      </c>
      <c r="H62" s="36">
        <f>CHOOSE($D$4,E62,F62,G62)</f>
        <v>1</v>
      </c>
      <c r="I62" s="13" t="s">
        <v>474</v>
      </c>
      <c r="J62" s="27" t="s">
        <v>263</v>
      </c>
      <c r="K62" s="13" t="s">
        <v>475</v>
      </c>
      <c r="L62" s="31" t="s">
        <v>127</v>
      </c>
    </row>
    <row r="63" spans="1:12" ht="27" customHeight="1" x14ac:dyDescent="0.2">
      <c r="A63" s="24" t="s">
        <v>476</v>
      </c>
      <c r="B63" s="15" t="s">
        <v>468</v>
      </c>
      <c r="C63" s="15" t="s">
        <v>477</v>
      </c>
      <c r="D63" s="15" t="s">
        <v>272</v>
      </c>
      <c r="E63" s="32">
        <v>0.11700000000000001</v>
      </c>
      <c r="F63" s="32">
        <v>0.115</v>
      </c>
      <c r="G63" s="32">
        <v>0.10199999999999999</v>
      </c>
      <c r="H63" s="33">
        <f>CHOOSE($D$4,E63,F63,G63)</f>
        <v>0.115</v>
      </c>
      <c r="I63" s="13" t="s">
        <v>478</v>
      </c>
      <c r="J63" s="27" t="s">
        <v>255</v>
      </c>
      <c r="K63" s="13" t="s">
        <v>479</v>
      </c>
      <c r="L63" s="28" t="s">
        <v>257</v>
      </c>
    </row>
    <row r="64" spans="1:12" ht="15" customHeight="1" x14ac:dyDescent="0.2">
      <c r="A64" s="24" t="s">
        <v>480</v>
      </c>
      <c r="B64" s="15" t="s">
        <v>468</v>
      </c>
      <c r="C64" s="15" t="s">
        <v>481</v>
      </c>
      <c r="D64" s="15" t="s">
        <v>272</v>
      </c>
      <c r="E64" s="32">
        <v>8.3299999999999999E-2</v>
      </c>
      <c r="F64" s="32">
        <v>8.3299999999999999E-2</v>
      </c>
      <c r="G64" s="32">
        <v>8.3299999999999999E-2</v>
      </c>
      <c r="H64" s="33">
        <f>CHOOSE($D$4,E64,F64,G64)</f>
        <v>8.3299999999999999E-2</v>
      </c>
      <c r="I64" s="13" t="s">
        <v>482</v>
      </c>
      <c r="J64" s="27" t="s">
        <v>255</v>
      </c>
      <c r="K64" s="13" t="s">
        <v>483</v>
      </c>
      <c r="L64" s="28" t="s">
        <v>131</v>
      </c>
    </row>
    <row r="65" spans="1:12" ht="15" customHeight="1" x14ac:dyDescent="0.2">
      <c r="A65" s="24" t="s">
        <v>484</v>
      </c>
      <c r="B65" s="15" t="s">
        <v>468</v>
      </c>
      <c r="C65" s="15" t="s">
        <v>485</v>
      </c>
      <c r="D65" s="15" t="s">
        <v>486</v>
      </c>
      <c r="E65" s="42">
        <v>1200000</v>
      </c>
      <c r="F65" s="42">
        <v>1000000</v>
      </c>
      <c r="G65" s="42">
        <v>800000</v>
      </c>
      <c r="H65" s="41">
        <f>CHOOSE($D$4,E65,F65,G65)</f>
        <v>1000000</v>
      </c>
      <c r="I65" s="13" t="s">
        <v>487</v>
      </c>
      <c r="J65" s="27" t="s">
        <v>263</v>
      </c>
      <c r="K65" s="13" t="s">
        <v>488</v>
      </c>
      <c r="L65" s="31" t="s">
        <v>127</v>
      </c>
    </row>
    <row r="66" spans="1:12" ht="15" customHeight="1" x14ac:dyDescent="0.2">
      <c r="A66" s="120" t="s">
        <v>489</v>
      </c>
      <c r="B66" s="121"/>
      <c r="C66" s="121"/>
      <c r="D66" s="121"/>
      <c r="E66" s="121"/>
      <c r="F66" s="121"/>
      <c r="G66" s="121"/>
      <c r="H66" s="121"/>
      <c r="I66" s="121"/>
      <c r="J66" s="121"/>
    </row>
    <row r="67" spans="1:12" ht="27" customHeight="1" x14ac:dyDescent="0.2">
      <c r="A67" s="24" t="s">
        <v>490</v>
      </c>
      <c r="B67" s="15" t="s">
        <v>491</v>
      </c>
      <c r="C67" s="15" t="s">
        <v>492</v>
      </c>
      <c r="D67" s="15" t="s">
        <v>404</v>
      </c>
      <c r="E67" s="42">
        <v>30000000</v>
      </c>
      <c r="F67" s="42">
        <v>25000000</v>
      </c>
      <c r="G67" s="42">
        <v>20000000</v>
      </c>
      <c r="H67" s="41">
        <f t="shared" ref="H67:H75" si="4">CHOOSE($D$4,E67,F67,G67)</f>
        <v>25000000</v>
      </c>
      <c r="I67" s="13" t="s">
        <v>493</v>
      </c>
      <c r="J67" s="27" t="s">
        <v>263</v>
      </c>
      <c r="K67" s="13" t="s">
        <v>494</v>
      </c>
      <c r="L67" s="37" t="s">
        <v>27</v>
      </c>
    </row>
    <row r="68" spans="1:12" ht="15" customHeight="1" x14ac:dyDescent="0.2">
      <c r="A68" s="24" t="s">
        <v>495</v>
      </c>
      <c r="B68" s="15" t="s">
        <v>491</v>
      </c>
      <c r="C68" s="15" t="s">
        <v>496</v>
      </c>
      <c r="D68" s="15" t="s">
        <v>404</v>
      </c>
      <c r="E68" s="42">
        <v>12000000</v>
      </c>
      <c r="F68" s="42">
        <v>9000000</v>
      </c>
      <c r="G68" s="42">
        <v>7000000</v>
      </c>
      <c r="H68" s="41">
        <f t="shared" si="4"/>
        <v>9000000</v>
      </c>
      <c r="I68" s="13" t="s">
        <v>497</v>
      </c>
      <c r="J68" s="27" t="s">
        <v>263</v>
      </c>
      <c r="K68" s="13" t="s">
        <v>498</v>
      </c>
      <c r="L68" s="31" t="s">
        <v>127</v>
      </c>
    </row>
    <row r="69" spans="1:12" ht="15" customHeight="1" x14ac:dyDescent="0.2">
      <c r="A69" s="24" t="s">
        <v>499</v>
      </c>
      <c r="B69" s="15" t="s">
        <v>491</v>
      </c>
      <c r="C69" s="15" t="s">
        <v>500</v>
      </c>
      <c r="D69" s="15" t="s">
        <v>404</v>
      </c>
      <c r="E69" s="42">
        <v>4000000</v>
      </c>
      <c r="F69" s="42">
        <v>3000000</v>
      </c>
      <c r="G69" s="42">
        <v>2500000</v>
      </c>
      <c r="H69" s="41">
        <f t="shared" si="4"/>
        <v>3000000</v>
      </c>
      <c r="I69" s="13" t="s">
        <v>409</v>
      </c>
      <c r="J69" s="27" t="s">
        <v>263</v>
      </c>
      <c r="K69" s="13" t="s">
        <v>501</v>
      </c>
      <c r="L69" s="31" t="s">
        <v>127</v>
      </c>
    </row>
    <row r="70" spans="1:12" ht="27" customHeight="1" x14ac:dyDescent="0.2">
      <c r="A70" s="24" t="s">
        <v>502</v>
      </c>
      <c r="B70" s="15" t="s">
        <v>491</v>
      </c>
      <c r="C70" s="15" t="s">
        <v>503</v>
      </c>
      <c r="D70" s="15" t="s">
        <v>404</v>
      </c>
      <c r="E70" s="42">
        <v>4000000</v>
      </c>
      <c r="F70" s="42">
        <v>3000000</v>
      </c>
      <c r="G70" s="42">
        <v>2500000</v>
      </c>
      <c r="H70" s="41">
        <f t="shared" si="4"/>
        <v>3000000</v>
      </c>
      <c r="I70" s="13" t="s">
        <v>504</v>
      </c>
      <c r="J70" s="27" t="s">
        <v>263</v>
      </c>
      <c r="K70" s="13" t="s">
        <v>505</v>
      </c>
      <c r="L70" s="37" t="s">
        <v>27</v>
      </c>
    </row>
    <row r="71" spans="1:12" ht="15" customHeight="1" x14ac:dyDescent="0.2">
      <c r="A71" s="24" t="s">
        <v>506</v>
      </c>
      <c r="B71" s="15" t="s">
        <v>491</v>
      </c>
      <c r="C71" s="15" t="s">
        <v>507</v>
      </c>
      <c r="D71" s="15" t="s">
        <v>404</v>
      </c>
      <c r="E71" s="42">
        <v>6000000</v>
      </c>
      <c r="F71" s="42">
        <v>5000000</v>
      </c>
      <c r="G71" s="42">
        <v>4000000</v>
      </c>
      <c r="H71" s="41">
        <f t="shared" si="4"/>
        <v>5000000</v>
      </c>
      <c r="I71" s="13" t="s">
        <v>409</v>
      </c>
      <c r="J71" s="27" t="s">
        <v>263</v>
      </c>
      <c r="K71" s="13" t="s">
        <v>508</v>
      </c>
      <c r="L71" s="31" t="s">
        <v>127</v>
      </c>
    </row>
    <row r="72" spans="1:12" ht="15" customHeight="1" x14ac:dyDescent="0.2">
      <c r="A72" s="24" t="s">
        <v>509</v>
      </c>
      <c r="B72" s="15" t="s">
        <v>491</v>
      </c>
      <c r="C72" s="15" t="s">
        <v>510</v>
      </c>
      <c r="D72" s="15" t="s">
        <v>404</v>
      </c>
      <c r="E72" s="42">
        <v>5000000</v>
      </c>
      <c r="F72" s="42">
        <v>4000000</v>
      </c>
      <c r="G72" s="42">
        <v>3000000</v>
      </c>
      <c r="H72" s="41">
        <f t="shared" si="4"/>
        <v>4000000</v>
      </c>
      <c r="I72" s="13" t="s">
        <v>409</v>
      </c>
      <c r="J72" s="27" t="s">
        <v>263</v>
      </c>
      <c r="K72" s="13" t="s">
        <v>511</v>
      </c>
      <c r="L72" s="31" t="s">
        <v>127</v>
      </c>
    </row>
    <row r="73" spans="1:12" ht="27" customHeight="1" x14ac:dyDescent="0.2">
      <c r="A73" s="24" t="s">
        <v>512</v>
      </c>
      <c r="B73" s="15" t="s">
        <v>513</v>
      </c>
      <c r="C73" s="15" t="s">
        <v>514</v>
      </c>
      <c r="D73" s="15" t="s">
        <v>515</v>
      </c>
      <c r="E73" s="25">
        <v>11000</v>
      </c>
      <c r="F73" s="25">
        <v>9000</v>
      </c>
      <c r="G73" s="25">
        <v>7500</v>
      </c>
      <c r="H73" s="26">
        <f t="shared" si="4"/>
        <v>9000</v>
      </c>
      <c r="I73" s="13" t="s">
        <v>516</v>
      </c>
      <c r="J73" s="27" t="s">
        <v>263</v>
      </c>
      <c r="K73" s="13" t="s">
        <v>517</v>
      </c>
      <c r="L73" s="28" t="s">
        <v>257</v>
      </c>
    </row>
    <row r="74" spans="1:12" ht="15" customHeight="1" x14ac:dyDescent="0.2">
      <c r="A74" s="24" t="s">
        <v>518</v>
      </c>
      <c r="B74" s="15" t="s">
        <v>513</v>
      </c>
      <c r="C74" s="15" t="s">
        <v>519</v>
      </c>
      <c r="D74" s="15" t="s">
        <v>520</v>
      </c>
      <c r="E74" s="45">
        <v>1444.7</v>
      </c>
      <c r="F74" s="45">
        <v>1444.7</v>
      </c>
      <c r="G74" s="45">
        <v>1444.7</v>
      </c>
      <c r="H74" s="46">
        <f t="shared" si="4"/>
        <v>1444.7</v>
      </c>
      <c r="I74" s="13" t="s">
        <v>521</v>
      </c>
      <c r="J74" s="27" t="s">
        <v>255</v>
      </c>
      <c r="K74" s="13" t="s">
        <v>522</v>
      </c>
      <c r="L74" s="28" t="s">
        <v>131</v>
      </c>
    </row>
    <row r="75" spans="1:12" ht="27" customHeight="1" x14ac:dyDescent="0.2">
      <c r="A75" s="24" t="s">
        <v>523</v>
      </c>
      <c r="B75" s="15" t="s">
        <v>513</v>
      </c>
      <c r="C75" s="15" t="s">
        <v>524</v>
      </c>
      <c r="D75" s="15" t="s">
        <v>404</v>
      </c>
      <c r="E75" s="42">
        <v>8000000</v>
      </c>
      <c r="F75" s="42">
        <v>6000000</v>
      </c>
      <c r="G75" s="42">
        <v>5000000</v>
      </c>
      <c r="H75" s="41">
        <f t="shared" si="4"/>
        <v>6000000</v>
      </c>
      <c r="I75" s="13" t="s">
        <v>525</v>
      </c>
      <c r="J75" s="27" t="s">
        <v>263</v>
      </c>
      <c r="K75" s="13" t="s">
        <v>526</v>
      </c>
      <c r="L75" s="28" t="s">
        <v>257</v>
      </c>
    </row>
    <row r="76" spans="1:12" ht="15" customHeight="1" x14ac:dyDescent="0.2">
      <c r="A76" s="120" t="s">
        <v>527</v>
      </c>
      <c r="B76" s="121"/>
      <c r="C76" s="121"/>
      <c r="D76" s="121"/>
      <c r="E76" s="121"/>
      <c r="F76" s="121"/>
      <c r="G76" s="121"/>
      <c r="H76" s="121"/>
      <c r="I76" s="121"/>
      <c r="J76" s="121"/>
    </row>
    <row r="77" spans="1:12" ht="27" customHeight="1" x14ac:dyDescent="0.2">
      <c r="A77" s="24" t="s">
        <v>528</v>
      </c>
      <c r="B77" s="15" t="s">
        <v>529</v>
      </c>
      <c r="C77" s="15" t="s">
        <v>530</v>
      </c>
      <c r="D77" s="15" t="s">
        <v>312</v>
      </c>
      <c r="E77" s="47">
        <v>1.1499999999999999</v>
      </c>
      <c r="F77" s="47">
        <v>1</v>
      </c>
      <c r="G77" s="47">
        <v>0.95</v>
      </c>
      <c r="H77" s="36">
        <f t="shared" ref="H77:H90" si="5">CHOOSE($D$4,E77,F77,G77)</f>
        <v>1</v>
      </c>
      <c r="I77" s="13" t="s">
        <v>531</v>
      </c>
      <c r="J77" s="27" t="s">
        <v>268</v>
      </c>
      <c r="K77" s="13" t="s">
        <v>532</v>
      </c>
      <c r="L77" s="31" t="s">
        <v>127</v>
      </c>
    </row>
    <row r="78" spans="1:12" ht="15" customHeight="1" x14ac:dyDescent="0.2">
      <c r="A78" s="24" t="s">
        <v>533</v>
      </c>
      <c r="B78" s="15" t="s">
        <v>529</v>
      </c>
      <c r="C78" s="15" t="s">
        <v>534</v>
      </c>
      <c r="D78" s="15" t="s">
        <v>272</v>
      </c>
      <c r="E78" s="32">
        <v>0.15</v>
      </c>
      <c r="F78" s="32">
        <v>0.1</v>
      </c>
      <c r="G78" s="32">
        <v>7.4999999999999997E-2</v>
      </c>
      <c r="H78" s="33">
        <f t="shared" si="5"/>
        <v>0.1</v>
      </c>
      <c r="I78" s="13" t="s">
        <v>535</v>
      </c>
      <c r="J78" s="27" t="s">
        <v>268</v>
      </c>
      <c r="K78" s="13" t="s">
        <v>536</v>
      </c>
      <c r="L78" s="28" t="s">
        <v>257</v>
      </c>
    </row>
    <row r="79" spans="1:12" ht="15" customHeight="1" x14ac:dyDescent="0.2">
      <c r="A79" s="24" t="s">
        <v>537</v>
      </c>
      <c r="B79" s="15" t="s">
        <v>529</v>
      </c>
      <c r="C79" s="15" t="s">
        <v>538</v>
      </c>
      <c r="D79" s="15" t="s">
        <v>342</v>
      </c>
      <c r="E79" s="38">
        <v>1.5</v>
      </c>
      <c r="F79" s="38">
        <v>1</v>
      </c>
      <c r="G79" s="38">
        <v>0.75</v>
      </c>
      <c r="H79" s="39">
        <f t="shared" si="5"/>
        <v>1</v>
      </c>
      <c r="I79" s="13" t="s">
        <v>539</v>
      </c>
      <c r="J79" s="27" t="s">
        <v>263</v>
      </c>
      <c r="K79" s="13" t="s">
        <v>540</v>
      </c>
      <c r="L79" s="31" t="s">
        <v>127</v>
      </c>
    </row>
    <row r="80" spans="1:12" ht="27" customHeight="1" x14ac:dyDescent="0.2">
      <c r="A80" s="24" t="s">
        <v>541</v>
      </c>
      <c r="B80" s="15" t="s">
        <v>529</v>
      </c>
      <c r="C80" s="15" t="s">
        <v>542</v>
      </c>
      <c r="D80" s="15" t="s">
        <v>342</v>
      </c>
      <c r="E80" s="38">
        <v>3</v>
      </c>
      <c r="F80" s="38">
        <v>3</v>
      </c>
      <c r="G80" s="38">
        <v>2</v>
      </c>
      <c r="H80" s="39">
        <f t="shared" si="5"/>
        <v>3</v>
      </c>
      <c r="I80" s="13" t="s">
        <v>543</v>
      </c>
      <c r="J80" s="27" t="s">
        <v>268</v>
      </c>
      <c r="K80" s="13" t="s">
        <v>544</v>
      </c>
      <c r="L80" s="31" t="s">
        <v>127</v>
      </c>
    </row>
    <row r="81" spans="1:12" ht="27" customHeight="1" x14ac:dyDescent="0.2">
      <c r="A81" s="24" t="s">
        <v>545</v>
      </c>
      <c r="B81" s="15" t="s">
        <v>529</v>
      </c>
      <c r="C81" s="15" t="s">
        <v>546</v>
      </c>
      <c r="D81" s="15" t="s">
        <v>547</v>
      </c>
      <c r="E81" s="25">
        <v>5</v>
      </c>
      <c r="F81" s="25">
        <v>5</v>
      </c>
      <c r="G81" s="25">
        <v>5</v>
      </c>
      <c r="H81" s="26">
        <f t="shared" si="5"/>
        <v>5</v>
      </c>
      <c r="I81" s="13" t="s">
        <v>548</v>
      </c>
      <c r="J81" s="27" t="s">
        <v>268</v>
      </c>
      <c r="K81" s="13" t="s">
        <v>549</v>
      </c>
      <c r="L81" s="28" t="s">
        <v>257</v>
      </c>
    </row>
    <row r="82" spans="1:12" ht="15" customHeight="1" x14ac:dyDescent="0.2">
      <c r="A82" s="24" t="s">
        <v>550</v>
      </c>
      <c r="B82" s="15" t="s">
        <v>551</v>
      </c>
      <c r="C82" s="15" t="s">
        <v>552</v>
      </c>
      <c r="D82" s="15" t="s">
        <v>172</v>
      </c>
      <c r="E82" s="48">
        <v>200000</v>
      </c>
      <c r="F82" s="48">
        <v>200000</v>
      </c>
      <c r="G82" s="48">
        <v>200000</v>
      </c>
      <c r="H82" s="49">
        <f t="shared" si="5"/>
        <v>200000</v>
      </c>
      <c r="I82" s="13" t="s">
        <v>553</v>
      </c>
      <c r="J82" s="27" t="s">
        <v>255</v>
      </c>
      <c r="K82" s="13" t="s">
        <v>554</v>
      </c>
      <c r="L82" s="34" t="s">
        <v>234</v>
      </c>
    </row>
    <row r="83" spans="1:12" ht="15" customHeight="1" x14ac:dyDescent="0.2">
      <c r="A83" s="24" t="s">
        <v>555</v>
      </c>
      <c r="B83" s="15" t="s">
        <v>551</v>
      </c>
      <c r="C83" s="15" t="s">
        <v>556</v>
      </c>
      <c r="D83" s="15" t="s">
        <v>557</v>
      </c>
      <c r="E83" s="25">
        <v>1</v>
      </c>
      <c r="F83" s="25">
        <v>1</v>
      </c>
      <c r="G83" s="25">
        <v>1</v>
      </c>
      <c r="H83" s="26">
        <f t="shared" si="5"/>
        <v>1</v>
      </c>
      <c r="I83" s="13" t="s">
        <v>558</v>
      </c>
      <c r="J83" s="27" t="s">
        <v>302</v>
      </c>
      <c r="K83" s="13" t="s">
        <v>559</v>
      </c>
      <c r="L83" s="34" t="s">
        <v>234</v>
      </c>
    </row>
    <row r="84" spans="1:12" ht="27" customHeight="1" x14ac:dyDescent="0.2">
      <c r="A84" s="24" t="s">
        <v>560</v>
      </c>
      <c r="B84" s="15" t="s">
        <v>551</v>
      </c>
      <c r="C84" s="15" t="s">
        <v>561</v>
      </c>
      <c r="D84" s="15" t="s">
        <v>272</v>
      </c>
      <c r="E84" s="32">
        <v>0.12</v>
      </c>
      <c r="F84" s="32">
        <v>0.105</v>
      </c>
      <c r="G84" s="32">
        <v>0.09</v>
      </c>
      <c r="H84" s="33">
        <f t="shared" si="5"/>
        <v>0.105</v>
      </c>
      <c r="I84" s="13" t="s">
        <v>562</v>
      </c>
      <c r="J84" s="27" t="s">
        <v>263</v>
      </c>
      <c r="K84" s="13" t="s">
        <v>563</v>
      </c>
      <c r="L84" s="28" t="s">
        <v>257</v>
      </c>
    </row>
    <row r="85" spans="1:12" ht="15" customHeight="1" x14ac:dyDescent="0.2">
      <c r="A85" s="24" t="s">
        <v>564</v>
      </c>
      <c r="B85" s="15" t="s">
        <v>551</v>
      </c>
      <c r="C85" s="15" t="s">
        <v>565</v>
      </c>
      <c r="D85" s="15" t="s">
        <v>342</v>
      </c>
      <c r="E85" s="25">
        <v>36</v>
      </c>
      <c r="F85" s="25">
        <v>48</v>
      </c>
      <c r="G85" s="25">
        <v>60</v>
      </c>
      <c r="H85" s="26">
        <f t="shared" si="5"/>
        <v>48</v>
      </c>
      <c r="I85" s="13" t="s">
        <v>566</v>
      </c>
      <c r="J85" s="27" t="s">
        <v>263</v>
      </c>
      <c r="K85" s="13" t="s">
        <v>567</v>
      </c>
      <c r="L85" s="37" t="s">
        <v>27</v>
      </c>
    </row>
    <row r="86" spans="1:12" ht="15" customHeight="1" x14ac:dyDescent="0.2">
      <c r="A86" s="24" t="s">
        <v>568</v>
      </c>
      <c r="B86" s="15" t="s">
        <v>569</v>
      </c>
      <c r="C86" s="15" t="s">
        <v>570</v>
      </c>
      <c r="D86" s="15" t="s">
        <v>300</v>
      </c>
      <c r="E86" s="25">
        <v>2</v>
      </c>
      <c r="F86" s="25">
        <v>1</v>
      </c>
      <c r="G86" s="25">
        <v>1</v>
      </c>
      <c r="H86" s="26">
        <f t="shared" si="5"/>
        <v>1</v>
      </c>
      <c r="I86" s="13" t="s">
        <v>571</v>
      </c>
      <c r="J86" s="27" t="s">
        <v>268</v>
      </c>
      <c r="K86" s="13" t="s">
        <v>572</v>
      </c>
      <c r="L86" s="28" t="s">
        <v>257</v>
      </c>
    </row>
    <row r="87" spans="1:12" ht="15" customHeight="1" x14ac:dyDescent="0.2">
      <c r="A87" s="24" t="s">
        <v>573</v>
      </c>
      <c r="B87" s="15" t="s">
        <v>569</v>
      </c>
      <c r="C87" s="15" t="s">
        <v>574</v>
      </c>
      <c r="D87" s="15" t="s">
        <v>171</v>
      </c>
      <c r="E87" s="42">
        <v>2500000000</v>
      </c>
      <c r="F87" s="42">
        <v>2500000000</v>
      </c>
      <c r="G87" s="42">
        <v>2500000000</v>
      </c>
      <c r="H87" s="41">
        <f t="shared" si="5"/>
        <v>2500000000</v>
      </c>
      <c r="I87" s="13" t="s">
        <v>575</v>
      </c>
      <c r="J87" s="27" t="s">
        <v>268</v>
      </c>
      <c r="K87" s="13" t="s">
        <v>576</v>
      </c>
      <c r="L87" s="28" t="s">
        <v>131</v>
      </c>
    </row>
    <row r="88" spans="1:12" ht="27" customHeight="1" x14ac:dyDescent="0.2">
      <c r="A88" s="24" t="s">
        <v>577</v>
      </c>
      <c r="B88" s="15" t="s">
        <v>569</v>
      </c>
      <c r="C88" s="15" t="s">
        <v>578</v>
      </c>
      <c r="D88" s="15" t="s">
        <v>171</v>
      </c>
      <c r="E88" s="42">
        <v>10000000000</v>
      </c>
      <c r="F88" s="42">
        <v>10000000000</v>
      </c>
      <c r="G88" s="42">
        <v>10000000000</v>
      </c>
      <c r="H88" s="41">
        <f t="shared" si="5"/>
        <v>10000000000</v>
      </c>
      <c r="I88" s="13" t="s">
        <v>579</v>
      </c>
      <c r="J88" s="27" t="s">
        <v>268</v>
      </c>
      <c r="K88" s="13" t="s">
        <v>580</v>
      </c>
      <c r="L88" s="28" t="s">
        <v>131</v>
      </c>
    </row>
    <row r="89" spans="1:12" ht="27" customHeight="1" x14ac:dyDescent="0.2">
      <c r="A89" s="24" t="s">
        <v>581</v>
      </c>
      <c r="B89" s="15" t="s">
        <v>582</v>
      </c>
      <c r="C89" s="15" t="s">
        <v>583</v>
      </c>
      <c r="D89" s="15" t="s">
        <v>272</v>
      </c>
      <c r="E89" s="32">
        <v>0.18</v>
      </c>
      <c r="F89" s="32">
        <v>0.15</v>
      </c>
      <c r="G89" s="32">
        <v>0.12</v>
      </c>
      <c r="H89" s="33">
        <f t="shared" si="5"/>
        <v>0.15</v>
      </c>
      <c r="I89" s="13" t="s">
        <v>584</v>
      </c>
      <c r="J89" s="27" t="s">
        <v>263</v>
      </c>
      <c r="K89" s="13" t="s">
        <v>585</v>
      </c>
      <c r="L89" s="28" t="s">
        <v>257</v>
      </c>
    </row>
    <row r="90" spans="1:12" ht="15" customHeight="1" x14ac:dyDescent="0.2">
      <c r="A90" s="24" t="s">
        <v>586</v>
      </c>
      <c r="B90" s="15" t="s">
        <v>582</v>
      </c>
      <c r="C90" s="15" t="s">
        <v>587</v>
      </c>
      <c r="D90" s="15" t="s">
        <v>312</v>
      </c>
      <c r="E90" s="47">
        <v>0</v>
      </c>
      <c r="F90" s="47">
        <v>2</v>
      </c>
      <c r="G90" s="47">
        <v>3</v>
      </c>
      <c r="H90" s="36">
        <f t="shared" si="5"/>
        <v>2</v>
      </c>
      <c r="I90" s="13" t="s">
        <v>409</v>
      </c>
      <c r="J90" s="27" t="s">
        <v>263</v>
      </c>
      <c r="K90" s="13" t="s">
        <v>588</v>
      </c>
      <c r="L90" s="31" t="s">
        <v>127</v>
      </c>
    </row>
    <row r="91" spans="1:12" ht="15" customHeight="1" x14ac:dyDescent="0.2">
      <c r="A91" s="120" t="s">
        <v>589</v>
      </c>
      <c r="B91" s="121"/>
      <c r="C91" s="121"/>
      <c r="D91" s="121"/>
      <c r="E91" s="121"/>
      <c r="F91" s="121"/>
      <c r="G91" s="121"/>
      <c r="H91" s="121"/>
      <c r="I91" s="121"/>
      <c r="J91" s="121"/>
    </row>
    <row r="92" spans="1:12" ht="40.5" customHeight="1" x14ac:dyDescent="0.2">
      <c r="A92" s="24" t="s">
        <v>590</v>
      </c>
      <c r="B92" s="15" t="s">
        <v>591</v>
      </c>
      <c r="C92" s="15" t="s">
        <v>592</v>
      </c>
      <c r="D92" s="15" t="s">
        <v>593</v>
      </c>
      <c r="E92" s="50">
        <v>1</v>
      </c>
      <c r="F92" s="50">
        <v>1</v>
      </c>
      <c r="G92" s="50">
        <v>1</v>
      </c>
      <c r="H92" s="51">
        <f t="shared" ref="H92:H103" si="6">CHOOSE($D$4,E92,F92,G92)</f>
        <v>1</v>
      </c>
      <c r="I92" s="13" t="s">
        <v>594</v>
      </c>
      <c r="J92" s="27" t="s">
        <v>263</v>
      </c>
      <c r="K92" s="13" t="s">
        <v>595</v>
      </c>
      <c r="L92" s="37" t="s">
        <v>27</v>
      </c>
    </row>
    <row r="93" spans="1:12" ht="40.5" customHeight="1" x14ac:dyDescent="0.2">
      <c r="A93" s="24" t="s">
        <v>596</v>
      </c>
      <c r="B93" s="15" t="s">
        <v>591</v>
      </c>
      <c r="C93" s="15" t="s">
        <v>597</v>
      </c>
      <c r="D93" s="15" t="s">
        <v>593</v>
      </c>
      <c r="E93" s="50">
        <v>0.92</v>
      </c>
      <c r="F93" s="50">
        <v>0.92</v>
      </c>
      <c r="G93" s="50">
        <v>0.92</v>
      </c>
      <c r="H93" s="51">
        <f t="shared" si="6"/>
        <v>0.92</v>
      </c>
      <c r="I93" s="13" t="s">
        <v>594</v>
      </c>
      <c r="J93" s="27" t="s">
        <v>263</v>
      </c>
      <c r="K93" s="13" t="s">
        <v>595</v>
      </c>
      <c r="L93" s="37" t="s">
        <v>27</v>
      </c>
    </row>
    <row r="94" spans="1:12" ht="40.5" customHeight="1" x14ac:dyDescent="0.2">
      <c r="A94" s="24" t="s">
        <v>598</v>
      </c>
      <c r="B94" s="15" t="s">
        <v>591</v>
      </c>
      <c r="C94" s="15" t="s">
        <v>599</v>
      </c>
      <c r="D94" s="15" t="s">
        <v>593</v>
      </c>
      <c r="E94" s="50">
        <v>0.95</v>
      </c>
      <c r="F94" s="50">
        <v>0.95</v>
      </c>
      <c r="G94" s="50">
        <v>0.95</v>
      </c>
      <c r="H94" s="51">
        <f t="shared" si="6"/>
        <v>0.95</v>
      </c>
      <c r="I94" s="13" t="s">
        <v>594</v>
      </c>
      <c r="J94" s="27" t="s">
        <v>263</v>
      </c>
      <c r="K94" s="13" t="s">
        <v>595</v>
      </c>
      <c r="L94" s="37" t="s">
        <v>27</v>
      </c>
    </row>
    <row r="95" spans="1:12" ht="40.5" customHeight="1" x14ac:dyDescent="0.2">
      <c r="A95" s="24" t="s">
        <v>600</v>
      </c>
      <c r="B95" s="15" t="s">
        <v>591</v>
      </c>
      <c r="C95" s="15" t="s">
        <v>601</v>
      </c>
      <c r="D95" s="15" t="s">
        <v>593</v>
      </c>
      <c r="E95" s="50">
        <v>1</v>
      </c>
      <c r="F95" s="50">
        <v>1</v>
      </c>
      <c r="G95" s="50">
        <v>1</v>
      </c>
      <c r="H95" s="51">
        <f t="shared" si="6"/>
        <v>1</v>
      </c>
      <c r="I95" s="13" t="s">
        <v>594</v>
      </c>
      <c r="J95" s="27" t="s">
        <v>263</v>
      </c>
      <c r="K95" s="13" t="s">
        <v>595</v>
      </c>
      <c r="L95" s="37" t="s">
        <v>27</v>
      </c>
    </row>
    <row r="96" spans="1:12" ht="40.5" customHeight="1" x14ac:dyDescent="0.2">
      <c r="A96" s="24" t="s">
        <v>602</v>
      </c>
      <c r="B96" s="15" t="s">
        <v>591</v>
      </c>
      <c r="C96" s="15" t="s">
        <v>603</v>
      </c>
      <c r="D96" s="15" t="s">
        <v>593</v>
      </c>
      <c r="E96" s="50">
        <v>1</v>
      </c>
      <c r="F96" s="50">
        <v>1</v>
      </c>
      <c r="G96" s="50">
        <v>1</v>
      </c>
      <c r="H96" s="51">
        <f t="shared" si="6"/>
        <v>1</v>
      </c>
      <c r="I96" s="13" t="s">
        <v>594</v>
      </c>
      <c r="J96" s="27" t="s">
        <v>263</v>
      </c>
      <c r="K96" s="13" t="s">
        <v>595</v>
      </c>
      <c r="L96" s="37" t="s">
        <v>27</v>
      </c>
    </row>
    <row r="97" spans="1:12" ht="40.5" customHeight="1" x14ac:dyDescent="0.2">
      <c r="A97" s="24" t="s">
        <v>604</v>
      </c>
      <c r="B97" s="15" t="s">
        <v>591</v>
      </c>
      <c r="C97" s="15" t="s">
        <v>605</v>
      </c>
      <c r="D97" s="15" t="s">
        <v>593</v>
      </c>
      <c r="E97" s="50">
        <v>1</v>
      </c>
      <c r="F97" s="50">
        <v>1</v>
      </c>
      <c r="G97" s="50">
        <v>1</v>
      </c>
      <c r="H97" s="51">
        <f t="shared" si="6"/>
        <v>1</v>
      </c>
      <c r="I97" s="13" t="s">
        <v>594</v>
      </c>
      <c r="J97" s="27" t="s">
        <v>263</v>
      </c>
      <c r="K97" s="13" t="s">
        <v>595</v>
      </c>
      <c r="L97" s="37" t="s">
        <v>27</v>
      </c>
    </row>
    <row r="98" spans="1:12" ht="40.5" customHeight="1" x14ac:dyDescent="0.2">
      <c r="A98" s="24" t="s">
        <v>606</v>
      </c>
      <c r="B98" s="15" t="s">
        <v>591</v>
      </c>
      <c r="C98" s="15" t="s">
        <v>607</v>
      </c>
      <c r="D98" s="15" t="s">
        <v>593</v>
      </c>
      <c r="E98" s="50">
        <v>1</v>
      </c>
      <c r="F98" s="50">
        <v>1</v>
      </c>
      <c r="G98" s="50">
        <v>1</v>
      </c>
      <c r="H98" s="51">
        <f t="shared" si="6"/>
        <v>1</v>
      </c>
      <c r="I98" s="13" t="s">
        <v>594</v>
      </c>
      <c r="J98" s="27" t="s">
        <v>263</v>
      </c>
      <c r="K98" s="13" t="s">
        <v>595</v>
      </c>
      <c r="L98" s="37" t="s">
        <v>27</v>
      </c>
    </row>
    <row r="99" spans="1:12" ht="40.5" customHeight="1" x14ac:dyDescent="0.2">
      <c r="A99" s="24" t="s">
        <v>608</v>
      </c>
      <c r="B99" s="15" t="s">
        <v>591</v>
      </c>
      <c r="C99" s="15" t="s">
        <v>609</v>
      </c>
      <c r="D99" s="15" t="s">
        <v>593</v>
      </c>
      <c r="E99" s="50">
        <v>1</v>
      </c>
      <c r="F99" s="50">
        <v>1</v>
      </c>
      <c r="G99" s="50">
        <v>1</v>
      </c>
      <c r="H99" s="51">
        <f t="shared" si="6"/>
        <v>1</v>
      </c>
      <c r="I99" s="13" t="s">
        <v>594</v>
      </c>
      <c r="J99" s="27" t="s">
        <v>263</v>
      </c>
      <c r="K99" s="13" t="s">
        <v>595</v>
      </c>
      <c r="L99" s="37" t="s">
        <v>27</v>
      </c>
    </row>
    <row r="100" spans="1:12" ht="40.5" customHeight="1" x14ac:dyDescent="0.2">
      <c r="A100" s="24" t="s">
        <v>610</v>
      </c>
      <c r="B100" s="15" t="s">
        <v>591</v>
      </c>
      <c r="C100" s="15" t="s">
        <v>611</v>
      </c>
      <c r="D100" s="15" t="s">
        <v>593</v>
      </c>
      <c r="E100" s="50">
        <v>1</v>
      </c>
      <c r="F100" s="50">
        <v>1</v>
      </c>
      <c r="G100" s="50">
        <v>1</v>
      </c>
      <c r="H100" s="51">
        <f t="shared" si="6"/>
        <v>1</v>
      </c>
      <c r="I100" s="13" t="s">
        <v>594</v>
      </c>
      <c r="J100" s="27" t="s">
        <v>263</v>
      </c>
      <c r="K100" s="13" t="s">
        <v>595</v>
      </c>
      <c r="L100" s="37" t="s">
        <v>27</v>
      </c>
    </row>
    <row r="101" spans="1:12" ht="40.5" customHeight="1" x14ac:dyDescent="0.2">
      <c r="A101" s="24" t="s">
        <v>612</v>
      </c>
      <c r="B101" s="15" t="s">
        <v>591</v>
      </c>
      <c r="C101" s="15" t="s">
        <v>613</v>
      </c>
      <c r="D101" s="15" t="s">
        <v>593</v>
      </c>
      <c r="E101" s="50">
        <v>1</v>
      </c>
      <c r="F101" s="50">
        <v>1</v>
      </c>
      <c r="G101" s="50">
        <v>1</v>
      </c>
      <c r="H101" s="51">
        <f t="shared" si="6"/>
        <v>1</v>
      </c>
      <c r="I101" s="13" t="s">
        <v>594</v>
      </c>
      <c r="J101" s="27" t="s">
        <v>263</v>
      </c>
      <c r="K101" s="13" t="s">
        <v>595</v>
      </c>
      <c r="L101" s="37" t="s">
        <v>27</v>
      </c>
    </row>
    <row r="102" spans="1:12" ht="40.5" customHeight="1" x14ac:dyDescent="0.2">
      <c r="A102" s="24" t="s">
        <v>614</v>
      </c>
      <c r="B102" s="15" t="s">
        <v>591</v>
      </c>
      <c r="C102" s="15" t="s">
        <v>615</v>
      </c>
      <c r="D102" s="15" t="s">
        <v>593</v>
      </c>
      <c r="E102" s="50">
        <v>1</v>
      </c>
      <c r="F102" s="50">
        <v>1</v>
      </c>
      <c r="G102" s="50">
        <v>1</v>
      </c>
      <c r="H102" s="51">
        <f t="shared" si="6"/>
        <v>1</v>
      </c>
      <c r="I102" s="13" t="s">
        <v>594</v>
      </c>
      <c r="J102" s="27" t="s">
        <v>263</v>
      </c>
      <c r="K102" s="13" t="s">
        <v>595</v>
      </c>
      <c r="L102" s="37" t="s">
        <v>27</v>
      </c>
    </row>
    <row r="103" spans="1:12" ht="40.5" customHeight="1" x14ac:dyDescent="0.2">
      <c r="A103" s="24" t="s">
        <v>616</v>
      </c>
      <c r="B103" s="15" t="s">
        <v>591</v>
      </c>
      <c r="C103" s="15" t="s">
        <v>617</v>
      </c>
      <c r="D103" s="15" t="s">
        <v>593</v>
      </c>
      <c r="E103" s="50">
        <v>1.08</v>
      </c>
      <c r="F103" s="50">
        <v>1.08</v>
      </c>
      <c r="G103" s="50">
        <v>1.08</v>
      </c>
      <c r="H103" s="51">
        <f t="shared" si="6"/>
        <v>1.08</v>
      </c>
      <c r="I103" s="13" t="s">
        <v>594</v>
      </c>
      <c r="J103" s="27" t="s">
        <v>263</v>
      </c>
      <c r="K103" s="13" t="s">
        <v>595</v>
      </c>
      <c r="L103" s="37" t="s">
        <v>27</v>
      </c>
    </row>
  </sheetData>
  <dataValidations count="2">
    <dataValidation type="whole" sqref="D4" xr:uid="{00000000-0002-0000-0200-000000000000}">
      <formula1>1</formula1>
      <formula2>3</formula2>
    </dataValidation>
    <dataValidation type="list" sqref="H4" xr:uid="{00000000-0002-0000-0200-000001000000}">
      <formula1>"1,2"</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55"/>
  <sheetViews>
    <sheetView showGridLines="0" zoomScaleNormal="100" workbookViewId="0">
      <pane ySplit="7" topLeftCell="A8" activePane="bottomLeft" state="frozen"/>
      <selection pane="bottomLeft" activeCell="B11" sqref="B11"/>
    </sheetView>
  </sheetViews>
  <sheetFormatPr baseColWidth="10" defaultColWidth="8.6640625" defaultRowHeight="15" x14ac:dyDescent="0.2"/>
  <cols>
    <col min="1" max="1" width="6" customWidth="1"/>
    <col min="2" max="2" width="19.6640625" customWidth="1"/>
    <col min="3" max="3" width="40" customWidth="1"/>
    <col min="4" max="4" width="18" customWidth="1"/>
    <col min="5" max="5" width="16" customWidth="1"/>
    <col min="6" max="6" width="8" customWidth="1"/>
    <col min="7" max="7" width="16" customWidth="1"/>
    <col min="8" max="8" width="10" customWidth="1"/>
    <col min="9" max="9" width="8" customWidth="1"/>
    <col min="10" max="10" width="14" customWidth="1"/>
    <col min="11" max="11" width="8" customWidth="1"/>
    <col min="12" max="12" width="30" customWidth="1"/>
    <col min="13" max="13" width="55" customWidth="1"/>
    <col min="14" max="14" width="12" customWidth="1"/>
    <col min="15" max="15" width="16" customWidth="1"/>
    <col min="16" max="16" width="40" customWidth="1"/>
    <col min="17" max="17" width="18" customWidth="1"/>
    <col min="18" max="18" width="48.6640625" bestFit="1" customWidth="1"/>
    <col min="19" max="19" width="27.83203125" bestFit="1" customWidth="1"/>
    <col min="20" max="20" width="70" customWidth="1"/>
    <col min="16382" max="16384" width="11.5" customWidth="1"/>
  </cols>
  <sheetData>
    <row r="1" spans="1:20" ht="17.25" customHeight="1" x14ac:dyDescent="0.2">
      <c r="A1" s="115" t="s">
        <v>618</v>
      </c>
    </row>
    <row r="2" spans="1:20" ht="15" customHeight="1" x14ac:dyDescent="0.2">
      <c r="A2" s="11" t="s">
        <v>619</v>
      </c>
    </row>
    <row r="3" spans="1:20" ht="15" customHeight="1" x14ac:dyDescent="0.2">
      <c r="A3" s="96" t="s">
        <v>620</v>
      </c>
      <c r="B3" s="97" t="s">
        <v>621</v>
      </c>
      <c r="C3" s="97"/>
      <c r="D3" s="97"/>
      <c r="E3" s="97"/>
      <c r="F3" s="97"/>
      <c r="G3" s="97"/>
      <c r="H3" s="97"/>
      <c r="I3" s="97"/>
      <c r="J3" s="97"/>
      <c r="K3" s="97"/>
      <c r="L3" s="97"/>
      <c r="M3" s="11" t="s">
        <v>622</v>
      </c>
    </row>
    <row r="4" spans="1:20" ht="15" customHeight="1" x14ac:dyDescent="0.2">
      <c r="A4" s="96"/>
      <c r="B4" s="97" t="s">
        <v>623</v>
      </c>
      <c r="C4" s="97"/>
      <c r="D4" s="97"/>
      <c r="E4" s="97"/>
      <c r="F4" s="97"/>
      <c r="G4" s="97"/>
      <c r="H4" s="97"/>
      <c r="I4" s="97"/>
      <c r="J4" s="97"/>
      <c r="K4" s="97"/>
      <c r="L4" s="97"/>
      <c r="M4" s="11"/>
    </row>
    <row r="5" spans="1:20" ht="15" customHeight="1" x14ac:dyDescent="0.2">
      <c r="B5" s="97" t="s">
        <v>624</v>
      </c>
      <c r="C5" s="97"/>
      <c r="D5" s="97"/>
      <c r="E5" s="97"/>
      <c r="F5" s="97"/>
      <c r="G5" s="97"/>
      <c r="H5" s="97"/>
      <c r="I5" s="97"/>
      <c r="J5" s="97"/>
      <c r="K5" s="97"/>
      <c r="L5" s="97"/>
      <c r="M5" s="11"/>
    </row>
    <row r="6" spans="1:20" ht="15" customHeight="1" x14ac:dyDescent="0.2">
      <c r="M6" s="11"/>
    </row>
    <row r="7" spans="1:20" ht="23.25" customHeight="1" x14ac:dyDescent="0.2">
      <c r="A7" s="117" t="s">
        <v>300</v>
      </c>
      <c r="B7" s="117" t="s">
        <v>625</v>
      </c>
      <c r="C7" s="117" t="s">
        <v>626</v>
      </c>
      <c r="D7" s="117" t="s">
        <v>627</v>
      </c>
      <c r="E7" s="117" t="s">
        <v>628</v>
      </c>
      <c r="F7" s="117" t="s">
        <v>629</v>
      </c>
      <c r="G7" s="117" t="s">
        <v>630</v>
      </c>
      <c r="H7" s="117" t="s">
        <v>631</v>
      </c>
      <c r="I7" s="117" t="s">
        <v>632</v>
      </c>
      <c r="J7" s="117" t="s">
        <v>633</v>
      </c>
      <c r="K7" s="117" t="s">
        <v>84</v>
      </c>
      <c r="L7" s="117" t="s">
        <v>634</v>
      </c>
      <c r="M7" s="117" t="s">
        <v>635</v>
      </c>
      <c r="N7" s="117" t="s">
        <v>636</v>
      </c>
      <c r="O7" s="117" t="s">
        <v>637</v>
      </c>
      <c r="P7" s="117" t="s">
        <v>638</v>
      </c>
      <c r="Q7" s="117" t="s">
        <v>639</v>
      </c>
      <c r="R7" s="117" t="s">
        <v>640</v>
      </c>
      <c r="S7" s="117" t="s">
        <v>641</v>
      </c>
      <c r="T7" s="117" t="s">
        <v>642</v>
      </c>
    </row>
    <row r="8" spans="1:20" ht="15" customHeight="1" x14ac:dyDescent="0.2">
      <c r="A8" s="15">
        <v>3</v>
      </c>
      <c r="B8" s="106" t="s">
        <v>643</v>
      </c>
      <c r="C8" s="15" t="s">
        <v>644</v>
      </c>
      <c r="D8" s="15" t="s">
        <v>645</v>
      </c>
      <c r="E8" s="42">
        <v>95000000</v>
      </c>
      <c r="F8" s="52" t="s">
        <v>646</v>
      </c>
      <c r="G8" s="53">
        <f>IF(F8="year",E8/12,E8)</f>
        <v>95000000</v>
      </c>
      <c r="H8" s="25">
        <v>191</v>
      </c>
      <c r="J8" s="53">
        <f>G8/H8</f>
        <v>497382.19895287958</v>
      </c>
      <c r="K8" s="15" t="s">
        <v>647</v>
      </c>
      <c r="L8" s="15" t="s">
        <v>648</v>
      </c>
      <c r="M8" s="15" t="s">
        <v>649</v>
      </c>
      <c r="N8" s="15" t="str">
        <f>HYPERLINK("https://www.google.com/maps/search/?api=1&amp;query=Pacific+Century+Place+SCBD+Jakarta","Google Maps")</f>
        <v>Google Maps</v>
      </c>
      <c r="O8" s="15" t="str">
        <f>HYPERLINK("https://www.rumah123.com/en/property/jakarta-selatan-scbd/disewakan-space-utk-resto-bar-rooftop-di-pacific-century-tower-scbd-csr3740301/","Open ad")</f>
        <v>Open ad</v>
      </c>
      <c r="P8" s="122" t="s">
        <v>650</v>
      </c>
      <c r="Q8" s="15" t="s">
        <v>651</v>
      </c>
      <c r="R8" s="15" t="s">
        <v>652</v>
      </c>
      <c r="S8" s="15" t="s">
        <v>653</v>
      </c>
      <c r="T8" s="15" t="s">
        <v>654</v>
      </c>
    </row>
    <row r="9" spans="1:20" ht="15" customHeight="1" x14ac:dyDescent="0.2">
      <c r="A9" s="15">
        <v>5</v>
      </c>
      <c r="B9" s="106" t="s">
        <v>643</v>
      </c>
      <c r="C9" s="15" t="s">
        <v>655</v>
      </c>
      <c r="D9" s="15" t="s">
        <v>656</v>
      </c>
      <c r="E9" s="42">
        <v>60160000</v>
      </c>
      <c r="F9" s="52" t="s">
        <v>646</v>
      </c>
      <c r="G9" s="53">
        <f>IF(F9="year",E9/12,E9)</f>
        <v>60160000</v>
      </c>
      <c r="H9" s="25">
        <v>188</v>
      </c>
      <c r="J9" s="53">
        <f>G9/H9</f>
        <v>320000</v>
      </c>
      <c r="K9" s="15" t="s">
        <v>657</v>
      </c>
      <c r="L9" s="15" t="s">
        <v>658</v>
      </c>
      <c r="M9" s="15" t="s">
        <v>659</v>
      </c>
      <c r="N9" s="15" t="str">
        <f>HYPERLINK("https://www.google.com/maps/search/?api=1&amp;query=Equity+Tower+SCBD+Jakarta","Google Maps")</f>
        <v>Google Maps</v>
      </c>
      <c r="O9" s="15" t="str">
        <f>HYPERLINK("https://www.rumah123.com/en/rent/jakarta-selatan/scbd/commercial-space/","Open results page")</f>
        <v>Open results page</v>
      </c>
      <c r="P9" s="122" t="s">
        <v>660</v>
      </c>
      <c r="Q9" s="15" t="s">
        <v>661</v>
      </c>
      <c r="R9" s="15" t="s">
        <v>662</v>
      </c>
      <c r="S9" s="15" t="s">
        <v>663</v>
      </c>
      <c r="T9" s="15" t="s">
        <v>664</v>
      </c>
    </row>
    <row r="11" spans="1:20" ht="15" customHeight="1" x14ac:dyDescent="0.2">
      <c r="A11" s="15">
        <v>6</v>
      </c>
      <c r="B11" s="106" t="s">
        <v>665</v>
      </c>
      <c r="C11" s="15" t="s">
        <v>666</v>
      </c>
      <c r="D11" s="15" t="s">
        <v>667</v>
      </c>
      <c r="E11" s="42">
        <v>520000000</v>
      </c>
      <c r="F11" s="52" t="s">
        <v>668</v>
      </c>
      <c r="G11" s="53">
        <f>IF(F11="year",E11/12,E11)</f>
        <v>43333333.333333336</v>
      </c>
      <c r="H11" s="25">
        <v>150</v>
      </c>
      <c r="I11" s="54">
        <v>1</v>
      </c>
      <c r="J11" s="53">
        <f>G11/H11</f>
        <v>288888.88888888893</v>
      </c>
      <c r="K11" s="15" t="s">
        <v>669</v>
      </c>
      <c r="L11" s="15" t="s">
        <v>670</v>
      </c>
      <c r="M11" s="15" t="s">
        <v>671</v>
      </c>
      <c r="N11" s="15" t="str">
        <f>HYPERLINK("https://www.google.com/maps/search/?api=1&amp;query=" &amp; SUBSTITUTE(M11," ","+"),"Google Maps")</f>
        <v>Google Maps</v>
      </c>
      <c r="O11" s="15" t="str">
        <f>HYPERLINK(P11,"Open results page")</f>
        <v>Open results page</v>
      </c>
      <c r="P11" s="122" t="s">
        <v>672</v>
      </c>
      <c r="Q11" s="15" t="s">
        <v>673</v>
      </c>
      <c r="R11" s="15" t="s">
        <v>674</v>
      </c>
      <c r="S11" s="15" t="s">
        <v>675</v>
      </c>
      <c r="T11" s="15" t="s">
        <v>676</v>
      </c>
    </row>
    <row r="13" spans="1:20" ht="15" customHeight="1" x14ac:dyDescent="0.2">
      <c r="A13" s="15">
        <v>7</v>
      </c>
      <c r="B13" s="15" t="s">
        <v>677</v>
      </c>
      <c r="C13" s="15" t="s">
        <v>678</v>
      </c>
      <c r="D13" s="15" t="s">
        <v>679</v>
      </c>
      <c r="E13" s="42">
        <v>29000000</v>
      </c>
      <c r="F13" s="52" t="s">
        <v>646</v>
      </c>
      <c r="G13" s="53">
        <f t="shared" ref="G13:G22" si="0">IF(F13="year",E13/12,E13)</f>
        <v>29000000</v>
      </c>
      <c r="H13" s="25">
        <v>185</v>
      </c>
      <c r="I13" s="54">
        <v>4</v>
      </c>
      <c r="J13" s="53">
        <f t="shared" ref="J13:J22" si="1">G13/H13</f>
        <v>156756.75675675675</v>
      </c>
      <c r="K13" s="15" t="s">
        <v>680</v>
      </c>
      <c r="L13" s="15"/>
      <c r="M13" s="15" t="s">
        <v>681</v>
      </c>
      <c r="N13" s="15" t="str">
        <f>HYPERLINK("https://www.google.com/maps/search/?api=1&amp;query=Jl.+Wolter+Monginsidi+Kebayoran+Baru+Jakarta","Google Maps")</f>
        <v>Google Maps</v>
      </c>
      <c r="O13" s="15" t="str">
        <f>HYPERLINK("https://www.flokq.com/sewa-ruko-jakarta/ruko/RKRbd0","Open ad")</f>
        <v>Open ad</v>
      </c>
      <c r="P13" s="15" t="s">
        <v>682</v>
      </c>
      <c r="Q13" s="15" t="s">
        <v>683</v>
      </c>
      <c r="R13" s="15" t="s">
        <v>684</v>
      </c>
      <c r="S13" s="15" t="s">
        <v>663</v>
      </c>
      <c r="T13" s="15" t="s">
        <v>685</v>
      </c>
    </row>
    <row r="14" spans="1:20" ht="15" customHeight="1" x14ac:dyDescent="0.2">
      <c r="A14" s="15">
        <v>8</v>
      </c>
      <c r="B14" s="15" t="s">
        <v>677</v>
      </c>
      <c r="C14" s="15" t="s">
        <v>678</v>
      </c>
      <c r="D14" s="15" t="s">
        <v>679</v>
      </c>
      <c r="E14" s="42">
        <v>29200000</v>
      </c>
      <c r="F14" s="52" t="s">
        <v>646</v>
      </c>
      <c r="G14" s="53">
        <f t="shared" si="0"/>
        <v>29200000</v>
      </c>
      <c r="H14" s="25">
        <v>195</v>
      </c>
      <c r="I14" s="54">
        <v>3</v>
      </c>
      <c r="J14" s="53">
        <f t="shared" si="1"/>
        <v>149743.58974358975</v>
      </c>
      <c r="K14" s="15" t="s">
        <v>680</v>
      </c>
      <c r="L14" s="15"/>
      <c r="M14" s="15" t="s">
        <v>681</v>
      </c>
      <c r="N14" s="15" t="str">
        <f>HYPERLINK("https://www.google.com/maps/search/?api=1&amp;query=Jl.+Wolter+Monginsidi+Kebayoran+Baru+Jakarta","Google Maps")</f>
        <v>Google Maps</v>
      </c>
      <c r="O14" s="15" t="str">
        <f>HYPERLINK("https://www.flokq.com/sewa-ruko-jakarta/ruko/RKRfe7","Open ad")</f>
        <v>Open ad</v>
      </c>
      <c r="P14" s="15" t="s">
        <v>686</v>
      </c>
      <c r="Q14" s="15" t="s">
        <v>687</v>
      </c>
      <c r="R14" s="15" t="s">
        <v>684</v>
      </c>
      <c r="S14" s="15" t="s">
        <v>663</v>
      </c>
      <c r="T14" s="15" t="s">
        <v>685</v>
      </c>
    </row>
    <row r="15" spans="1:20" ht="15" customHeight="1" x14ac:dyDescent="0.2">
      <c r="A15" s="15">
        <v>9</v>
      </c>
      <c r="B15" s="15" t="s">
        <v>677</v>
      </c>
      <c r="C15" s="15" t="s">
        <v>678</v>
      </c>
      <c r="D15" s="15" t="s">
        <v>679</v>
      </c>
      <c r="E15" s="42">
        <v>16700000</v>
      </c>
      <c r="F15" s="52" t="s">
        <v>646</v>
      </c>
      <c r="G15" s="53">
        <f t="shared" si="0"/>
        <v>16700000</v>
      </c>
      <c r="H15" s="25">
        <v>160</v>
      </c>
      <c r="I15" s="54">
        <v>2</v>
      </c>
      <c r="J15" s="53">
        <f t="shared" si="1"/>
        <v>104375</v>
      </c>
      <c r="K15" s="15" t="s">
        <v>680</v>
      </c>
      <c r="L15" s="15"/>
      <c r="M15" s="15" t="s">
        <v>688</v>
      </c>
      <c r="N15" s="15" t="str">
        <f>HYPERLINK("https://www.google.com/maps/search/?api=1&amp;query=Jl.+Wolter+Monginsidi+Kebayoran+Baru+Jakarta","Google Maps")</f>
        <v>Google Maps</v>
      </c>
      <c r="O15" s="15" t="str">
        <f>HYPERLINK("https://www.flokq.com/sewa-ruko-jakarta/ruko/RKR37e","Open ad")</f>
        <v>Open ad</v>
      </c>
      <c r="P15" s="15" t="s">
        <v>689</v>
      </c>
      <c r="Q15" s="15" t="s">
        <v>690</v>
      </c>
      <c r="R15" s="15" t="s">
        <v>684</v>
      </c>
      <c r="S15" s="15" t="s">
        <v>663</v>
      </c>
      <c r="T15" s="15" t="s">
        <v>685</v>
      </c>
    </row>
    <row r="16" spans="1:20" ht="15" customHeight="1" x14ac:dyDescent="0.2">
      <c r="A16" s="15">
        <v>10</v>
      </c>
      <c r="B16" s="15" t="s">
        <v>677</v>
      </c>
      <c r="C16" s="15" t="s">
        <v>691</v>
      </c>
      <c r="D16" s="15" t="s">
        <v>679</v>
      </c>
      <c r="E16" s="42">
        <v>37500000</v>
      </c>
      <c r="F16" s="52" t="s">
        <v>646</v>
      </c>
      <c r="G16" s="53">
        <f t="shared" si="0"/>
        <v>37500000</v>
      </c>
      <c r="H16" s="25">
        <v>112</v>
      </c>
      <c r="I16" s="54">
        <v>2</v>
      </c>
      <c r="J16" s="53">
        <f t="shared" si="1"/>
        <v>334821.42857142858</v>
      </c>
      <c r="K16" s="15" t="s">
        <v>680</v>
      </c>
      <c r="L16" s="15"/>
      <c r="M16" s="15" t="s">
        <v>692</v>
      </c>
      <c r="N16" s="15" t="str">
        <f>HYPERLINK("https://www.google.com/maps/search/?api=1&amp;query=Jl.+Wijaya+I+Kebayoran+Baru+Jakarta","Google Maps")</f>
        <v>Google Maps</v>
      </c>
      <c r="O16" s="15" t="str">
        <f>HYPERLINK("https://www.flokq.com/sewa-ruko-jakarta/ruko/RKR485","Open ad")</f>
        <v>Open ad</v>
      </c>
      <c r="P16" s="15" t="s">
        <v>693</v>
      </c>
      <c r="Q16" s="15" t="s">
        <v>694</v>
      </c>
      <c r="R16" s="15" t="s">
        <v>684</v>
      </c>
      <c r="S16" s="15" t="s">
        <v>663</v>
      </c>
      <c r="T16" s="15" t="s">
        <v>695</v>
      </c>
    </row>
    <row r="17" spans="1:20" ht="15" customHeight="1" x14ac:dyDescent="0.2">
      <c r="A17" s="15">
        <v>11</v>
      </c>
      <c r="B17" s="15" t="s">
        <v>677</v>
      </c>
      <c r="C17" s="15" t="s">
        <v>696</v>
      </c>
      <c r="D17" s="15" t="s">
        <v>679</v>
      </c>
      <c r="E17" s="42">
        <v>12500000</v>
      </c>
      <c r="F17" s="52" t="s">
        <v>646</v>
      </c>
      <c r="G17" s="53">
        <f t="shared" si="0"/>
        <v>12500000</v>
      </c>
      <c r="H17" s="25">
        <v>150</v>
      </c>
      <c r="I17" s="54">
        <v>2</v>
      </c>
      <c r="J17" s="53">
        <f t="shared" si="1"/>
        <v>83333.333333333328</v>
      </c>
      <c r="K17" s="15" t="s">
        <v>680</v>
      </c>
      <c r="L17" s="15"/>
      <c r="M17" s="15" t="s">
        <v>697</v>
      </c>
      <c r="N17" s="15" t="str">
        <f>HYPERLINK("https://www.google.com/maps/search/?api=1&amp;query=Jl.+Haji+Nawi+Jakarta+Selatan","Google Maps")</f>
        <v>Google Maps</v>
      </c>
      <c r="O17" s="15" t="str">
        <f>HYPERLINK("https://www.flokq.com/sewa-ruko-jakarta/ruko/RKR7b7","Open ad")</f>
        <v>Open ad</v>
      </c>
      <c r="P17" s="15" t="s">
        <v>698</v>
      </c>
      <c r="Q17" s="15" t="s">
        <v>699</v>
      </c>
      <c r="R17" s="15" t="s">
        <v>684</v>
      </c>
      <c r="S17" s="15" t="s">
        <v>663</v>
      </c>
      <c r="T17" s="15" t="s">
        <v>700</v>
      </c>
    </row>
    <row r="18" spans="1:20" ht="15" customHeight="1" x14ac:dyDescent="0.2">
      <c r="A18" s="15">
        <v>12</v>
      </c>
      <c r="B18" s="15" t="s">
        <v>677</v>
      </c>
      <c r="C18" s="15" t="s">
        <v>701</v>
      </c>
      <c r="D18" s="15" t="s">
        <v>679</v>
      </c>
      <c r="E18" s="42">
        <v>23000000</v>
      </c>
      <c r="F18" s="52" t="s">
        <v>646</v>
      </c>
      <c r="G18" s="53">
        <f t="shared" si="0"/>
        <v>23000000</v>
      </c>
      <c r="H18" s="25">
        <v>143</v>
      </c>
      <c r="I18" s="54">
        <v>2</v>
      </c>
      <c r="J18" s="53">
        <f t="shared" si="1"/>
        <v>160839.16083916085</v>
      </c>
      <c r="K18" s="15" t="s">
        <v>680</v>
      </c>
      <c r="L18" s="15"/>
      <c r="M18" s="15" t="s">
        <v>702</v>
      </c>
      <c r="N18" s="15" t="str">
        <f>HYPERLINK("https://www.google.com/maps/search/?api=1&amp;query=Jl.+Haji+Nawi+Raya+Jakarta+Selatan","Google Maps")</f>
        <v>Google Maps</v>
      </c>
      <c r="O18" s="15" t="str">
        <f>HYPERLINK("https://www.flokq.com/sewa-ruko-jakarta/ruko/RKR678","Open ad")</f>
        <v>Open ad</v>
      </c>
      <c r="P18" s="15" t="s">
        <v>703</v>
      </c>
      <c r="Q18" s="15" t="s">
        <v>704</v>
      </c>
      <c r="R18" s="15" t="s">
        <v>684</v>
      </c>
      <c r="S18" s="15" t="s">
        <v>663</v>
      </c>
      <c r="T18" s="15" t="s">
        <v>705</v>
      </c>
    </row>
    <row r="19" spans="1:20" ht="15" customHeight="1" x14ac:dyDescent="0.2">
      <c r="A19" s="15">
        <v>13</v>
      </c>
      <c r="B19" s="15" t="s">
        <v>677</v>
      </c>
      <c r="C19" s="15" t="s">
        <v>706</v>
      </c>
      <c r="D19" s="15" t="s">
        <v>679</v>
      </c>
      <c r="E19" s="42">
        <v>18800000</v>
      </c>
      <c r="F19" s="52" t="s">
        <v>646</v>
      </c>
      <c r="G19" s="53">
        <f t="shared" si="0"/>
        <v>18800000</v>
      </c>
      <c r="H19" s="25">
        <v>160</v>
      </c>
      <c r="I19" s="54">
        <v>2</v>
      </c>
      <c r="J19" s="53">
        <f t="shared" si="1"/>
        <v>117500</v>
      </c>
      <c r="K19" s="15" t="s">
        <v>680</v>
      </c>
      <c r="L19" s="15"/>
      <c r="M19" s="15" t="s">
        <v>707</v>
      </c>
      <c r="N19" s="15" t="str">
        <f>HYPERLINK("https://www.google.com/maps/search/?api=1&amp;query=Pacific+Century+Place+SCBD+Jakarta","Google Maps")</f>
        <v>Google Maps</v>
      </c>
      <c r="O19" s="15" t="str">
        <f>HYPERLINK("https://www.flokq.com/sewa-ruko-jakarta/ruko/RKR6fb","Open ad")</f>
        <v>Open ad</v>
      </c>
      <c r="P19" s="15" t="s">
        <v>708</v>
      </c>
      <c r="Q19" s="15" t="s">
        <v>709</v>
      </c>
      <c r="R19" s="15" t="s">
        <v>684</v>
      </c>
      <c r="S19" s="15" t="s">
        <v>710</v>
      </c>
      <c r="T19" s="15" t="s">
        <v>685</v>
      </c>
    </row>
    <row r="20" spans="1:20" ht="15" customHeight="1" x14ac:dyDescent="0.2">
      <c r="A20" s="15">
        <v>14</v>
      </c>
      <c r="B20" s="15" t="s">
        <v>677</v>
      </c>
      <c r="C20" s="15" t="s">
        <v>706</v>
      </c>
      <c r="D20" s="15" t="s">
        <v>679</v>
      </c>
      <c r="E20" s="42">
        <v>16700000</v>
      </c>
      <c r="F20" s="52" t="s">
        <v>646</v>
      </c>
      <c r="G20" s="53">
        <f t="shared" si="0"/>
        <v>16700000</v>
      </c>
      <c r="H20" s="25">
        <v>160</v>
      </c>
      <c r="I20" s="54">
        <v>3</v>
      </c>
      <c r="J20" s="53">
        <f t="shared" si="1"/>
        <v>104375</v>
      </c>
      <c r="K20" s="15" t="s">
        <v>680</v>
      </c>
      <c r="L20" s="15"/>
      <c r="M20" s="15" t="s">
        <v>711</v>
      </c>
      <c r="N20" s="15" t="str">
        <f>HYPERLINK("https://www.google.com/maps/search/?api=1&amp;query=Kebayoran+Baru+Jakarta+Selatan","Google Maps")</f>
        <v>Google Maps</v>
      </c>
      <c r="O20" s="15" t="str">
        <f>HYPERLINK("https://www.flokq.com/sewa-ruko-jakarta/ruko/RKRcae","Open ad")</f>
        <v>Open ad</v>
      </c>
      <c r="P20" s="15" t="s">
        <v>712</v>
      </c>
      <c r="Q20" s="15" t="s">
        <v>713</v>
      </c>
      <c r="R20" s="15" t="s">
        <v>684</v>
      </c>
      <c r="S20" s="15" t="s">
        <v>714</v>
      </c>
      <c r="T20" s="15" t="s">
        <v>715</v>
      </c>
    </row>
    <row r="21" spans="1:20" ht="15" customHeight="1" x14ac:dyDescent="0.2">
      <c r="A21" s="15">
        <v>15</v>
      </c>
      <c r="B21" s="15" t="s">
        <v>677</v>
      </c>
      <c r="C21" s="15" t="s">
        <v>716</v>
      </c>
      <c r="D21" s="15" t="s">
        <v>679</v>
      </c>
      <c r="E21" s="42">
        <v>14500000</v>
      </c>
      <c r="F21" s="52" t="s">
        <v>646</v>
      </c>
      <c r="G21" s="53">
        <f t="shared" si="0"/>
        <v>14500000</v>
      </c>
      <c r="H21" s="25">
        <v>193</v>
      </c>
      <c r="I21" s="54">
        <v>3</v>
      </c>
      <c r="J21" s="53">
        <f t="shared" si="1"/>
        <v>75129.533678756474</v>
      </c>
      <c r="K21" s="15" t="s">
        <v>680</v>
      </c>
      <c r="L21" s="15"/>
      <c r="M21" s="15" t="s">
        <v>717</v>
      </c>
      <c r="N21" s="15" t="str">
        <f>HYPERLINK("https://www.google.com/maps/search/?api=1&amp;query=Jl.+Kyai+Maja+Jakarta+Selatan","Google Maps")</f>
        <v>Google Maps</v>
      </c>
      <c r="O21" s="15" t="str">
        <f>HYPERLINK("https://www.flokq.com/sewa-ruko-jakarta/ruko/RKR927","Open ad")</f>
        <v>Open ad</v>
      </c>
      <c r="P21" s="15" t="s">
        <v>718</v>
      </c>
      <c r="Q21" s="15" t="s">
        <v>719</v>
      </c>
      <c r="R21" s="15" t="s">
        <v>684</v>
      </c>
      <c r="S21" s="15" t="s">
        <v>663</v>
      </c>
      <c r="T21" s="15" t="s">
        <v>685</v>
      </c>
    </row>
    <row r="22" spans="1:20" ht="15" customHeight="1" x14ac:dyDescent="0.2">
      <c r="A22" s="15">
        <v>16</v>
      </c>
      <c r="B22" s="15" t="s">
        <v>677</v>
      </c>
      <c r="C22" s="15" t="s">
        <v>720</v>
      </c>
      <c r="D22" s="15" t="s">
        <v>679</v>
      </c>
      <c r="E22" s="42">
        <v>9000000</v>
      </c>
      <c r="F22" s="52" t="s">
        <v>646</v>
      </c>
      <c r="G22" s="53">
        <f t="shared" si="0"/>
        <v>9000000</v>
      </c>
      <c r="H22" s="25">
        <v>105</v>
      </c>
      <c r="I22" s="54">
        <v>2</v>
      </c>
      <c r="J22" s="53">
        <f t="shared" si="1"/>
        <v>85714.28571428571</v>
      </c>
      <c r="K22" s="15" t="s">
        <v>680</v>
      </c>
      <c r="L22" s="15"/>
      <c r="M22" s="15" t="s">
        <v>721</v>
      </c>
      <c r="N22" s="15" t="str">
        <f>HYPERLINK("https://www.google.com/maps/search/?api=1&amp;query=" &amp; SUBSTITUTE(M22," ","+"),"Google Maps")</f>
        <v>Google Maps</v>
      </c>
      <c r="O22" s="15" t="str">
        <f>HYPERLINK(P22,"Open ad")</f>
        <v>Open ad</v>
      </c>
      <c r="P22" s="15" t="s">
        <v>722</v>
      </c>
      <c r="Q22" s="15" t="s">
        <v>723</v>
      </c>
      <c r="R22" s="15" t="s">
        <v>663</v>
      </c>
      <c r="S22" s="15" t="s">
        <v>663</v>
      </c>
      <c r="T22" s="15" t="s">
        <v>724</v>
      </c>
    </row>
    <row r="24" spans="1:20" ht="15" customHeight="1" x14ac:dyDescent="0.2">
      <c r="A24" s="15">
        <v>17</v>
      </c>
      <c r="B24" s="15" t="s">
        <v>725</v>
      </c>
      <c r="C24" s="15" t="s">
        <v>726</v>
      </c>
      <c r="D24" s="15" t="s">
        <v>679</v>
      </c>
      <c r="E24" s="42">
        <v>35000000</v>
      </c>
      <c r="F24" s="52" t="s">
        <v>646</v>
      </c>
      <c r="G24" s="53">
        <f>IF(F24="year",E24/12,E24)</f>
        <v>35000000</v>
      </c>
      <c r="H24" s="25">
        <v>110</v>
      </c>
      <c r="I24" s="54">
        <v>2</v>
      </c>
      <c r="J24" s="53">
        <f>G24/H24</f>
        <v>318181.81818181818</v>
      </c>
      <c r="K24" s="15" t="s">
        <v>727</v>
      </c>
      <c r="L24" s="15"/>
      <c r="M24" s="15" t="s">
        <v>728</v>
      </c>
      <c r="N24" s="15" t="str">
        <f>HYPERLINK("https://www.google.com/maps/search/?api=1&amp;query=Jl.+HR+Rasuna+Said+Kuningan+Jakarta","Google Maps")</f>
        <v>Google Maps</v>
      </c>
      <c r="O24" s="15" t="str">
        <f>HYPERLINK("https://www.flokq.com/sewa-ruko-jakarta/ruko/RKR3de","Open ad")</f>
        <v>Open ad</v>
      </c>
      <c r="P24" s="15" t="s">
        <v>729</v>
      </c>
      <c r="Q24" s="15" t="s">
        <v>730</v>
      </c>
      <c r="R24" s="15" t="s">
        <v>684</v>
      </c>
      <c r="S24" s="15" t="s">
        <v>663</v>
      </c>
      <c r="T24" s="15" t="s">
        <v>685</v>
      </c>
    </row>
    <row r="25" spans="1:20" ht="15" customHeight="1" x14ac:dyDescent="0.2">
      <c r="A25" s="15">
        <v>18</v>
      </c>
      <c r="B25" s="15" t="s">
        <v>725</v>
      </c>
      <c r="C25" s="15" t="s">
        <v>731</v>
      </c>
      <c r="D25" s="15" t="s">
        <v>732</v>
      </c>
      <c r="E25" s="42">
        <v>330000000</v>
      </c>
      <c r="F25" s="52" t="s">
        <v>668</v>
      </c>
      <c r="G25" s="53">
        <f>IF(F25="year",E25/12,E25)</f>
        <v>27500000</v>
      </c>
      <c r="H25" s="25">
        <v>110</v>
      </c>
      <c r="I25" s="54">
        <v>2</v>
      </c>
      <c r="J25" s="53">
        <f>G25/H25</f>
        <v>250000</v>
      </c>
      <c r="K25" s="15" t="s">
        <v>733</v>
      </c>
      <c r="L25" s="15" t="s">
        <v>734</v>
      </c>
      <c r="M25" s="15" t="s">
        <v>735</v>
      </c>
      <c r="N25" s="15" t="str">
        <f>HYPERLINK("https://www.google.com/maps/search/?api=1&amp;query=" &amp; SUBSTITUTE(M25," ","+"),"Google Maps")</f>
        <v>Google Maps</v>
      </c>
      <c r="O25" s="15" t="str">
        <f>HYPERLINK(P25,"Open ad")</f>
        <v>Open ad</v>
      </c>
      <c r="P25" s="15" t="s">
        <v>736</v>
      </c>
      <c r="Q25" s="15" t="s">
        <v>737</v>
      </c>
      <c r="R25" s="15" t="s">
        <v>738</v>
      </c>
      <c r="S25" s="15" t="s">
        <v>739</v>
      </c>
      <c r="T25" s="15" t="s">
        <v>740</v>
      </c>
    </row>
    <row r="27" spans="1:20" ht="15" customHeight="1" x14ac:dyDescent="0.2">
      <c r="A27" s="15">
        <v>19</v>
      </c>
      <c r="B27" s="15" t="s">
        <v>101</v>
      </c>
      <c r="C27" s="15" t="s">
        <v>741</v>
      </c>
      <c r="D27" s="15" t="s">
        <v>679</v>
      </c>
      <c r="E27" s="42">
        <v>20800000</v>
      </c>
      <c r="F27" s="52" t="s">
        <v>646</v>
      </c>
      <c r="G27" s="53">
        <f t="shared" ref="G27:G38" si="2">IF(F27="year",E27/12,E27)</f>
        <v>20800000</v>
      </c>
      <c r="H27" s="25">
        <v>170</v>
      </c>
      <c r="I27" s="54">
        <v>1</v>
      </c>
      <c r="J27" s="53">
        <f t="shared" ref="J27:J38" si="3">G27/H27</f>
        <v>122352.94117647059</v>
      </c>
      <c r="K27" s="15" t="s">
        <v>742</v>
      </c>
      <c r="L27" s="15"/>
      <c r="M27" s="15" t="s">
        <v>743</v>
      </c>
      <c r="N27" s="15" t="str">
        <f>HYPERLINK("https://www.google.com/maps/search/?api=1&amp;query=Jl.+Benda+Kemang+Jakarta+Selatan","Google Maps")</f>
        <v>Google Maps</v>
      </c>
      <c r="O27" s="15" t="str">
        <f>HYPERLINK("https://www.flokq.com/sewa-ruko-jakarta/ruko/RKR422","Open ad")</f>
        <v>Open ad</v>
      </c>
      <c r="P27" s="15" t="s">
        <v>744</v>
      </c>
      <c r="Q27" s="15" t="s">
        <v>745</v>
      </c>
      <c r="R27" s="15" t="s">
        <v>684</v>
      </c>
      <c r="S27" s="15" t="s">
        <v>663</v>
      </c>
      <c r="T27" s="15" t="s">
        <v>746</v>
      </c>
    </row>
    <row r="28" spans="1:20" ht="15" customHeight="1" x14ac:dyDescent="0.2">
      <c r="A28" s="15">
        <v>20</v>
      </c>
      <c r="B28" s="15" t="s">
        <v>101</v>
      </c>
      <c r="C28" s="15" t="s">
        <v>101</v>
      </c>
      <c r="D28" s="15" t="s">
        <v>679</v>
      </c>
      <c r="E28" s="42">
        <v>29000000</v>
      </c>
      <c r="F28" s="52" t="s">
        <v>646</v>
      </c>
      <c r="G28" s="53">
        <f t="shared" si="2"/>
        <v>29000000</v>
      </c>
      <c r="H28" s="25">
        <v>170</v>
      </c>
      <c r="I28" s="54">
        <v>1</v>
      </c>
      <c r="J28" s="53">
        <f t="shared" si="3"/>
        <v>170588.23529411765</v>
      </c>
      <c r="K28" s="15" t="s">
        <v>742</v>
      </c>
      <c r="L28" s="15"/>
      <c r="M28" s="15" t="s">
        <v>747</v>
      </c>
      <c r="N28" s="15" t="str">
        <f>HYPERLINK("https://www.google.com/maps/search/?api=1&amp;query=Kemang+Jakarta+Selatan","Google Maps")</f>
        <v>Google Maps</v>
      </c>
      <c r="O28" s="15" t="str">
        <f>HYPERLINK("https://www.flokq.com/sewa-ruko-jakarta/ruko/RKR3c0","Open ad")</f>
        <v>Open ad</v>
      </c>
      <c r="P28" s="15" t="s">
        <v>748</v>
      </c>
      <c r="Q28" s="15" t="s">
        <v>749</v>
      </c>
      <c r="R28" s="15" t="s">
        <v>684</v>
      </c>
      <c r="S28" s="15" t="s">
        <v>663</v>
      </c>
      <c r="T28" s="15" t="s">
        <v>750</v>
      </c>
    </row>
    <row r="29" spans="1:20" ht="15" customHeight="1" x14ac:dyDescent="0.2">
      <c r="A29" s="15">
        <v>21</v>
      </c>
      <c r="B29" s="15" t="s">
        <v>101</v>
      </c>
      <c r="C29" s="15" t="s">
        <v>751</v>
      </c>
      <c r="D29" s="15" t="s">
        <v>679</v>
      </c>
      <c r="E29" s="42">
        <v>50000000</v>
      </c>
      <c r="F29" s="52" t="s">
        <v>646</v>
      </c>
      <c r="G29" s="53">
        <f t="shared" si="2"/>
        <v>50000000</v>
      </c>
      <c r="H29" s="25">
        <v>120</v>
      </c>
      <c r="I29" s="54">
        <v>4</v>
      </c>
      <c r="J29" s="53">
        <f t="shared" si="3"/>
        <v>416666.66666666669</v>
      </c>
      <c r="K29" s="15" t="s">
        <v>742</v>
      </c>
      <c r="L29" s="15"/>
      <c r="M29" s="15" t="s">
        <v>752</v>
      </c>
      <c r="N29" s="15" t="str">
        <f>HYPERLINK("https://www.google.com/maps/search/?api=1&amp;query=Jl.+Kemang+Raya+Jakarta+Selatan","Google Maps")</f>
        <v>Google Maps</v>
      </c>
      <c r="O29" s="15" t="str">
        <f>HYPERLINK("https://www.flokq.com/sewa-ruko-jakarta/ruko/RKR71d","Open ad")</f>
        <v>Open ad</v>
      </c>
      <c r="P29" s="15" t="s">
        <v>753</v>
      </c>
      <c r="Q29" s="15" t="s">
        <v>754</v>
      </c>
      <c r="R29" s="15" t="s">
        <v>684</v>
      </c>
      <c r="S29" s="15" t="s">
        <v>663</v>
      </c>
      <c r="T29" s="15" t="s">
        <v>685</v>
      </c>
    </row>
    <row r="30" spans="1:20" ht="15" customHeight="1" x14ac:dyDescent="0.2">
      <c r="A30" s="15">
        <v>22</v>
      </c>
      <c r="B30" s="15" t="s">
        <v>101</v>
      </c>
      <c r="C30" s="15" t="s">
        <v>751</v>
      </c>
      <c r="D30" s="15" t="s">
        <v>679</v>
      </c>
      <c r="E30" s="42">
        <v>29000000</v>
      </c>
      <c r="F30" s="52" t="s">
        <v>646</v>
      </c>
      <c r="G30" s="53">
        <f t="shared" si="2"/>
        <v>29000000</v>
      </c>
      <c r="H30" s="25">
        <v>170</v>
      </c>
      <c r="I30" s="54">
        <v>1</v>
      </c>
      <c r="J30" s="53">
        <f t="shared" si="3"/>
        <v>170588.23529411765</v>
      </c>
      <c r="K30" s="15" t="s">
        <v>742</v>
      </c>
      <c r="L30" s="15"/>
      <c r="M30" s="15" t="s">
        <v>755</v>
      </c>
      <c r="N30" s="15" t="str">
        <f>HYPERLINK("https://www.google.com/maps/search/?api=1&amp;query=Jl.+Kemang+Raya+Jakarta+Selatan","Google Maps")</f>
        <v>Google Maps</v>
      </c>
      <c r="O30" s="15" t="str">
        <f>HYPERLINK("https://www.flokq.com/sewa-ruko-jakarta/ruko/RKR653","Open ad")</f>
        <v>Open ad</v>
      </c>
      <c r="P30" s="15" t="s">
        <v>756</v>
      </c>
      <c r="Q30" s="15" t="s">
        <v>757</v>
      </c>
      <c r="R30" s="15" t="s">
        <v>684</v>
      </c>
      <c r="S30" s="15" t="s">
        <v>663</v>
      </c>
      <c r="T30" s="15" t="s">
        <v>758</v>
      </c>
    </row>
    <row r="31" spans="1:20" ht="15" customHeight="1" x14ac:dyDescent="0.2">
      <c r="A31" s="15">
        <v>23</v>
      </c>
      <c r="B31" s="15" t="s">
        <v>101</v>
      </c>
      <c r="C31" s="15" t="s">
        <v>101</v>
      </c>
      <c r="D31" s="15" t="s">
        <v>679</v>
      </c>
      <c r="E31" s="42">
        <v>16600000</v>
      </c>
      <c r="F31" s="52" t="s">
        <v>646</v>
      </c>
      <c r="G31" s="53">
        <f t="shared" si="2"/>
        <v>16600000</v>
      </c>
      <c r="H31" s="25">
        <v>128</v>
      </c>
      <c r="I31" s="54">
        <v>2</v>
      </c>
      <c r="J31" s="53">
        <f t="shared" si="3"/>
        <v>129687.5</v>
      </c>
      <c r="K31" s="15" t="s">
        <v>742</v>
      </c>
      <c r="L31" s="15"/>
      <c r="M31" s="15" t="s">
        <v>759</v>
      </c>
      <c r="N31" s="15" t="str">
        <f>HYPERLINK("https://www.google.com/maps/search/?api=1&amp;query=Kemang+Jakarta+Selatan","Google Maps")</f>
        <v>Google Maps</v>
      </c>
      <c r="O31" s="15" t="str">
        <f>HYPERLINK("https://www.flokq.com/sewa-ruko-jakarta/ruko/RKR545","Open ad")</f>
        <v>Open ad</v>
      </c>
      <c r="P31" s="15" t="s">
        <v>760</v>
      </c>
      <c r="Q31" s="15" t="s">
        <v>761</v>
      </c>
      <c r="R31" s="15" t="s">
        <v>684</v>
      </c>
      <c r="S31" s="15" t="s">
        <v>663</v>
      </c>
      <c r="T31" s="15" t="s">
        <v>685</v>
      </c>
    </row>
    <row r="32" spans="1:20" ht="15" customHeight="1" x14ac:dyDescent="0.2">
      <c r="A32" s="15">
        <v>24</v>
      </c>
      <c r="B32" s="15" t="s">
        <v>101</v>
      </c>
      <c r="C32" s="15" t="s">
        <v>762</v>
      </c>
      <c r="D32" s="15" t="s">
        <v>679</v>
      </c>
      <c r="E32" s="42">
        <v>25000000</v>
      </c>
      <c r="F32" s="52" t="s">
        <v>646</v>
      </c>
      <c r="G32" s="53">
        <f t="shared" si="2"/>
        <v>25000000</v>
      </c>
      <c r="H32" s="25">
        <v>110</v>
      </c>
      <c r="I32" s="54">
        <v>1</v>
      </c>
      <c r="J32" s="53">
        <f t="shared" si="3"/>
        <v>227272.72727272726</v>
      </c>
      <c r="K32" s="15" t="s">
        <v>742</v>
      </c>
      <c r="L32" s="15"/>
      <c r="M32" s="15" t="s">
        <v>763</v>
      </c>
      <c r="N32" s="15" t="str">
        <f>HYPERLINK("https://www.google.com/maps/search/?api=1&amp;query=Jl.+Benda+Raya+No.+1+Kemang+Jakarta+Selatan","Google Maps")</f>
        <v>Google Maps</v>
      </c>
      <c r="O32" s="15" t="str">
        <f>HYPERLINK("https://www.flokq.com/sewa-ruko-jakarta/ruko/RKR7fd","Open ad")</f>
        <v>Open ad</v>
      </c>
      <c r="P32" s="15" t="s">
        <v>764</v>
      </c>
      <c r="Q32" s="15" t="s">
        <v>765</v>
      </c>
      <c r="R32" s="15" t="s">
        <v>684</v>
      </c>
      <c r="S32" s="15" t="s">
        <v>663</v>
      </c>
      <c r="T32" s="15" t="s">
        <v>766</v>
      </c>
    </row>
    <row r="33" spans="1:20" ht="15" customHeight="1" x14ac:dyDescent="0.2">
      <c r="A33" s="15">
        <v>25</v>
      </c>
      <c r="B33" s="15" t="s">
        <v>101</v>
      </c>
      <c r="C33" s="15" t="s">
        <v>767</v>
      </c>
      <c r="D33" s="15" t="s">
        <v>679</v>
      </c>
      <c r="E33" s="42">
        <v>25000000</v>
      </c>
      <c r="F33" s="52" t="s">
        <v>646</v>
      </c>
      <c r="G33" s="53">
        <f t="shared" si="2"/>
        <v>25000000</v>
      </c>
      <c r="H33" s="25">
        <v>200</v>
      </c>
      <c r="I33" s="54">
        <v>2</v>
      </c>
      <c r="J33" s="53">
        <f t="shared" si="3"/>
        <v>125000</v>
      </c>
      <c r="K33" s="15" t="s">
        <v>742</v>
      </c>
      <c r="L33" s="15"/>
      <c r="M33" s="15" t="s">
        <v>768</v>
      </c>
      <c r="N33" s="15" t="str">
        <f>HYPERLINK("https://www.google.com/maps/search/?api=1&amp;query=Jl.+Kemang+Utara+Jakarta+Selatan","Google Maps")</f>
        <v>Google Maps</v>
      </c>
      <c r="O33" s="15" t="str">
        <f>HYPERLINK("https://www.flokq.com/sewa-ruko-jakarta/ruko/RKR5f6","Open ad")</f>
        <v>Open ad</v>
      </c>
      <c r="P33" s="15" t="s">
        <v>769</v>
      </c>
      <c r="Q33" s="15" t="s">
        <v>770</v>
      </c>
      <c r="R33" s="15" t="s">
        <v>684</v>
      </c>
      <c r="S33" s="15" t="s">
        <v>663</v>
      </c>
      <c r="T33" s="15" t="s">
        <v>685</v>
      </c>
    </row>
    <row r="34" spans="1:20" ht="15" customHeight="1" x14ac:dyDescent="0.2">
      <c r="A34" s="15">
        <v>26</v>
      </c>
      <c r="B34" s="15" t="s">
        <v>101</v>
      </c>
      <c r="C34" s="15" t="s">
        <v>771</v>
      </c>
      <c r="D34" s="15" t="s">
        <v>679</v>
      </c>
      <c r="E34" s="42">
        <v>15000000</v>
      </c>
      <c r="F34" s="52" t="s">
        <v>646</v>
      </c>
      <c r="G34" s="53">
        <f t="shared" si="2"/>
        <v>15000000</v>
      </c>
      <c r="H34" s="25">
        <v>180</v>
      </c>
      <c r="I34" s="54">
        <v>2</v>
      </c>
      <c r="J34" s="53">
        <f t="shared" si="3"/>
        <v>83333.333333333328</v>
      </c>
      <c r="K34" s="15" t="s">
        <v>742</v>
      </c>
      <c r="L34" s="15"/>
      <c r="M34" s="15" t="s">
        <v>772</v>
      </c>
      <c r="N34" s="15" t="str">
        <f>HYPERLINK("https://www.google.com/maps/search/?api=1&amp;query=Jl.+Kemang+Timur+Raya+Jakarta+Selatan","Google Maps")</f>
        <v>Google Maps</v>
      </c>
      <c r="O34" s="15" t="str">
        <f>HYPERLINK("https://www.flokq.com/sewa-ruko-jakarta/ruko/RKR729","Open ad")</f>
        <v>Open ad</v>
      </c>
      <c r="P34" s="15" t="s">
        <v>773</v>
      </c>
      <c r="Q34" s="15" t="s">
        <v>774</v>
      </c>
      <c r="R34" s="15" t="s">
        <v>684</v>
      </c>
      <c r="S34" s="15" t="s">
        <v>663</v>
      </c>
      <c r="T34" s="15" t="s">
        <v>685</v>
      </c>
    </row>
    <row r="35" spans="1:20" ht="15" customHeight="1" x14ac:dyDescent="0.2">
      <c r="A35" s="15">
        <v>27</v>
      </c>
      <c r="B35" s="15" t="s">
        <v>101</v>
      </c>
      <c r="C35" s="15" t="s">
        <v>751</v>
      </c>
      <c r="D35" s="15" t="s">
        <v>679</v>
      </c>
      <c r="E35" s="42">
        <v>29200000</v>
      </c>
      <c r="F35" s="52" t="s">
        <v>646</v>
      </c>
      <c r="G35" s="53">
        <f t="shared" si="2"/>
        <v>29200000</v>
      </c>
      <c r="H35" s="25">
        <v>200</v>
      </c>
      <c r="I35" s="54">
        <v>3</v>
      </c>
      <c r="J35" s="53">
        <f t="shared" si="3"/>
        <v>146000</v>
      </c>
      <c r="K35" s="15" t="s">
        <v>742</v>
      </c>
      <c r="L35" s="15"/>
      <c r="M35" s="15" t="s">
        <v>755</v>
      </c>
      <c r="N35" s="15" t="str">
        <f>HYPERLINK("https://www.google.com/maps/search/?api=1&amp;query=Jl.+Kemang+Raya+Jakarta+Selatan","Google Maps")</f>
        <v>Google Maps</v>
      </c>
      <c r="O35" s="15" t="str">
        <f>HYPERLINK("https://www.flokq.com/sewa-ruko-jakarta/ruko/RKR5b3","Open ad")</f>
        <v>Open ad</v>
      </c>
      <c r="P35" s="15" t="s">
        <v>775</v>
      </c>
      <c r="Q35" s="15" t="s">
        <v>776</v>
      </c>
      <c r="R35" s="15" t="s">
        <v>684</v>
      </c>
      <c r="S35" s="15" t="s">
        <v>663</v>
      </c>
      <c r="T35" s="15" t="s">
        <v>685</v>
      </c>
    </row>
    <row r="36" spans="1:20" ht="15" customHeight="1" x14ac:dyDescent="0.2">
      <c r="A36" s="15">
        <v>28</v>
      </c>
      <c r="B36" s="15" t="s">
        <v>101</v>
      </c>
      <c r="C36" s="15" t="s">
        <v>751</v>
      </c>
      <c r="D36" s="15" t="s">
        <v>679</v>
      </c>
      <c r="E36" s="42">
        <v>23330000</v>
      </c>
      <c r="F36" s="52" t="s">
        <v>646</v>
      </c>
      <c r="G36" s="53">
        <f t="shared" si="2"/>
        <v>23330000</v>
      </c>
      <c r="H36" s="25">
        <v>200</v>
      </c>
      <c r="I36" s="54">
        <v>2</v>
      </c>
      <c r="J36" s="53">
        <f t="shared" si="3"/>
        <v>116650</v>
      </c>
      <c r="K36" s="15" t="s">
        <v>777</v>
      </c>
      <c r="L36" s="15"/>
      <c r="M36" s="15" t="s">
        <v>778</v>
      </c>
      <c r="N36" s="15" t="str">
        <f>HYPERLINK("https://www.google.com/maps/search/?api=1&amp;query=" &amp; SUBSTITUTE(M36," ","+"),"Google Maps")</f>
        <v>Google Maps</v>
      </c>
      <c r="O36" s="15" t="str">
        <f>HYPERLINK(P36,"Open ad")</f>
        <v>Open ad</v>
      </c>
      <c r="P36" s="15" t="s">
        <v>779</v>
      </c>
      <c r="Q36" s="15" t="s">
        <v>780</v>
      </c>
      <c r="R36" s="15" t="s">
        <v>781</v>
      </c>
      <c r="S36" s="15" t="s">
        <v>782</v>
      </c>
      <c r="T36" s="15" t="s">
        <v>783</v>
      </c>
    </row>
    <row r="37" spans="1:20" ht="15" customHeight="1" x14ac:dyDescent="0.2">
      <c r="A37" s="15">
        <v>29</v>
      </c>
      <c r="B37" s="15" t="s">
        <v>101</v>
      </c>
      <c r="C37" s="15" t="s">
        <v>784</v>
      </c>
      <c r="D37" s="15" t="s">
        <v>785</v>
      </c>
      <c r="E37" s="42">
        <v>350000000</v>
      </c>
      <c r="F37" s="52" t="s">
        <v>668</v>
      </c>
      <c r="G37" s="53">
        <f t="shared" si="2"/>
        <v>29166666.666666668</v>
      </c>
      <c r="H37" s="25">
        <v>200</v>
      </c>
      <c r="I37" s="54">
        <v>1</v>
      </c>
      <c r="J37" s="53">
        <f t="shared" si="3"/>
        <v>145833.33333333334</v>
      </c>
      <c r="K37" s="15" t="s">
        <v>786</v>
      </c>
      <c r="L37" s="15" t="s">
        <v>787</v>
      </c>
      <c r="M37" s="15" t="s">
        <v>788</v>
      </c>
      <c r="N37" s="15" t="str">
        <f>HYPERLINK("https://www.google.com/maps/search/?api=1&amp;query=" &amp; SUBSTITUTE(M37," ","+"),"Google Maps")</f>
        <v>Google Maps</v>
      </c>
      <c r="O37" s="15" t="str">
        <f>HYPERLINK(P37,"Open ad")</f>
        <v>Open ad</v>
      </c>
      <c r="P37" s="15" t="s">
        <v>789</v>
      </c>
      <c r="Q37" s="15" t="s">
        <v>790</v>
      </c>
      <c r="R37" s="15" t="s">
        <v>791</v>
      </c>
      <c r="S37" s="15" t="s">
        <v>792</v>
      </c>
      <c r="T37" s="15" t="s">
        <v>793</v>
      </c>
    </row>
    <row r="38" spans="1:20" ht="15" customHeight="1" x14ac:dyDescent="0.2">
      <c r="A38" s="15">
        <v>30</v>
      </c>
      <c r="B38" s="15" t="s">
        <v>101</v>
      </c>
      <c r="C38" s="15" t="s">
        <v>794</v>
      </c>
      <c r="D38" s="15" t="s">
        <v>795</v>
      </c>
      <c r="E38" s="42">
        <v>30000000</v>
      </c>
      <c r="F38" s="52" t="s">
        <v>646</v>
      </c>
      <c r="G38" s="53">
        <f t="shared" si="2"/>
        <v>30000000</v>
      </c>
      <c r="H38" s="25">
        <v>130</v>
      </c>
      <c r="I38" s="54"/>
      <c r="J38" s="53">
        <f t="shared" si="3"/>
        <v>230769.23076923078</v>
      </c>
      <c r="K38" s="15" t="s">
        <v>796</v>
      </c>
      <c r="L38" s="15"/>
      <c r="M38" s="15" t="s">
        <v>755</v>
      </c>
      <c r="N38" s="15" t="str">
        <f>HYPERLINK("https://www.google.com/maps/search/?api=1&amp;query=" &amp; SUBSTITUTE(M38," ","+"),"Google Maps")</f>
        <v>Google Maps</v>
      </c>
      <c r="O38" s="15" t="str">
        <f>HYPERLINK(P38,"Open results page")</f>
        <v>Open results page</v>
      </c>
      <c r="P38" s="15" t="s">
        <v>797</v>
      </c>
      <c r="Q38" s="15" t="s">
        <v>673</v>
      </c>
      <c r="R38" s="15" t="s">
        <v>663</v>
      </c>
      <c r="S38" s="15" t="s">
        <v>663</v>
      </c>
      <c r="T38" s="15" t="s">
        <v>798</v>
      </c>
    </row>
    <row r="40" spans="1:20" ht="15" customHeight="1" x14ac:dyDescent="0.2">
      <c r="A40" s="15">
        <v>31</v>
      </c>
      <c r="B40" s="15" t="s">
        <v>799</v>
      </c>
      <c r="C40" s="15" t="s">
        <v>800</v>
      </c>
      <c r="D40" s="15" t="s">
        <v>679</v>
      </c>
      <c r="E40" s="42">
        <v>175000000</v>
      </c>
      <c r="F40" s="52" t="s">
        <v>668</v>
      </c>
      <c r="G40" s="53">
        <f>IF(F40="year",E40/12,E40)</f>
        <v>14583333.333333334</v>
      </c>
      <c r="H40" s="25">
        <v>160</v>
      </c>
      <c r="I40" s="54">
        <v>3.5</v>
      </c>
      <c r="J40" s="53">
        <f>G40/H40</f>
        <v>91145.833333333343</v>
      </c>
      <c r="K40" s="15" t="s">
        <v>801</v>
      </c>
      <c r="L40" s="15"/>
      <c r="M40" s="15" t="s">
        <v>802</v>
      </c>
      <c r="N40" s="15" t="str">
        <f>HYPERLINK("https://www.google.com/maps/search/?api=1&amp;query=Jl.+Elang+Laut+PIK+Jakarta+Utara","Google Maps")</f>
        <v>Google Maps</v>
      </c>
      <c r="O40" s="15" t="str">
        <f>HYPERLINK("https://www.brighton.co.id/cari-properti/view/ruko-3-5-lantai-di-elang-laut-pantai-indah-kapuk","Open ad")</f>
        <v>Open ad</v>
      </c>
      <c r="P40" s="15" t="s">
        <v>803</v>
      </c>
      <c r="Q40" s="15" t="s">
        <v>804</v>
      </c>
      <c r="R40" s="15" t="s">
        <v>805</v>
      </c>
      <c r="S40" s="15" t="s">
        <v>806</v>
      </c>
      <c r="T40" s="15" t="s">
        <v>807</v>
      </c>
    </row>
    <row r="41" spans="1:20" ht="15" customHeight="1" x14ac:dyDescent="0.2">
      <c r="A41" s="15">
        <v>32</v>
      </c>
      <c r="B41" s="15" t="s">
        <v>799</v>
      </c>
      <c r="C41" s="15" t="s">
        <v>808</v>
      </c>
      <c r="D41" s="15" t="s">
        <v>679</v>
      </c>
      <c r="E41" s="42">
        <v>300000000</v>
      </c>
      <c r="F41" s="52" t="s">
        <v>668</v>
      </c>
      <c r="G41" s="53">
        <f>IF(F41="year",E41/12,E41)</f>
        <v>25000000</v>
      </c>
      <c r="H41" s="25">
        <v>197</v>
      </c>
      <c r="J41" s="53">
        <f>G41/H41</f>
        <v>126903.55329949239</v>
      </c>
      <c r="K41" s="15" t="s">
        <v>801</v>
      </c>
      <c r="L41" s="15"/>
      <c r="M41" s="15" t="s">
        <v>809</v>
      </c>
      <c r="N41" s="15" t="str">
        <f>HYPERLINK("https://www.google.com/maps/search/?api=1&amp;query=Stanford+Boulevard+PIK+2","Google Maps")</f>
        <v>Google Maps</v>
      </c>
      <c r="O41" s="15" t="str">
        <f>HYPERLINK("https://www.brighton.co.id/cari-properti/view/ruko-pik-2-stanford-boulevard-hadap-jalan-utama","Open ad")</f>
        <v>Open ad</v>
      </c>
      <c r="P41" s="15" t="s">
        <v>810</v>
      </c>
      <c r="Q41" s="15" t="s">
        <v>811</v>
      </c>
      <c r="R41" s="15" t="s">
        <v>684</v>
      </c>
      <c r="S41" s="15" t="s">
        <v>812</v>
      </c>
      <c r="T41" s="15" t="s">
        <v>813</v>
      </c>
    </row>
    <row r="42" spans="1:20" ht="15" customHeight="1" x14ac:dyDescent="0.2">
      <c r="A42" s="15">
        <v>33</v>
      </c>
      <c r="B42" s="15" t="s">
        <v>799</v>
      </c>
      <c r="C42" s="15" t="s">
        <v>814</v>
      </c>
      <c r="D42" s="15" t="s">
        <v>679</v>
      </c>
      <c r="E42" s="42">
        <v>80000000</v>
      </c>
      <c r="F42" s="52" t="s">
        <v>668</v>
      </c>
      <c r="G42" s="53">
        <f>IF(F42="year",E42/12,E42)</f>
        <v>6666666.666666667</v>
      </c>
      <c r="H42" s="25">
        <v>141</v>
      </c>
      <c r="J42" s="53">
        <f>G42/H42</f>
        <v>47281.323877068557</v>
      </c>
      <c r="K42" s="15" t="s">
        <v>801</v>
      </c>
      <c r="L42" s="15"/>
      <c r="M42" s="15" t="s">
        <v>815</v>
      </c>
      <c r="N42" s="15" t="str">
        <f>HYPERLINK("https://www.google.com/maps/search/?api=1&amp;query=Pasadena+Walk+PIK+2","Google Maps")</f>
        <v>Google Maps</v>
      </c>
      <c r="O42" s="15" t="str">
        <f>HYPERLINK("https://www.brighton.co.id/disewa/ruko/jakarta-utara/pantai-indah-kapuk","Open results page")</f>
        <v>Open results page</v>
      </c>
      <c r="P42" s="15" t="s">
        <v>816</v>
      </c>
      <c r="Q42" s="15" t="s">
        <v>661</v>
      </c>
      <c r="R42" s="15" t="s">
        <v>684</v>
      </c>
      <c r="S42" s="15" t="s">
        <v>663</v>
      </c>
      <c r="T42" s="15" t="s">
        <v>817</v>
      </c>
    </row>
    <row r="45" spans="1:20" ht="15" customHeight="1" x14ac:dyDescent="0.2">
      <c r="C45" s="11" t="s">
        <v>818</v>
      </c>
    </row>
    <row r="48" spans="1:20" ht="15.75" customHeight="1" x14ac:dyDescent="0.2">
      <c r="A48" s="118" t="s">
        <v>819</v>
      </c>
    </row>
    <row r="49" spans="1:13" ht="27" customHeight="1" x14ac:dyDescent="0.2">
      <c r="A49" s="195" t="s">
        <v>114</v>
      </c>
      <c r="B49" s="196"/>
      <c r="C49" s="196"/>
      <c r="D49" s="119" t="s">
        <v>115</v>
      </c>
      <c r="E49" s="195" t="s">
        <v>116</v>
      </c>
      <c r="F49" s="196"/>
      <c r="G49" s="196"/>
      <c r="H49" s="195" t="s">
        <v>117</v>
      </c>
      <c r="I49" s="196"/>
      <c r="J49" s="196"/>
      <c r="K49" s="196"/>
      <c r="L49" s="196"/>
      <c r="M49" s="119" t="s">
        <v>22</v>
      </c>
    </row>
    <row r="50" spans="1:13" ht="27" customHeight="1" x14ac:dyDescent="0.2">
      <c r="A50" s="197" t="s">
        <v>820</v>
      </c>
      <c r="B50" s="198"/>
      <c r="C50" s="199"/>
      <c r="D50" s="3" t="s">
        <v>125</v>
      </c>
      <c r="E50" s="197" t="s">
        <v>821</v>
      </c>
      <c r="F50" s="198"/>
      <c r="G50" s="199"/>
      <c r="H50" s="197" t="s">
        <v>822</v>
      </c>
      <c r="I50" s="198"/>
      <c r="J50" s="198"/>
      <c r="K50" s="198"/>
      <c r="L50" s="199"/>
      <c r="M50" s="5" t="s">
        <v>131</v>
      </c>
    </row>
    <row r="51" spans="1:13" ht="15" customHeight="1" x14ac:dyDescent="0.2">
      <c r="A51" s="197" t="s">
        <v>823</v>
      </c>
      <c r="B51" s="198"/>
      <c r="C51" s="199"/>
      <c r="D51" s="3" t="s">
        <v>125</v>
      </c>
      <c r="E51" s="197" t="s">
        <v>125</v>
      </c>
      <c r="F51" s="198"/>
      <c r="G51" s="199"/>
      <c r="H51" s="197" t="s">
        <v>824</v>
      </c>
      <c r="I51" s="198"/>
      <c r="J51" s="198"/>
      <c r="K51" s="198"/>
      <c r="L51" s="199"/>
      <c r="M51" s="8" t="s">
        <v>138</v>
      </c>
    </row>
    <row r="52" spans="1:13" ht="27" customHeight="1" x14ac:dyDescent="0.2">
      <c r="A52" s="197" t="s">
        <v>825</v>
      </c>
      <c r="B52" s="198"/>
      <c r="C52" s="199"/>
      <c r="D52" s="3" t="s">
        <v>125</v>
      </c>
      <c r="E52" s="197" t="s">
        <v>125</v>
      </c>
      <c r="F52" s="198"/>
      <c r="G52" s="199"/>
      <c r="H52" s="197" t="s">
        <v>826</v>
      </c>
      <c r="I52" s="198"/>
      <c r="J52" s="198"/>
      <c r="K52" s="198"/>
      <c r="L52" s="199"/>
      <c r="M52" s="8" t="s">
        <v>138</v>
      </c>
    </row>
    <row r="53" spans="1:13" ht="15" customHeight="1" x14ac:dyDescent="0.2">
      <c r="A53" s="197" t="s">
        <v>827</v>
      </c>
      <c r="B53" s="198"/>
      <c r="C53" s="199"/>
      <c r="D53" s="3" t="s">
        <v>125</v>
      </c>
      <c r="E53" s="197" t="s">
        <v>828</v>
      </c>
      <c r="F53" s="198"/>
      <c r="G53" s="199"/>
      <c r="H53" s="197" t="s">
        <v>829</v>
      </c>
      <c r="I53" s="198"/>
      <c r="J53" s="198"/>
      <c r="K53" s="198"/>
      <c r="L53" s="199"/>
      <c r="M53" s="5" t="s">
        <v>131</v>
      </c>
    </row>
    <row r="54" spans="1:13" ht="27" customHeight="1" x14ac:dyDescent="0.2">
      <c r="A54" s="197" t="s">
        <v>830</v>
      </c>
      <c r="B54" s="198"/>
      <c r="C54" s="199"/>
      <c r="D54" s="3" t="s">
        <v>125</v>
      </c>
      <c r="E54" s="197" t="s">
        <v>831</v>
      </c>
      <c r="F54" s="198"/>
      <c r="G54" s="199"/>
      <c r="H54" s="197" t="s">
        <v>832</v>
      </c>
      <c r="I54" s="198"/>
      <c r="J54" s="198"/>
      <c r="K54" s="198"/>
      <c r="L54" s="199"/>
      <c r="M54" s="7" t="s">
        <v>27</v>
      </c>
    </row>
    <row r="55" spans="1:13" ht="40" customHeight="1" x14ac:dyDescent="0.2">
      <c r="A55" s="197" t="s">
        <v>833</v>
      </c>
      <c r="B55" s="198"/>
      <c r="C55" s="199"/>
      <c r="D55" s="3" t="s">
        <v>125</v>
      </c>
      <c r="E55" s="197" t="s">
        <v>834</v>
      </c>
      <c r="F55" s="198"/>
      <c r="G55" s="199"/>
      <c r="H55" s="197" t="s">
        <v>835</v>
      </c>
      <c r="I55" s="198"/>
      <c r="J55" s="198"/>
      <c r="K55" s="198"/>
      <c r="L55" s="199"/>
      <c r="M55" s="7" t="s">
        <v>27</v>
      </c>
    </row>
  </sheetData>
  <mergeCells count="21">
    <mergeCell ref="H54:L54"/>
    <mergeCell ref="H50:L50"/>
    <mergeCell ref="A55:C55"/>
    <mergeCell ref="A50:C50"/>
    <mergeCell ref="H55:L55"/>
    <mergeCell ref="E54:G54"/>
    <mergeCell ref="E55:G55"/>
    <mergeCell ref="A54:C54"/>
    <mergeCell ref="E49:G49"/>
    <mergeCell ref="H51:L51"/>
    <mergeCell ref="H49:L49"/>
    <mergeCell ref="A53:C53"/>
    <mergeCell ref="H52:L52"/>
    <mergeCell ref="A52:C52"/>
    <mergeCell ref="E53:G53"/>
    <mergeCell ref="E50:G50"/>
    <mergeCell ref="A51:C51"/>
    <mergeCell ref="A49:C49"/>
    <mergeCell ref="E52:G52"/>
    <mergeCell ref="E51:G51"/>
    <mergeCell ref="H53:L53"/>
  </mergeCells>
  <hyperlinks>
    <hyperlink ref="P8" r:id="rId1" xr:uid="{00000000-0004-0000-0300-000000000000}"/>
    <hyperlink ref="P9" r:id="rId2" xr:uid="{00000000-0004-0000-0300-000001000000}"/>
    <hyperlink ref="P11" r:id="rId3" xr:uid="{00000000-0004-0000-0300-000002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1"/>
  <sheetViews>
    <sheetView showGridLines="0" zoomScaleNormal="100" workbookViewId="0">
      <selection activeCell="B4" sqref="B4"/>
    </sheetView>
  </sheetViews>
  <sheetFormatPr baseColWidth="10" defaultColWidth="8.6640625" defaultRowHeight="15" x14ac:dyDescent="0.2"/>
  <cols>
    <col min="1" max="1" width="22" customWidth="1"/>
    <col min="2" max="2" width="7" customWidth="1"/>
    <col min="3" max="5" width="13" customWidth="1"/>
    <col min="6" max="6" width="7" customWidth="1"/>
    <col min="7" max="7" width="13" customWidth="1"/>
    <col min="8" max="15" width="10" customWidth="1"/>
    <col min="16" max="17" width="15" customWidth="1"/>
    <col min="18" max="18" width="11" customWidth="1"/>
    <col min="19" max="20" width="15" customWidth="1"/>
    <col min="21" max="21" width="13" customWidth="1"/>
  </cols>
  <sheetData>
    <row r="1" spans="1:22" ht="17.25" customHeight="1" x14ac:dyDescent="0.2">
      <c r="A1" s="115" t="s">
        <v>836</v>
      </c>
    </row>
    <row r="2" spans="1:22" ht="15" customHeight="1" x14ac:dyDescent="0.2">
      <c r="A2" s="11" t="s">
        <v>837</v>
      </c>
    </row>
    <row r="3" spans="1:22" x14ac:dyDescent="0.2">
      <c r="A3" s="96" t="s">
        <v>239</v>
      </c>
      <c r="B3" s="97" t="s">
        <v>838</v>
      </c>
      <c r="C3" s="97"/>
      <c r="D3" s="97"/>
      <c r="E3" s="97"/>
      <c r="F3" s="97"/>
      <c r="G3" s="97"/>
      <c r="H3" s="97"/>
      <c r="I3" s="97"/>
      <c r="J3" s="97"/>
    </row>
    <row r="4" spans="1:22" x14ac:dyDescent="0.2">
      <c r="B4" s="97" t="s">
        <v>839</v>
      </c>
      <c r="C4" s="97"/>
      <c r="D4" s="97"/>
      <c r="E4" s="97"/>
      <c r="F4" s="97"/>
      <c r="G4" s="97"/>
      <c r="H4" s="97"/>
      <c r="I4" s="97"/>
      <c r="J4" s="97"/>
    </row>
    <row r="5" spans="1:22" ht="15" customHeight="1" x14ac:dyDescent="0.2">
      <c r="A5" s="12" t="s">
        <v>840</v>
      </c>
      <c r="I5" s="32">
        <v>0.2</v>
      </c>
      <c r="J5" s="32">
        <v>0.2</v>
      </c>
      <c r="K5" s="32">
        <v>0.2</v>
      </c>
      <c r="L5" s="32">
        <v>0.2</v>
      </c>
      <c r="M5" s="32">
        <v>0.1</v>
      </c>
      <c r="N5" s="32">
        <v>0.1</v>
      </c>
      <c r="O5" s="55">
        <f>SUM(I5:N5)</f>
        <v>1</v>
      </c>
    </row>
    <row r="7" spans="1:22" ht="45.75" customHeight="1" x14ac:dyDescent="0.2">
      <c r="A7" s="117" t="s">
        <v>625</v>
      </c>
      <c r="B7" s="117" t="s">
        <v>841</v>
      </c>
      <c r="C7" s="117" t="s">
        <v>842</v>
      </c>
      <c r="D7" s="117" t="s">
        <v>843</v>
      </c>
      <c r="E7" s="117" t="s">
        <v>844</v>
      </c>
      <c r="F7" s="117" t="s">
        <v>845</v>
      </c>
      <c r="G7" s="117" t="s">
        <v>846</v>
      </c>
      <c r="H7" s="117" t="s">
        <v>847</v>
      </c>
      <c r="I7" s="117" t="s">
        <v>848</v>
      </c>
      <c r="J7" s="117" t="s">
        <v>849</v>
      </c>
      <c r="K7" s="117" t="s">
        <v>850</v>
      </c>
      <c r="L7" s="117" t="s">
        <v>851</v>
      </c>
      <c r="M7" s="117" t="s">
        <v>852</v>
      </c>
      <c r="N7" s="117" t="s">
        <v>853</v>
      </c>
      <c r="O7" s="117" t="s">
        <v>854</v>
      </c>
      <c r="P7" s="117" t="s">
        <v>855</v>
      </c>
      <c r="Q7" s="117" t="s">
        <v>856</v>
      </c>
      <c r="R7" s="117" t="s">
        <v>857</v>
      </c>
      <c r="S7" s="117" t="s">
        <v>858</v>
      </c>
      <c r="T7" s="117" t="s">
        <v>859</v>
      </c>
      <c r="U7" s="117" t="s">
        <v>860</v>
      </c>
      <c r="V7" s="117" t="s">
        <v>861</v>
      </c>
    </row>
    <row r="8" spans="1:22" ht="15" customHeight="1" x14ac:dyDescent="0.2">
      <c r="A8" s="12" t="s">
        <v>643</v>
      </c>
      <c r="B8" s="25">
        <v>1</v>
      </c>
      <c r="C8" s="16">
        <f>PERCENTILE(Rent_Data!$J$8:$J$9,0.25)</f>
        <v>364345.54973821988</v>
      </c>
      <c r="D8" s="16">
        <f>MEDIAN(Rent_Data!$J$8:$J$9)</f>
        <v>408691.09947643976</v>
      </c>
      <c r="E8" s="16">
        <f>PERCENTILE(Rent_Data!$J$8:$J$9,0.75)</f>
        <v>453036.6492146597</v>
      </c>
      <c r="F8" s="18">
        <f>COUNT(Rent_Data!$J$8:$J$9)</f>
        <v>2</v>
      </c>
      <c r="G8" s="42">
        <v>120000</v>
      </c>
      <c r="H8" s="93">
        <v>1.1000000000000001</v>
      </c>
      <c r="I8" s="92"/>
      <c r="J8" s="92"/>
      <c r="K8" s="92"/>
      <c r="L8" s="92"/>
      <c r="M8" s="92"/>
      <c r="N8" s="92"/>
      <c r="O8" s="56">
        <f t="shared" ref="O8:O13" si="0">SUMPRODUCT(I8:N8,$I$5:$N$5)</f>
        <v>0</v>
      </c>
      <c r="P8" s="16">
        <f>(D8*(1+Inputs!$H$27)+G8)*Inputs!$H$21*Inputs!$H$22</f>
        <v>79303664.921465963</v>
      </c>
      <c r="Q8" s="16">
        <f>Scenarios!$F$13*H8</f>
        <v>809193000.00000012</v>
      </c>
      <c r="R8" s="55">
        <f t="shared" ref="R8:R13" si="1">P8/Q8</f>
        <v>9.8003399586335957E-2</v>
      </c>
      <c r="S8" s="16">
        <f>Q8*Scenarios!$F$24-(Scenarios!$F$32+P8)</f>
        <v>135852150.9284808</v>
      </c>
      <c r="T8" s="16">
        <f>(Scenarios!$F$32+P8)/Scenarios!$F$24/Inputs!$H$12</f>
        <v>19152451.964932319</v>
      </c>
      <c r="U8" s="53">
        <f t="shared" ref="U8:U13" si="2">0.12*Q8</f>
        <v>97103160.000000015</v>
      </c>
    </row>
    <row r="9" spans="1:22" ht="15" customHeight="1" x14ac:dyDescent="0.2">
      <c r="A9" s="12" t="s">
        <v>665</v>
      </c>
      <c r="B9" s="25">
        <v>1</v>
      </c>
      <c r="C9" s="16">
        <f>IF($F$9&gt;=3,PERCENTILE(Rent_Data!$J$11:$J$11,0.25),C10*$V$9)</f>
        <v>205161.38392857145</v>
      </c>
      <c r="D9" s="16">
        <f>IF($F$9&gt;=3,MEDIAN(Rent_Data!$J$11:$J$11),D10*$V$9)</f>
        <v>251828.125</v>
      </c>
      <c r="E9" s="16">
        <f>IF($F$9&gt;=3,PERCENTILE(Rent_Data!$J$11:$J$11,0.75),E10*$V$9)</f>
        <v>351857.86555786559</v>
      </c>
      <c r="F9" s="18">
        <f>COUNT(Rent_Data!$J$11:$J$11)</f>
        <v>1</v>
      </c>
      <c r="G9" s="42">
        <v>0</v>
      </c>
      <c r="H9" s="93">
        <v>1</v>
      </c>
      <c r="I9" s="92"/>
      <c r="J9" s="92"/>
      <c r="K9" s="92"/>
      <c r="L9" s="92"/>
      <c r="M9" s="92"/>
      <c r="N9" s="92"/>
      <c r="O9" s="56">
        <f t="shared" si="0"/>
        <v>0</v>
      </c>
      <c r="P9" s="16">
        <f>(D9*(1+Inputs!$H$27)+G9)*Inputs!$H$21*Inputs!$H$22</f>
        <v>37774218.75</v>
      </c>
      <c r="Q9" s="16">
        <f>Scenarios!$F$13*H9</f>
        <v>735630000</v>
      </c>
      <c r="R9" s="55">
        <f t="shared" si="1"/>
        <v>5.1349481057053135E-2</v>
      </c>
      <c r="S9" s="16">
        <f>Q9*Scenarios!$F$24-(Scenarios!$F$32+P9)</f>
        <v>134786270.24237573</v>
      </c>
      <c r="T9" s="16">
        <f>(Scenarios!$F$32+P9)/Scenarios!$F$24/Inputs!$H$12</f>
        <v>16761711.88920611</v>
      </c>
      <c r="U9" s="53">
        <f t="shared" si="2"/>
        <v>88275600</v>
      </c>
      <c r="V9" s="50">
        <v>2.27</v>
      </c>
    </row>
    <row r="10" spans="1:22" ht="15" customHeight="1" x14ac:dyDescent="0.2">
      <c r="A10" s="12" t="s">
        <v>677</v>
      </c>
      <c r="B10" s="25">
        <v>1</v>
      </c>
      <c r="C10" s="16">
        <f>PERCENTILE(Rent_Data!$J$13:$J$22,0.25)</f>
        <v>90379.46428571429</v>
      </c>
      <c r="D10" s="16">
        <f>MEDIAN(Rent_Data!$J$13:$J$22)</f>
        <v>110937.5</v>
      </c>
      <c r="E10" s="16">
        <f>PERCENTILE(Rent_Data!$J$13:$J$22,0.75)</f>
        <v>155003.46500346501</v>
      </c>
      <c r="F10" s="18">
        <f>COUNT(Rent_Data!$J$13:$J$22)</f>
        <v>10</v>
      </c>
      <c r="G10" s="42">
        <v>0</v>
      </c>
      <c r="H10" s="93">
        <v>0.9</v>
      </c>
      <c r="I10" s="92"/>
      <c r="J10" s="92"/>
      <c r="K10" s="92"/>
      <c r="L10" s="92"/>
      <c r="M10" s="92"/>
      <c r="N10" s="92"/>
      <c r="O10" s="56">
        <f t="shared" si="0"/>
        <v>0</v>
      </c>
      <c r="P10" s="16">
        <f>(D10*(1+Inputs!$H$27)+G10)*Inputs!$H$21*Inputs!$H$22</f>
        <v>16640625</v>
      </c>
      <c r="Q10" s="16">
        <f>Scenarios!$F$13*H10</f>
        <v>662067000</v>
      </c>
      <c r="R10" s="55">
        <f t="shared" si="1"/>
        <v>2.5134351961357385E-2</v>
      </c>
      <c r="S10" s="16">
        <f>Q10*Scenarios!$F$24-(Scenarios!$F$32+P10)</f>
        <v>113324537.13480484</v>
      </c>
      <c r="T10" s="16">
        <f>(Scenarios!$F$32+P10)/Scenarios!$F$24/Inputs!$H$12</f>
        <v>15545106.945484115</v>
      </c>
      <c r="U10" s="53">
        <f t="shared" si="2"/>
        <v>79448040</v>
      </c>
    </row>
    <row r="11" spans="1:22" ht="15" customHeight="1" x14ac:dyDescent="0.2">
      <c r="A11" s="12" t="s">
        <v>725</v>
      </c>
      <c r="B11" s="25">
        <v>1</v>
      </c>
      <c r="C11" s="16">
        <f>PERCENTILE(Rent_Data!$J$24:$J$25,0.25)</f>
        <v>267045.45454545453</v>
      </c>
      <c r="D11" s="16">
        <f>MEDIAN(Rent_Data!$J$24:$J$25)</f>
        <v>284090.90909090906</v>
      </c>
      <c r="E11" s="16">
        <f>PERCENTILE(Rent_Data!$J$24:$J$25,0.75)</f>
        <v>301136.36363636365</v>
      </c>
      <c r="F11" s="18">
        <f>COUNT(Rent_Data!$J$24:$J$25)</f>
        <v>2</v>
      </c>
      <c r="G11" s="42">
        <v>50000</v>
      </c>
      <c r="H11" s="93">
        <v>0.9</v>
      </c>
      <c r="I11" s="92"/>
      <c r="J11" s="92"/>
      <c r="K11" s="92"/>
      <c r="L11" s="92"/>
      <c r="M11" s="92"/>
      <c r="N11" s="92"/>
      <c r="O11" s="56">
        <f t="shared" si="0"/>
        <v>0</v>
      </c>
      <c r="P11" s="16">
        <f>(D11*(1+Inputs!$H$27)+G11)*Inputs!$H$21*Inputs!$H$22</f>
        <v>50113636.36363636</v>
      </c>
      <c r="Q11" s="16">
        <f>Scenarios!$F$13*H11</f>
        <v>662067000</v>
      </c>
      <c r="R11" s="55">
        <f t="shared" si="1"/>
        <v>7.5692696303601231E-2</v>
      </c>
      <c r="S11" s="16">
        <f>Q11*Scenarios!$F$24-(Scenarios!$F$32+P11)</f>
        <v>79851525.77116847</v>
      </c>
      <c r="T11" s="16">
        <f>(Scenarios!$F$32+P11)/Scenarios!$F$24/Inputs!$H$12</f>
        <v>17472059.435817782</v>
      </c>
      <c r="U11" s="53">
        <f t="shared" si="2"/>
        <v>79448040</v>
      </c>
    </row>
    <row r="12" spans="1:22" ht="15" customHeight="1" x14ac:dyDescent="0.2">
      <c r="A12" s="12" t="s">
        <v>101</v>
      </c>
      <c r="B12" s="25">
        <v>2</v>
      </c>
      <c r="C12" s="16">
        <f>PERCENTILE(Rent_Data!$J$27:$J$38,0.25)</f>
        <v>124338.23529411765</v>
      </c>
      <c r="D12" s="16">
        <f>MEDIAN(Rent_Data!$J$27:$J$38)</f>
        <v>145916.66666666669</v>
      </c>
      <c r="E12" s="16">
        <f>PERCENTILE(Rent_Data!$J$27:$J$38,0.75)</f>
        <v>184759.35828877005</v>
      </c>
      <c r="F12" s="18">
        <f>COUNT(Rent_Data!$J$27:$J$38)</f>
        <v>12</v>
      </c>
      <c r="G12" s="42">
        <v>0</v>
      </c>
      <c r="H12" s="93">
        <v>0.85</v>
      </c>
      <c r="I12" s="92"/>
      <c r="J12" s="92"/>
      <c r="K12" s="92"/>
      <c r="L12" s="92"/>
      <c r="M12" s="92"/>
      <c r="N12" s="92"/>
      <c r="O12" s="56">
        <f t="shared" si="0"/>
        <v>0</v>
      </c>
      <c r="P12" s="16">
        <f>(D12*(1+Inputs!$H$27)+G12)*Inputs!$H$21*Inputs!$H$22</f>
        <v>21887500.000000004</v>
      </c>
      <c r="Q12" s="16">
        <f>Scenarios!$F$13*H12</f>
        <v>625285500</v>
      </c>
      <c r="R12" s="55">
        <f t="shared" si="1"/>
        <v>3.5004010168155193E-2</v>
      </c>
      <c r="S12" s="16">
        <f>Q12*Scenarios!$F$24-(Scenarios!$F$32+P12)</f>
        <v>86779998.706019402</v>
      </c>
      <c r="T12" s="16">
        <f>(Scenarios!$F$32+P12)/Scenarios!$F$24/Inputs!$H$12</f>
        <v>15847155.623981655</v>
      </c>
      <c r="U12" s="53">
        <f t="shared" si="2"/>
        <v>75034260</v>
      </c>
    </row>
    <row r="13" spans="1:22" ht="15" customHeight="1" x14ac:dyDescent="0.2">
      <c r="A13" s="12" t="s">
        <v>799</v>
      </c>
      <c r="B13" s="25">
        <v>2</v>
      </c>
      <c r="C13" s="16">
        <f>PERCENTILE(Rent_Data!$J$40:$J$42,0.25)</f>
        <v>69213.57860520095</v>
      </c>
      <c r="D13" s="16">
        <f>MEDIAN(Rent_Data!$J$40:$J$42)</f>
        <v>91145.833333333343</v>
      </c>
      <c r="E13" s="16">
        <f>PERCENTILE(Rent_Data!$J$40:$J$42,0.75)</f>
        <v>109024.69331641286</v>
      </c>
      <c r="F13" s="18">
        <f>COUNT(Rent_Data!$J$40:$J$42)</f>
        <v>3</v>
      </c>
      <c r="G13" s="42">
        <v>0</v>
      </c>
      <c r="H13" s="93">
        <v>0.95</v>
      </c>
      <c r="I13" s="92"/>
      <c r="J13" s="92"/>
      <c r="K13" s="92"/>
      <c r="L13" s="92"/>
      <c r="M13" s="92"/>
      <c r="N13" s="92"/>
      <c r="O13" s="56">
        <f t="shared" si="0"/>
        <v>0</v>
      </c>
      <c r="P13" s="16">
        <f>(D13*(1+Inputs!$H$27)+G13)*Inputs!$H$21*Inputs!$H$22</f>
        <v>13671875.000000002</v>
      </c>
      <c r="Q13" s="16">
        <f>Scenarios!$F$13*H13</f>
        <v>698848500</v>
      </c>
      <c r="R13" s="55">
        <f t="shared" si="1"/>
        <v>1.9563431845385663E-2</v>
      </c>
      <c r="S13" s="16">
        <f>Q13*Scenarios!$F$24-(Scenarios!$F$32+P13)</f>
        <v>137590950.56359029</v>
      </c>
      <c r="T13" s="16">
        <f>(Scenarios!$F$32+P13)/Scenarios!$F$24/Inputs!$H$12</f>
        <v>15374203.881414633</v>
      </c>
      <c r="U13" s="53">
        <f t="shared" si="2"/>
        <v>83861820</v>
      </c>
    </row>
    <row r="16" spans="1:22" ht="15" customHeight="1" x14ac:dyDescent="0.2">
      <c r="A16" s="11" t="s">
        <v>862</v>
      </c>
    </row>
    <row r="17" spans="1:19" ht="15" customHeight="1" x14ac:dyDescent="0.2">
      <c r="A17" s="11" t="s">
        <v>863</v>
      </c>
    </row>
    <row r="18" spans="1:19" ht="15" customHeight="1" x14ac:dyDescent="0.2">
      <c r="A18" s="11" t="s">
        <v>864</v>
      </c>
    </row>
    <row r="19" spans="1:19" ht="15" customHeight="1" x14ac:dyDescent="0.2">
      <c r="A19" s="11" t="s">
        <v>865</v>
      </c>
    </row>
    <row r="20" spans="1:19" ht="15" customHeight="1" x14ac:dyDescent="0.2">
      <c r="A20" s="11" t="s">
        <v>866</v>
      </c>
    </row>
    <row r="23" spans="1:19" ht="15.75" customHeight="1" x14ac:dyDescent="0.2">
      <c r="A23" s="118" t="s">
        <v>867</v>
      </c>
    </row>
    <row r="24" spans="1:19" ht="27" customHeight="1" x14ac:dyDescent="0.2">
      <c r="A24" s="195" t="s">
        <v>114</v>
      </c>
      <c r="B24" s="196"/>
      <c r="C24" s="196"/>
      <c r="D24" s="195" t="s">
        <v>115</v>
      </c>
      <c r="E24" s="196"/>
      <c r="F24" s="195" t="s">
        <v>116</v>
      </c>
      <c r="G24" s="196"/>
      <c r="H24" s="196"/>
      <c r="I24" s="195" t="s">
        <v>117</v>
      </c>
      <c r="J24" s="196"/>
      <c r="K24" s="196"/>
      <c r="L24" s="196"/>
      <c r="M24" s="196"/>
      <c r="N24" s="196"/>
      <c r="O24" s="196"/>
      <c r="P24" s="196"/>
      <c r="Q24" s="195" t="s">
        <v>22</v>
      </c>
      <c r="R24" s="196"/>
      <c r="S24" s="196"/>
    </row>
    <row r="25" spans="1:19" ht="15" customHeight="1" x14ac:dyDescent="0.2">
      <c r="A25" s="197" t="s">
        <v>868</v>
      </c>
      <c r="B25" s="198"/>
      <c r="C25" s="199"/>
      <c r="D25" s="203">
        <f>Location!D9</f>
        <v>251828.125</v>
      </c>
      <c r="E25" s="199"/>
      <c r="F25" s="197" t="s">
        <v>869</v>
      </c>
      <c r="G25" s="198"/>
      <c r="H25" s="199"/>
      <c r="I25" s="197" t="s">
        <v>870</v>
      </c>
      <c r="J25" s="198"/>
      <c r="K25" s="198"/>
      <c r="L25" s="198"/>
      <c r="M25" s="198"/>
      <c r="N25" s="198"/>
      <c r="O25" s="198"/>
      <c r="P25" s="199"/>
      <c r="Q25" s="201" t="s">
        <v>257</v>
      </c>
      <c r="R25" s="198"/>
      <c r="S25" s="199"/>
    </row>
    <row r="26" spans="1:19" ht="40.5" customHeight="1" x14ac:dyDescent="0.2">
      <c r="A26" s="197" t="s">
        <v>871</v>
      </c>
      <c r="B26" s="198"/>
      <c r="C26" s="199"/>
      <c r="D26" s="203">
        <f>Location!G8</f>
        <v>120000</v>
      </c>
      <c r="E26" s="199"/>
      <c r="F26" s="197" t="s">
        <v>872</v>
      </c>
      <c r="G26" s="198"/>
      <c r="H26" s="199"/>
      <c r="I26" s="197" t="s">
        <v>873</v>
      </c>
      <c r="J26" s="198"/>
      <c r="K26" s="198"/>
      <c r="L26" s="198"/>
      <c r="M26" s="198"/>
      <c r="N26" s="198"/>
      <c r="O26" s="198"/>
      <c r="P26" s="199"/>
      <c r="Q26" s="204" t="s">
        <v>27</v>
      </c>
      <c r="R26" s="198"/>
      <c r="S26" s="199"/>
    </row>
    <row r="27" spans="1:19" ht="27" customHeight="1" x14ac:dyDescent="0.2">
      <c r="A27" s="197" t="s">
        <v>874</v>
      </c>
      <c r="B27" s="198"/>
      <c r="C27" s="199"/>
      <c r="D27" s="203">
        <f>Location!H9</f>
        <v>1</v>
      </c>
      <c r="E27" s="199"/>
      <c r="F27" s="197" t="s">
        <v>875</v>
      </c>
      <c r="G27" s="198"/>
      <c r="H27" s="199"/>
      <c r="I27" s="197" t="s">
        <v>876</v>
      </c>
      <c r="J27" s="198"/>
      <c r="K27" s="198"/>
      <c r="L27" s="198"/>
      <c r="M27" s="198"/>
      <c r="N27" s="198"/>
      <c r="O27" s="198"/>
      <c r="P27" s="199"/>
      <c r="Q27" s="205" t="s">
        <v>127</v>
      </c>
      <c r="R27" s="198"/>
      <c r="S27" s="199"/>
    </row>
    <row r="28" spans="1:19" ht="27" customHeight="1" x14ac:dyDescent="0.2">
      <c r="A28" s="197" t="s">
        <v>877</v>
      </c>
      <c r="B28" s="198"/>
      <c r="C28" s="199"/>
      <c r="D28" s="202" t="s">
        <v>125</v>
      </c>
      <c r="E28" s="199"/>
      <c r="F28" s="197" t="s">
        <v>878</v>
      </c>
      <c r="G28" s="198"/>
      <c r="H28" s="199"/>
      <c r="I28" s="197" t="s">
        <v>879</v>
      </c>
      <c r="J28" s="198"/>
      <c r="K28" s="198"/>
      <c r="L28" s="198"/>
      <c r="M28" s="198"/>
      <c r="N28" s="198"/>
      <c r="O28" s="198"/>
      <c r="P28" s="199"/>
      <c r="Q28" s="205" t="s">
        <v>127</v>
      </c>
      <c r="R28" s="198"/>
      <c r="S28" s="199"/>
    </row>
    <row r="29" spans="1:19" ht="15" customHeight="1" x14ac:dyDescent="0.2">
      <c r="A29" s="197" t="s">
        <v>880</v>
      </c>
      <c r="B29" s="198"/>
      <c r="C29" s="199"/>
      <c r="D29" s="203">
        <f>Location!O5</f>
        <v>1</v>
      </c>
      <c r="E29" s="199"/>
      <c r="F29" s="197" t="s">
        <v>125</v>
      </c>
      <c r="G29" s="198"/>
      <c r="H29" s="199"/>
      <c r="I29" s="197" t="s">
        <v>881</v>
      </c>
      <c r="J29" s="198"/>
      <c r="K29" s="198"/>
      <c r="L29" s="198"/>
      <c r="M29" s="198"/>
      <c r="N29" s="198"/>
      <c r="O29" s="198"/>
      <c r="P29" s="199"/>
      <c r="Q29" s="200" t="s">
        <v>234</v>
      </c>
      <c r="R29" s="198"/>
      <c r="S29" s="199"/>
    </row>
    <row r="30" spans="1:19" ht="15" customHeight="1" x14ac:dyDescent="0.2">
      <c r="A30" s="197" t="s">
        <v>882</v>
      </c>
      <c r="B30" s="198"/>
      <c r="C30" s="199"/>
      <c r="D30" s="203">
        <f>Location!Q9</f>
        <v>735630000</v>
      </c>
      <c r="E30" s="199"/>
      <c r="F30" s="197" t="s">
        <v>883</v>
      </c>
      <c r="G30" s="198"/>
      <c r="H30" s="199"/>
      <c r="I30" s="197" t="s">
        <v>884</v>
      </c>
      <c r="J30" s="198"/>
      <c r="K30" s="198"/>
      <c r="L30" s="198"/>
      <c r="M30" s="198"/>
      <c r="N30" s="198"/>
      <c r="O30" s="198"/>
      <c r="P30" s="199"/>
      <c r="Q30" s="200" t="s">
        <v>138</v>
      </c>
      <c r="R30" s="198"/>
      <c r="S30" s="199"/>
    </row>
    <row r="31" spans="1:19" ht="27" customHeight="1" x14ac:dyDescent="0.2">
      <c r="A31" s="197" t="s">
        <v>885</v>
      </c>
      <c r="B31" s="198"/>
      <c r="C31" s="199"/>
      <c r="D31" s="206">
        <f>Location!R9</f>
        <v>5.1349481057053135E-2</v>
      </c>
      <c r="E31" s="199"/>
      <c r="F31" s="197" t="s">
        <v>886</v>
      </c>
      <c r="G31" s="198"/>
      <c r="H31" s="199"/>
      <c r="I31" s="197" t="s">
        <v>887</v>
      </c>
      <c r="J31" s="198"/>
      <c r="K31" s="198"/>
      <c r="L31" s="198"/>
      <c r="M31" s="198"/>
      <c r="N31" s="198"/>
      <c r="O31" s="198"/>
      <c r="P31" s="199"/>
      <c r="Q31" s="201" t="s">
        <v>257</v>
      </c>
      <c r="R31" s="198"/>
      <c r="S31" s="199"/>
    </row>
  </sheetData>
  <mergeCells count="40">
    <mergeCell ref="D28:E28"/>
    <mergeCell ref="A25:C25"/>
    <mergeCell ref="Q29:S29"/>
    <mergeCell ref="I30:P30"/>
    <mergeCell ref="Q26:S26"/>
    <mergeCell ref="A27:C27"/>
    <mergeCell ref="F26:H26"/>
    <mergeCell ref="I25:P25"/>
    <mergeCell ref="F24:H24"/>
    <mergeCell ref="Q31:S31"/>
    <mergeCell ref="D31:E31"/>
    <mergeCell ref="I27:P27"/>
    <mergeCell ref="A26:C26"/>
    <mergeCell ref="I26:P26"/>
    <mergeCell ref="F28:H28"/>
    <mergeCell ref="F31:H31"/>
    <mergeCell ref="Q27:S27"/>
    <mergeCell ref="F27:H27"/>
    <mergeCell ref="D27:E27"/>
    <mergeCell ref="Q30:S30"/>
    <mergeCell ref="I28:P28"/>
    <mergeCell ref="A29:C29"/>
    <mergeCell ref="A28:C28"/>
    <mergeCell ref="A31:C31"/>
    <mergeCell ref="I31:P31"/>
    <mergeCell ref="I24:P24"/>
    <mergeCell ref="A30:C30"/>
    <mergeCell ref="Q25:S25"/>
    <mergeCell ref="F29:H29"/>
    <mergeCell ref="A24:C24"/>
    <mergeCell ref="F25:H25"/>
    <mergeCell ref="D25:E25"/>
    <mergeCell ref="Q28:S28"/>
    <mergeCell ref="D30:E30"/>
    <mergeCell ref="D24:E24"/>
    <mergeCell ref="I29:P29"/>
    <mergeCell ref="D29:E29"/>
    <mergeCell ref="Q24:S24"/>
    <mergeCell ref="F30:H30"/>
    <mergeCell ref="D26:E2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1"/>
  <sheetViews>
    <sheetView showGridLines="0" zoomScale="79" zoomScaleNormal="100" workbookViewId="0">
      <pane xSplit="2" ySplit="6" topLeftCell="EL7" activePane="bottomRight" state="frozen"/>
      <selection pane="topRight" activeCell="C1" sqref="C1"/>
      <selection pane="bottomLeft" activeCell="A5" sqref="A5"/>
      <selection pane="bottomRight" activeCell="G14" sqref="G14"/>
    </sheetView>
  </sheetViews>
  <sheetFormatPr baseColWidth="10" defaultColWidth="8.6640625" defaultRowHeight="15" x14ac:dyDescent="0.2"/>
  <cols>
    <col min="1" max="1" width="16" customWidth="1"/>
    <col min="2" max="2" width="52.33203125" bestFit="1" customWidth="1"/>
    <col min="3" max="4" width="13" customWidth="1"/>
    <col min="5" max="5" width="9" customWidth="1"/>
    <col min="6" max="6" width="13" customWidth="1"/>
    <col min="7" max="7" width="11" customWidth="1"/>
    <col min="8" max="9" width="14" customWidth="1"/>
    <col min="10" max="11" width="9" customWidth="1"/>
    <col min="12" max="12" width="13" customWidth="1"/>
    <col min="13" max="14" width="14" customWidth="1"/>
    <col min="15" max="16" width="48" customWidth="1"/>
    <col min="17" max="17" width="20" customWidth="1"/>
  </cols>
  <sheetData>
    <row r="1" spans="1:17" ht="17.25" customHeight="1" x14ac:dyDescent="0.2">
      <c r="A1" s="115" t="s">
        <v>0</v>
      </c>
    </row>
    <row r="2" spans="1:17" ht="15" customHeight="1" x14ac:dyDescent="0.2">
      <c r="A2" s="11" t="s">
        <v>1</v>
      </c>
    </row>
    <row r="3" spans="1:17" x14ac:dyDescent="0.2">
      <c r="A3" t="s">
        <v>2</v>
      </c>
      <c r="B3" s="97" t="s">
        <v>3</v>
      </c>
      <c r="C3" s="97"/>
      <c r="D3" s="97"/>
      <c r="E3" s="97"/>
      <c r="F3" s="97"/>
      <c r="G3" s="97"/>
      <c r="H3" s="97"/>
      <c r="I3" s="97"/>
      <c r="J3" s="97"/>
    </row>
    <row r="4" spans="1:17" x14ac:dyDescent="0.2">
      <c r="B4" s="97" t="s">
        <v>4</v>
      </c>
      <c r="C4" s="97"/>
      <c r="D4" s="97"/>
      <c r="E4" s="97"/>
      <c r="F4" s="97"/>
      <c r="G4" s="97"/>
      <c r="H4" s="97"/>
    </row>
    <row r="5" spans="1:17" x14ac:dyDescent="0.2">
      <c r="B5" s="97" t="s">
        <v>5</v>
      </c>
      <c r="C5" s="97"/>
      <c r="D5" s="97"/>
      <c r="E5" s="97"/>
      <c r="F5" s="97"/>
      <c r="G5" s="97"/>
      <c r="H5" s="97"/>
    </row>
    <row r="6" spans="1:17" ht="34.5" customHeight="1" x14ac:dyDescent="0.2">
      <c r="A6" s="117" t="s">
        <v>6</v>
      </c>
      <c r="B6" s="117" t="s">
        <v>7</v>
      </c>
      <c r="C6" s="117" t="s">
        <v>8</v>
      </c>
      <c r="D6" s="117" t="s">
        <v>9</v>
      </c>
      <c r="E6" s="117" t="s">
        <v>10</v>
      </c>
      <c r="F6" s="117" t="s">
        <v>11</v>
      </c>
      <c r="G6" s="117" t="s">
        <v>12</v>
      </c>
      <c r="H6" s="117" t="s">
        <v>13</v>
      </c>
      <c r="I6" s="117" t="s">
        <v>14</v>
      </c>
      <c r="J6" s="117" t="s">
        <v>15</v>
      </c>
      <c r="K6" s="117" t="s">
        <v>16</v>
      </c>
      <c r="L6" s="117" t="s">
        <v>17</v>
      </c>
      <c r="M6" s="117" t="s">
        <v>18</v>
      </c>
      <c r="N6" s="117" t="s">
        <v>19</v>
      </c>
      <c r="O6" s="119" t="s">
        <v>20</v>
      </c>
      <c r="P6" s="119" t="s">
        <v>21</v>
      </c>
      <c r="Q6" s="119" t="s">
        <v>22</v>
      </c>
    </row>
    <row r="7" spans="1:17" ht="40.5" customHeight="1" x14ac:dyDescent="0.2">
      <c r="A7" s="15" t="s">
        <v>23</v>
      </c>
      <c r="B7" s="15" t="s">
        <v>24</v>
      </c>
      <c r="C7" s="42">
        <v>89000</v>
      </c>
      <c r="D7" s="42">
        <v>24000</v>
      </c>
      <c r="E7" s="55">
        <f t="shared" ref="E7:E26" si="0">D7/C7</f>
        <v>0.2696629213483146</v>
      </c>
      <c r="F7" s="53">
        <f t="shared" ref="F7:F26" si="1">C7-D7</f>
        <v>65000</v>
      </c>
      <c r="G7" s="128">
        <v>12</v>
      </c>
      <c r="H7" s="53">
        <f t="shared" ref="H7:H26" si="2">C7*G7</f>
        <v>1068000</v>
      </c>
      <c r="I7" s="53">
        <f t="shared" ref="I7:I26" si="3">D7*G7</f>
        <v>288000</v>
      </c>
      <c r="J7" s="55">
        <f t="shared" ref="J7:J26" si="4">H7/SUM($H$7:$H$26)</f>
        <v>0.1066719936076708</v>
      </c>
      <c r="K7" s="55">
        <f t="shared" ref="K7:K26" si="5">G7/SUMIF($A$7:$A$26,A7,$G$7:$G$26)</f>
        <v>0.21818181818181817</v>
      </c>
      <c r="L7" s="15" t="str">
        <f t="shared" ref="L7:L26" si="6">IF(AND(F7&gt;=SUMIF($A$7:$A$26,A7,$M$7:$M$26)/SUMIF($A$7:$A$26,A7,$G$7:$G$26),K7&gt;=0.7/COUNTIF($A$7:$A$26,A7)),"Star",IF(K7&gt;=0.7/COUNTIF($A$7:$A$26,A7),"Plowhorse",IF(F7&gt;=SUMIF($A$7:$A$26,A7,$M$7:$M$26)/SUMIF($A$7:$A$26,A7,$G$7:$G$26),"Puzzle","Dog")))</f>
        <v>Plowhorse</v>
      </c>
      <c r="M7" s="53">
        <f t="shared" ref="M7:M26" si="7">F7*G7</f>
        <v>780000</v>
      </c>
      <c r="N7" s="16">
        <f>C7*(1+Inputs!$H$17)</f>
        <v>97900.000000000015</v>
      </c>
      <c r="O7" s="13" t="s">
        <v>25</v>
      </c>
      <c r="P7" s="13" t="s">
        <v>26</v>
      </c>
      <c r="Q7" s="57" t="s">
        <v>27</v>
      </c>
    </row>
    <row r="8" spans="1:17" ht="40.5" customHeight="1" x14ac:dyDescent="0.2">
      <c r="A8" s="15" t="s">
        <v>23</v>
      </c>
      <c r="B8" s="15" t="s">
        <v>28</v>
      </c>
      <c r="C8" s="42">
        <v>98000</v>
      </c>
      <c r="D8" s="42">
        <v>30000</v>
      </c>
      <c r="E8" s="55">
        <f t="shared" si="0"/>
        <v>0.30612244897959184</v>
      </c>
      <c r="F8" s="53">
        <f t="shared" si="1"/>
        <v>68000</v>
      </c>
      <c r="G8" s="128">
        <v>15</v>
      </c>
      <c r="H8" s="53">
        <f t="shared" si="2"/>
        <v>1470000</v>
      </c>
      <c r="I8" s="53">
        <f t="shared" si="3"/>
        <v>450000</v>
      </c>
      <c r="J8" s="55">
        <f t="shared" si="4"/>
        <v>0.14682381142628845</v>
      </c>
      <c r="K8" s="55">
        <f t="shared" si="5"/>
        <v>0.27272727272727271</v>
      </c>
      <c r="L8" s="15" t="str">
        <f t="shared" si="6"/>
        <v>Plowhorse</v>
      </c>
      <c r="M8" s="53">
        <f t="shared" si="7"/>
        <v>1020000</v>
      </c>
      <c r="N8" s="16">
        <f>C8*(1+Inputs!$H$17)</f>
        <v>107800.00000000001</v>
      </c>
      <c r="O8" s="13" t="s">
        <v>25</v>
      </c>
      <c r="P8" s="13" t="s">
        <v>29</v>
      </c>
      <c r="Q8" s="57" t="s">
        <v>27</v>
      </c>
    </row>
    <row r="9" spans="1:17" ht="40.5" customHeight="1" x14ac:dyDescent="0.2">
      <c r="A9" s="15" t="s">
        <v>23</v>
      </c>
      <c r="B9" s="15" t="s">
        <v>30</v>
      </c>
      <c r="C9" s="42">
        <v>105000</v>
      </c>
      <c r="D9" s="42">
        <v>34000</v>
      </c>
      <c r="E9" s="55">
        <f t="shared" si="0"/>
        <v>0.32380952380952382</v>
      </c>
      <c r="F9" s="53">
        <f t="shared" si="1"/>
        <v>71000</v>
      </c>
      <c r="G9" s="128">
        <v>11</v>
      </c>
      <c r="H9" s="53">
        <f t="shared" si="2"/>
        <v>1155000</v>
      </c>
      <c r="I9" s="53">
        <f t="shared" si="3"/>
        <v>374000</v>
      </c>
      <c r="J9" s="55">
        <f t="shared" si="4"/>
        <v>0.11536156612065522</v>
      </c>
      <c r="K9" s="55">
        <f t="shared" si="5"/>
        <v>0.2</v>
      </c>
      <c r="L9" s="15" t="str">
        <f t="shared" si="6"/>
        <v>Star</v>
      </c>
      <c r="M9" s="53">
        <f t="shared" si="7"/>
        <v>781000</v>
      </c>
      <c r="N9" s="16">
        <f>C9*(1+Inputs!$H$17)</f>
        <v>115500.00000000001</v>
      </c>
      <c r="O9" s="13" t="s">
        <v>25</v>
      </c>
      <c r="P9" s="13" t="s">
        <v>31</v>
      </c>
      <c r="Q9" s="57" t="s">
        <v>27</v>
      </c>
    </row>
    <row r="10" spans="1:17" ht="40.5" customHeight="1" x14ac:dyDescent="0.2">
      <c r="A10" s="15" t="s">
        <v>23</v>
      </c>
      <c r="B10" s="15" t="s">
        <v>32</v>
      </c>
      <c r="C10" s="42">
        <v>95000</v>
      </c>
      <c r="D10" s="42">
        <v>28000</v>
      </c>
      <c r="E10" s="55">
        <f t="shared" si="0"/>
        <v>0.29473684210526313</v>
      </c>
      <c r="F10" s="53">
        <f t="shared" si="1"/>
        <v>67000</v>
      </c>
      <c r="G10" s="128">
        <v>8</v>
      </c>
      <c r="H10" s="53">
        <f t="shared" si="2"/>
        <v>760000</v>
      </c>
      <c r="I10" s="53">
        <f t="shared" si="3"/>
        <v>224000</v>
      </c>
      <c r="J10" s="55">
        <f t="shared" si="4"/>
        <v>7.5908909308829403E-2</v>
      </c>
      <c r="K10" s="55">
        <f t="shared" si="5"/>
        <v>0.14545454545454545</v>
      </c>
      <c r="L10" s="15" t="str">
        <f t="shared" si="6"/>
        <v>Plowhorse</v>
      </c>
      <c r="M10" s="53">
        <f t="shared" si="7"/>
        <v>536000</v>
      </c>
      <c r="N10" s="16">
        <f>C10*(1+Inputs!$H$17)</f>
        <v>104500.00000000001</v>
      </c>
      <c r="O10" s="13" t="s">
        <v>25</v>
      </c>
      <c r="P10" s="13" t="s">
        <v>33</v>
      </c>
      <c r="Q10" s="57" t="s">
        <v>27</v>
      </c>
    </row>
    <row r="11" spans="1:17" ht="40.5" customHeight="1" x14ac:dyDescent="0.2">
      <c r="A11" s="15" t="s">
        <v>23</v>
      </c>
      <c r="B11" s="15" t="s">
        <v>34</v>
      </c>
      <c r="C11" s="42">
        <v>135000</v>
      </c>
      <c r="D11" s="42">
        <v>45000</v>
      </c>
      <c r="E11" s="55">
        <f t="shared" si="0"/>
        <v>0.33333333333333331</v>
      </c>
      <c r="F11" s="53">
        <f t="shared" si="1"/>
        <v>90000</v>
      </c>
      <c r="G11" s="128">
        <v>5</v>
      </c>
      <c r="H11" s="53">
        <f t="shared" si="2"/>
        <v>675000</v>
      </c>
      <c r="I11" s="53">
        <f t="shared" si="3"/>
        <v>225000</v>
      </c>
      <c r="J11" s="55">
        <f t="shared" si="4"/>
        <v>6.7419097083499802E-2</v>
      </c>
      <c r="K11" s="55">
        <f t="shared" si="5"/>
        <v>9.0909090909090912E-2</v>
      </c>
      <c r="L11" s="15" t="str">
        <f t="shared" si="6"/>
        <v>Puzzle</v>
      </c>
      <c r="M11" s="53">
        <f t="shared" si="7"/>
        <v>450000</v>
      </c>
      <c r="N11" s="16">
        <f>C11*(1+Inputs!$H$17)</f>
        <v>148500</v>
      </c>
      <c r="O11" s="13" t="s">
        <v>25</v>
      </c>
      <c r="P11" s="13" t="s">
        <v>35</v>
      </c>
      <c r="Q11" s="57" t="s">
        <v>27</v>
      </c>
    </row>
    <row r="12" spans="1:17" ht="40.5" customHeight="1" x14ac:dyDescent="0.2">
      <c r="A12" s="15" t="s">
        <v>23</v>
      </c>
      <c r="B12" s="15" t="s">
        <v>36</v>
      </c>
      <c r="C12" s="42">
        <v>82000</v>
      </c>
      <c r="D12" s="42">
        <v>20000</v>
      </c>
      <c r="E12" s="55">
        <f t="shared" si="0"/>
        <v>0.24390243902439024</v>
      </c>
      <c r="F12" s="53">
        <f t="shared" si="1"/>
        <v>62000</v>
      </c>
      <c r="G12" s="128">
        <v>4</v>
      </c>
      <c r="H12" s="53">
        <f t="shared" si="2"/>
        <v>328000</v>
      </c>
      <c r="I12" s="53">
        <f t="shared" si="3"/>
        <v>80000</v>
      </c>
      <c r="J12" s="55">
        <f t="shared" si="4"/>
        <v>3.2760687175389533E-2</v>
      </c>
      <c r="K12" s="55">
        <f t="shared" si="5"/>
        <v>7.2727272727272724E-2</v>
      </c>
      <c r="L12" s="15" t="str">
        <f t="shared" si="6"/>
        <v>Dog</v>
      </c>
      <c r="M12" s="53">
        <f t="shared" si="7"/>
        <v>248000</v>
      </c>
      <c r="N12" s="16">
        <f>C12*(1+Inputs!$H$17)</f>
        <v>90200.000000000015</v>
      </c>
      <c r="O12" s="13" t="s">
        <v>25</v>
      </c>
      <c r="P12" s="13" t="s">
        <v>37</v>
      </c>
      <c r="Q12" s="57" t="s">
        <v>27</v>
      </c>
    </row>
    <row r="13" spans="1:17" ht="40.5" customHeight="1" x14ac:dyDescent="0.2">
      <c r="A13" s="15" t="s">
        <v>38</v>
      </c>
      <c r="B13" s="15" t="s">
        <v>39</v>
      </c>
      <c r="C13" s="42">
        <v>32000</v>
      </c>
      <c r="D13" s="42">
        <v>6000</v>
      </c>
      <c r="E13" s="55">
        <f t="shared" si="0"/>
        <v>0.1875</v>
      </c>
      <c r="F13" s="53">
        <f t="shared" si="1"/>
        <v>26000</v>
      </c>
      <c r="G13" s="128">
        <v>5</v>
      </c>
      <c r="H13" s="53">
        <f t="shared" si="2"/>
        <v>160000</v>
      </c>
      <c r="I13" s="53">
        <f t="shared" si="3"/>
        <v>30000</v>
      </c>
      <c r="J13" s="55">
        <f t="shared" si="4"/>
        <v>1.5980823012385136E-2</v>
      </c>
      <c r="K13" s="55">
        <f t="shared" si="5"/>
        <v>0.1</v>
      </c>
      <c r="L13" s="15" t="str">
        <f t="shared" si="6"/>
        <v>Dog</v>
      </c>
      <c r="M13" s="53">
        <f t="shared" si="7"/>
        <v>130000</v>
      </c>
      <c r="N13" s="16">
        <f>C13*(1+Inputs!$H$17)</f>
        <v>35200</v>
      </c>
      <c r="O13" s="13" t="s">
        <v>40</v>
      </c>
      <c r="P13" s="13" t="s">
        <v>41</v>
      </c>
      <c r="Q13" s="57" t="s">
        <v>27</v>
      </c>
    </row>
    <row r="14" spans="1:17" ht="40.5" customHeight="1" x14ac:dyDescent="0.2">
      <c r="A14" s="15" t="s">
        <v>38</v>
      </c>
      <c r="B14" s="15" t="s">
        <v>42</v>
      </c>
      <c r="C14" s="42">
        <v>40000</v>
      </c>
      <c r="D14" s="42">
        <v>7000</v>
      </c>
      <c r="E14" s="55">
        <f t="shared" si="0"/>
        <v>0.17499999999999999</v>
      </c>
      <c r="F14" s="53">
        <f t="shared" si="1"/>
        <v>33000</v>
      </c>
      <c r="G14" s="25">
        <v>12</v>
      </c>
      <c r="H14" s="53">
        <f t="shared" si="2"/>
        <v>480000</v>
      </c>
      <c r="I14" s="53">
        <f t="shared" si="3"/>
        <v>84000</v>
      </c>
      <c r="J14" s="55">
        <f t="shared" si="4"/>
        <v>4.7942469037155412E-2</v>
      </c>
      <c r="K14" s="55">
        <f t="shared" si="5"/>
        <v>0.24</v>
      </c>
      <c r="L14" s="15" t="str">
        <f t="shared" si="6"/>
        <v>Plowhorse</v>
      </c>
      <c r="M14" s="53">
        <f t="shared" si="7"/>
        <v>396000</v>
      </c>
      <c r="N14" s="16">
        <f>C14*(1+Inputs!$H$17)</f>
        <v>44000</v>
      </c>
      <c r="O14" s="13" t="s">
        <v>43</v>
      </c>
      <c r="P14" s="13" t="s">
        <v>44</v>
      </c>
      <c r="Q14" s="57" t="s">
        <v>27</v>
      </c>
    </row>
    <row r="15" spans="1:17" ht="40.5" customHeight="1" x14ac:dyDescent="0.2">
      <c r="A15" s="15" t="s">
        <v>38</v>
      </c>
      <c r="B15" s="15" t="s">
        <v>45</v>
      </c>
      <c r="C15" s="42">
        <v>50000</v>
      </c>
      <c r="D15" s="42">
        <v>12000</v>
      </c>
      <c r="E15" s="55">
        <f t="shared" si="0"/>
        <v>0.24</v>
      </c>
      <c r="F15" s="53">
        <f t="shared" si="1"/>
        <v>38000</v>
      </c>
      <c r="G15" s="25">
        <v>19</v>
      </c>
      <c r="H15" s="53">
        <f t="shared" si="2"/>
        <v>950000</v>
      </c>
      <c r="I15" s="53">
        <f t="shared" si="3"/>
        <v>228000</v>
      </c>
      <c r="J15" s="55">
        <f t="shared" si="4"/>
        <v>9.4886136636036761E-2</v>
      </c>
      <c r="K15" s="55">
        <f t="shared" si="5"/>
        <v>0.38</v>
      </c>
      <c r="L15" s="15" t="str">
        <f t="shared" si="6"/>
        <v>Star</v>
      </c>
      <c r="M15" s="53">
        <f t="shared" si="7"/>
        <v>722000</v>
      </c>
      <c r="N15" s="16">
        <f>C15*(1+Inputs!$H$17)</f>
        <v>55000.000000000007</v>
      </c>
      <c r="O15" s="13" t="s">
        <v>43</v>
      </c>
      <c r="P15" s="13" t="s">
        <v>46</v>
      </c>
      <c r="Q15" s="57" t="s">
        <v>27</v>
      </c>
    </row>
    <row r="16" spans="1:17" ht="40.5" customHeight="1" x14ac:dyDescent="0.2">
      <c r="A16" s="15" t="s">
        <v>38</v>
      </c>
      <c r="B16" s="15" t="s">
        <v>47</v>
      </c>
      <c r="C16" s="42">
        <v>58000</v>
      </c>
      <c r="D16" s="42">
        <v>14000</v>
      </c>
      <c r="E16" s="55">
        <f t="shared" si="0"/>
        <v>0.2413793103448276</v>
      </c>
      <c r="F16" s="53">
        <f t="shared" si="1"/>
        <v>44000</v>
      </c>
      <c r="G16" s="25">
        <v>10</v>
      </c>
      <c r="H16" s="53">
        <f t="shared" si="2"/>
        <v>580000</v>
      </c>
      <c r="I16" s="53">
        <f t="shared" si="3"/>
        <v>140000</v>
      </c>
      <c r="J16" s="55">
        <f t="shared" si="4"/>
        <v>5.7930483419896123E-2</v>
      </c>
      <c r="K16" s="55">
        <f t="shared" si="5"/>
        <v>0.2</v>
      </c>
      <c r="L16" s="15" t="str">
        <f t="shared" si="6"/>
        <v>Star</v>
      </c>
      <c r="M16" s="53">
        <f t="shared" si="7"/>
        <v>440000</v>
      </c>
      <c r="N16" s="16">
        <f>C16*(1+Inputs!$H$17)</f>
        <v>63800.000000000007</v>
      </c>
      <c r="O16" s="13" t="s">
        <v>43</v>
      </c>
      <c r="P16" s="13" t="s">
        <v>46</v>
      </c>
      <c r="Q16" s="57" t="s">
        <v>27</v>
      </c>
    </row>
    <row r="17" spans="1:17" ht="40.5" customHeight="1" x14ac:dyDescent="0.2">
      <c r="A17" s="15" t="s">
        <v>38</v>
      </c>
      <c r="B17" s="15" t="s">
        <v>48</v>
      </c>
      <c r="C17" s="42">
        <v>55000</v>
      </c>
      <c r="D17" s="42">
        <v>12000</v>
      </c>
      <c r="E17" s="55">
        <f t="shared" si="0"/>
        <v>0.21818181818181817</v>
      </c>
      <c r="F17" s="53">
        <f t="shared" si="1"/>
        <v>43000</v>
      </c>
      <c r="G17" s="25">
        <v>4</v>
      </c>
      <c r="H17" s="53">
        <f t="shared" si="2"/>
        <v>220000</v>
      </c>
      <c r="I17" s="53">
        <f t="shared" si="3"/>
        <v>48000</v>
      </c>
      <c r="J17" s="55">
        <f t="shared" si="4"/>
        <v>2.1973631642029565E-2</v>
      </c>
      <c r="K17" s="55">
        <f t="shared" si="5"/>
        <v>0.08</v>
      </c>
      <c r="L17" s="15" t="str">
        <f t="shared" si="6"/>
        <v>Puzzle</v>
      </c>
      <c r="M17" s="53">
        <f t="shared" si="7"/>
        <v>172000</v>
      </c>
      <c r="N17" s="16">
        <f>C17*(1+Inputs!$H$17)</f>
        <v>60500.000000000007</v>
      </c>
      <c r="O17" s="13" t="s">
        <v>43</v>
      </c>
      <c r="P17" s="13" t="s">
        <v>49</v>
      </c>
      <c r="Q17" s="57" t="s">
        <v>27</v>
      </c>
    </row>
    <row r="18" spans="1:17" ht="27" customHeight="1" x14ac:dyDescent="0.2">
      <c r="A18" s="15" t="s">
        <v>50</v>
      </c>
      <c r="B18" s="15" t="s">
        <v>51</v>
      </c>
      <c r="C18" s="42">
        <v>55000</v>
      </c>
      <c r="D18" s="42">
        <v>15000</v>
      </c>
      <c r="E18" s="55">
        <f t="shared" si="0"/>
        <v>0.27272727272727271</v>
      </c>
      <c r="F18" s="53">
        <f t="shared" si="1"/>
        <v>40000</v>
      </c>
      <c r="G18" s="25">
        <v>6</v>
      </c>
      <c r="H18" s="53">
        <f t="shared" si="2"/>
        <v>330000</v>
      </c>
      <c r="I18" s="53">
        <f t="shared" si="3"/>
        <v>90000</v>
      </c>
      <c r="J18" s="55">
        <f t="shared" si="4"/>
        <v>3.296044746304435E-2</v>
      </c>
      <c r="K18" s="55">
        <f t="shared" si="5"/>
        <v>0.6</v>
      </c>
      <c r="L18" s="15" t="str">
        <f t="shared" si="6"/>
        <v>Star</v>
      </c>
      <c r="M18" s="53">
        <f t="shared" si="7"/>
        <v>240000</v>
      </c>
      <c r="N18" s="16">
        <f>C18*(1+Inputs!$H$17)</f>
        <v>60500.000000000007</v>
      </c>
      <c r="O18" s="13" t="s">
        <v>52</v>
      </c>
      <c r="P18" s="13" t="s">
        <v>53</v>
      </c>
      <c r="Q18" s="57" t="s">
        <v>27</v>
      </c>
    </row>
    <row r="19" spans="1:17" ht="27" customHeight="1" x14ac:dyDescent="0.2">
      <c r="A19" s="15" t="s">
        <v>50</v>
      </c>
      <c r="B19" s="15" t="s">
        <v>54</v>
      </c>
      <c r="C19" s="42">
        <v>48000</v>
      </c>
      <c r="D19" s="42">
        <v>14000</v>
      </c>
      <c r="E19" s="55">
        <f t="shared" si="0"/>
        <v>0.29166666666666669</v>
      </c>
      <c r="F19" s="53">
        <f t="shared" si="1"/>
        <v>34000</v>
      </c>
      <c r="G19" s="25">
        <v>4</v>
      </c>
      <c r="H19" s="53">
        <f t="shared" si="2"/>
        <v>192000</v>
      </c>
      <c r="I19" s="53">
        <f t="shared" si="3"/>
        <v>56000</v>
      </c>
      <c r="J19" s="55">
        <f t="shared" si="4"/>
        <v>1.9176987614862164E-2</v>
      </c>
      <c r="K19" s="55">
        <f t="shared" si="5"/>
        <v>0.4</v>
      </c>
      <c r="L19" s="15" t="str">
        <f t="shared" si="6"/>
        <v>Plowhorse</v>
      </c>
      <c r="M19" s="53">
        <f t="shared" si="7"/>
        <v>136000</v>
      </c>
      <c r="N19" s="16">
        <f>C19*(1+Inputs!$H$17)</f>
        <v>52800.000000000007</v>
      </c>
      <c r="O19" s="13" t="s">
        <v>52</v>
      </c>
      <c r="P19" s="13" t="s">
        <v>55</v>
      </c>
      <c r="Q19" s="57" t="s">
        <v>27</v>
      </c>
    </row>
    <row r="20" spans="1:17" ht="27" customHeight="1" x14ac:dyDescent="0.2">
      <c r="A20" s="15" t="s">
        <v>56</v>
      </c>
      <c r="B20" s="15" t="s">
        <v>57</v>
      </c>
      <c r="C20" s="42">
        <v>38000</v>
      </c>
      <c r="D20" s="42">
        <v>13000</v>
      </c>
      <c r="E20" s="55">
        <f t="shared" si="0"/>
        <v>0.34210526315789475</v>
      </c>
      <c r="F20" s="53">
        <f t="shared" si="1"/>
        <v>25000</v>
      </c>
      <c r="G20" s="25">
        <v>10</v>
      </c>
      <c r="H20" s="53">
        <f t="shared" si="2"/>
        <v>380000</v>
      </c>
      <c r="I20" s="53">
        <f t="shared" si="3"/>
        <v>130000</v>
      </c>
      <c r="J20" s="55">
        <f t="shared" si="4"/>
        <v>3.7954454654414702E-2</v>
      </c>
      <c r="K20" s="55">
        <f t="shared" si="5"/>
        <v>0.4</v>
      </c>
      <c r="L20" s="15" t="str">
        <f t="shared" si="6"/>
        <v>Plowhorse</v>
      </c>
      <c r="M20" s="53">
        <f t="shared" si="7"/>
        <v>250000</v>
      </c>
      <c r="N20" s="16">
        <f>C20*(1+Inputs!$H$17)</f>
        <v>41800</v>
      </c>
      <c r="O20" s="13" t="s">
        <v>58</v>
      </c>
      <c r="P20" s="13" t="s">
        <v>59</v>
      </c>
      <c r="Q20" s="57" t="s">
        <v>27</v>
      </c>
    </row>
    <row r="21" spans="1:17" ht="27" customHeight="1" x14ac:dyDescent="0.2">
      <c r="A21" s="15" t="s">
        <v>56</v>
      </c>
      <c r="B21" s="15" t="s">
        <v>60</v>
      </c>
      <c r="C21" s="42">
        <v>75000</v>
      </c>
      <c r="D21" s="42">
        <v>24000</v>
      </c>
      <c r="E21" s="55">
        <f t="shared" si="0"/>
        <v>0.32</v>
      </c>
      <c r="F21" s="53">
        <f t="shared" si="1"/>
        <v>51000</v>
      </c>
      <c r="G21" s="25">
        <v>6</v>
      </c>
      <c r="H21" s="53">
        <f t="shared" si="2"/>
        <v>450000</v>
      </c>
      <c r="I21" s="53">
        <f t="shared" si="3"/>
        <v>144000</v>
      </c>
      <c r="J21" s="55">
        <f t="shared" si="4"/>
        <v>4.4946064722333201E-2</v>
      </c>
      <c r="K21" s="55">
        <f t="shared" si="5"/>
        <v>0.24</v>
      </c>
      <c r="L21" s="15" t="str">
        <f t="shared" si="6"/>
        <v>Star</v>
      </c>
      <c r="M21" s="53">
        <f t="shared" si="7"/>
        <v>306000</v>
      </c>
      <c r="N21" s="16">
        <f>C21*(1+Inputs!$H$17)</f>
        <v>82500</v>
      </c>
      <c r="O21" s="13" t="s">
        <v>58</v>
      </c>
      <c r="P21" s="13" t="s">
        <v>61</v>
      </c>
      <c r="Q21" s="57" t="s">
        <v>27</v>
      </c>
    </row>
    <row r="22" spans="1:17" ht="27" customHeight="1" x14ac:dyDescent="0.2">
      <c r="A22" s="15" t="s">
        <v>56</v>
      </c>
      <c r="B22" s="15" t="s">
        <v>62</v>
      </c>
      <c r="C22" s="42">
        <v>65000</v>
      </c>
      <c r="D22" s="42">
        <v>20000</v>
      </c>
      <c r="E22" s="55">
        <f t="shared" si="0"/>
        <v>0.30769230769230771</v>
      </c>
      <c r="F22" s="53">
        <f t="shared" si="1"/>
        <v>45000</v>
      </c>
      <c r="G22" s="25">
        <v>4</v>
      </c>
      <c r="H22" s="53">
        <f t="shared" si="2"/>
        <v>260000</v>
      </c>
      <c r="I22" s="53">
        <f t="shared" si="3"/>
        <v>80000</v>
      </c>
      <c r="J22" s="55">
        <f t="shared" si="4"/>
        <v>2.596883739512585E-2</v>
      </c>
      <c r="K22" s="55">
        <f t="shared" si="5"/>
        <v>0.16</v>
      </c>
      <c r="L22" s="15" t="str">
        <f t="shared" si="6"/>
        <v>Puzzle</v>
      </c>
      <c r="M22" s="53">
        <f t="shared" si="7"/>
        <v>180000</v>
      </c>
      <c r="N22" s="16">
        <f>C22*(1+Inputs!$H$17)</f>
        <v>71500</v>
      </c>
      <c r="O22" s="13" t="s">
        <v>58</v>
      </c>
      <c r="P22" s="13" t="s">
        <v>63</v>
      </c>
      <c r="Q22" s="57" t="s">
        <v>27</v>
      </c>
    </row>
    <row r="23" spans="1:17" ht="27" customHeight="1" x14ac:dyDescent="0.2">
      <c r="A23" s="15" t="s">
        <v>56</v>
      </c>
      <c r="B23" s="15" t="s">
        <v>64</v>
      </c>
      <c r="C23" s="42">
        <v>55000</v>
      </c>
      <c r="D23" s="42">
        <v>16000</v>
      </c>
      <c r="E23" s="55">
        <f t="shared" si="0"/>
        <v>0.29090909090909089</v>
      </c>
      <c r="F23" s="53">
        <f t="shared" si="1"/>
        <v>39000</v>
      </c>
      <c r="G23" s="25">
        <v>5</v>
      </c>
      <c r="H23" s="53">
        <f t="shared" si="2"/>
        <v>275000</v>
      </c>
      <c r="I23" s="53">
        <f t="shared" si="3"/>
        <v>80000</v>
      </c>
      <c r="J23" s="55">
        <f t="shared" si="4"/>
        <v>2.7467039552536956E-2</v>
      </c>
      <c r="K23" s="55">
        <f t="shared" si="5"/>
        <v>0.2</v>
      </c>
      <c r="L23" s="15" t="str">
        <f t="shared" si="6"/>
        <v>Star</v>
      </c>
      <c r="M23" s="53">
        <f t="shared" si="7"/>
        <v>195000</v>
      </c>
      <c r="N23" s="16">
        <f>C23*(1+Inputs!$H$17)</f>
        <v>60500.000000000007</v>
      </c>
      <c r="O23" s="13" t="s">
        <v>65</v>
      </c>
      <c r="P23" s="13" t="s">
        <v>66</v>
      </c>
      <c r="Q23" s="57" t="s">
        <v>27</v>
      </c>
    </row>
    <row r="24" spans="1:17" ht="27" customHeight="1" x14ac:dyDescent="0.2">
      <c r="A24" s="15" t="s">
        <v>67</v>
      </c>
      <c r="B24" s="15" t="s">
        <v>68</v>
      </c>
      <c r="C24" s="42">
        <v>15000</v>
      </c>
      <c r="D24" s="42">
        <v>5000</v>
      </c>
      <c r="E24" s="55">
        <f t="shared" si="0"/>
        <v>0.33333333333333331</v>
      </c>
      <c r="F24" s="53">
        <f t="shared" si="1"/>
        <v>10000</v>
      </c>
      <c r="G24" s="25">
        <v>6</v>
      </c>
      <c r="H24" s="53">
        <f t="shared" si="2"/>
        <v>90000</v>
      </c>
      <c r="I24" s="53">
        <f t="shared" si="3"/>
        <v>30000</v>
      </c>
      <c r="J24" s="55">
        <f t="shared" si="4"/>
        <v>8.9892129444666402E-3</v>
      </c>
      <c r="K24" s="55">
        <f t="shared" si="5"/>
        <v>0.4</v>
      </c>
      <c r="L24" s="15" t="str">
        <f t="shared" si="6"/>
        <v>Plowhorse</v>
      </c>
      <c r="M24" s="53">
        <f t="shared" si="7"/>
        <v>60000</v>
      </c>
      <c r="N24" s="16">
        <f>C24*(1+Inputs!$H$17)</f>
        <v>16500</v>
      </c>
      <c r="O24" s="13" t="s">
        <v>69</v>
      </c>
      <c r="P24" s="13" t="s">
        <v>70</v>
      </c>
      <c r="Q24" s="57" t="s">
        <v>27</v>
      </c>
    </row>
    <row r="25" spans="1:17" ht="27" customHeight="1" x14ac:dyDescent="0.2">
      <c r="A25" s="15" t="s">
        <v>67</v>
      </c>
      <c r="B25" s="15" t="s">
        <v>71</v>
      </c>
      <c r="C25" s="42">
        <v>45000</v>
      </c>
      <c r="D25" s="42">
        <v>22000</v>
      </c>
      <c r="E25" s="55">
        <f t="shared" si="0"/>
        <v>0.48888888888888887</v>
      </c>
      <c r="F25" s="53">
        <f t="shared" si="1"/>
        <v>23000</v>
      </c>
      <c r="G25" s="25">
        <v>3</v>
      </c>
      <c r="H25" s="53">
        <f t="shared" si="2"/>
        <v>135000</v>
      </c>
      <c r="I25" s="53">
        <f t="shared" si="3"/>
        <v>66000</v>
      </c>
      <c r="J25" s="55">
        <f t="shared" si="4"/>
        <v>1.348381941669996E-2</v>
      </c>
      <c r="K25" s="55">
        <f t="shared" si="5"/>
        <v>0.2</v>
      </c>
      <c r="L25" s="15" t="str">
        <f t="shared" si="6"/>
        <v>Puzzle</v>
      </c>
      <c r="M25" s="53">
        <f t="shared" si="7"/>
        <v>69000</v>
      </c>
      <c r="N25" s="16">
        <f>C25*(1+Inputs!$H$17)</f>
        <v>49500.000000000007</v>
      </c>
      <c r="O25" s="13" t="s">
        <v>69</v>
      </c>
      <c r="P25" s="13" t="s">
        <v>72</v>
      </c>
      <c r="Q25" s="57" t="s">
        <v>27</v>
      </c>
    </row>
    <row r="26" spans="1:17" ht="27" customHeight="1" x14ac:dyDescent="0.2">
      <c r="A26" s="15" t="s">
        <v>67</v>
      </c>
      <c r="B26" s="15" t="s">
        <v>73</v>
      </c>
      <c r="C26" s="42">
        <v>9000</v>
      </c>
      <c r="D26" s="42">
        <v>3000</v>
      </c>
      <c r="E26" s="55">
        <f t="shared" si="0"/>
        <v>0.33333333333333331</v>
      </c>
      <c r="F26" s="53">
        <f t="shared" si="1"/>
        <v>6000</v>
      </c>
      <c r="G26" s="25">
        <v>6</v>
      </c>
      <c r="H26" s="53">
        <f t="shared" si="2"/>
        <v>54000</v>
      </c>
      <c r="I26" s="53">
        <f t="shared" si="3"/>
        <v>18000</v>
      </c>
      <c r="J26" s="55">
        <f t="shared" si="4"/>
        <v>5.3935277666799838E-3</v>
      </c>
      <c r="K26" s="55">
        <f t="shared" si="5"/>
        <v>0.4</v>
      </c>
      <c r="L26" s="15" t="str">
        <f t="shared" si="6"/>
        <v>Plowhorse</v>
      </c>
      <c r="M26" s="53">
        <f t="shared" si="7"/>
        <v>36000</v>
      </c>
      <c r="N26" s="16">
        <f>C26*(1+Inputs!$H$17)</f>
        <v>9900</v>
      </c>
      <c r="O26" s="13" t="s">
        <v>69</v>
      </c>
      <c r="P26" s="13" t="s">
        <v>70</v>
      </c>
      <c r="Q26" s="57" t="s">
        <v>27</v>
      </c>
    </row>
    <row r="27" spans="1:17" ht="15" customHeight="1" x14ac:dyDescent="0.2">
      <c r="B27" s="12" t="s">
        <v>74</v>
      </c>
      <c r="G27" s="58">
        <f>SUM(G7:G26)</f>
        <v>155</v>
      </c>
      <c r="H27" s="59">
        <f>SUM(H7:H26)</f>
        <v>10012000</v>
      </c>
      <c r="I27" s="59">
        <f>SUM(I7:I26)</f>
        <v>2865000</v>
      </c>
    </row>
    <row r="29" spans="1:17" ht="15" customHeight="1" x14ac:dyDescent="0.2">
      <c r="B29" s="12" t="s">
        <v>75</v>
      </c>
      <c r="E29" s="33">
        <f>I27/H27</f>
        <v>0.2861566120655214</v>
      </c>
    </row>
    <row r="30" spans="1:17" ht="15" customHeight="1" x14ac:dyDescent="0.2">
      <c r="B30" s="15" t="s">
        <v>76</v>
      </c>
      <c r="E30" s="60">
        <f>H27/100</f>
        <v>100120</v>
      </c>
      <c r="F30" s="15" t="s">
        <v>77</v>
      </c>
      <c r="H30" s="16">
        <f>Revenue!$E$16</f>
        <v>103375</v>
      </c>
      <c r="I30" s="15" t="str">
        <f>IF(ABS(E30/H30-1)&gt;0.15,"Check: &gt;15% gap","OK")</f>
        <v>OK</v>
      </c>
    </row>
    <row r="32" spans="1:17" ht="15" customHeight="1" x14ac:dyDescent="0.2">
      <c r="A32" s="117" t="s">
        <v>6</v>
      </c>
      <c r="B32" s="117" t="s">
        <v>78</v>
      </c>
      <c r="C32" s="117" t="s">
        <v>10</v>
      </c>
      <c r="D32" s="117"/>
      <c r="E32" s="117"/>
      <c r="F32" s="117"/>
      <c r="G32" s="117"/>
      <c r="H32" s="117"/>
    </row>
    <row r="33" spans="1:8" ht="15" customHeight="1" x14ac:dyDescent="0.2">
      <c r="A33" s="15" t="s">
        <v>23</v>
      </c>
      <c r="B33" s="55">
        <f>SUMIF($A$7:$A$26,A33,$H$7:$H$26)/$H$27</f>
        <v>0.5449460647223332</v>
      </c>
      <c r="C33" s="55">
        <f>SUMIF($A$7:$A$26,A33,$I$7:$I$26)/SUMIF($A$7:$A$26,A33,$H$7:$H$26)</f>
        <v>0.30076979472140764</v>
      </c>
    </row>
    <row r="34" spans="1:8" ht="15" customHeight="1" x14ac:dyDescent="0.2">
      <c r="A34" s="15" t="s">
        <v>38</v>
      </c>
      <c r="B34" s="55">
        <f>SUMIF($A$7:$A$26,A34,$H$7:$H$26)/$H$27</f>
        <v>0.238713543747503</v>
      </c>
      <c r="C34" s="55">
        <f>SUMIF($A$7:$A$26,A34,$I$7:$I$26)/SUMIF($A$7:$A$26,A34,$H$7:$H$26)</f>
        <v>0.22175732217573221</v>
      </c>
    </row>
    <row r="35" spans="1:8" ht="15" customHeight="1" x14ac:dyDescent="0.2">
      <c r="A35" s="15" t="s">
        <v>50</v>
      </c>
      <c r="B35" s="55">
        <f>SUMIF($A$7:$A$26,A35,$H$7:$H$26)/$H$27</f>
        <v>5.213743507790651E-2</v>
      </c>
      <c r="C35" s="55">
        <f>SUMIF($A$7:$A$26,A35,$I$7:$I$26)/SUMIF($A$7:$A$26,A35,$H$7:$H$26)</f>
        <v>0.27969348659003829</v>
      </c>
    </row>
    <row r="36" spans="1:8" ht="15" customHeight="1" x14ac:dyDescent="0.2">
      <c r="A36" s="15" t="s">
        <v>56</v>
      </c>
      <c r="B36" s="55">
        <f>SUMIF($A$7:$A$26,A36,$H$7:$H$26)/$H$27</f>
        <v>0.13633639632441072</v>
      </c>
      <c r="C36" s="55">
        <f>SUMIF($A$7:$A$26,A36,$I$7:$I$26)/SUMIF($A$7:$A$26,A36,$H$7:$H$26)</f>
        <v>0.31794871794871793</v>
      </c>
    </row>
    <row r="37" spans="1:8" ht="15" customHeight="1" x14ac:dyDescent="0.2">
      <c r="A37" s="15" t="s">
        <v>67</v>
      </c>
      <c r="B37" s="55">
        <f>SUMIF($A$7:$A$26,A37,$H$7:$H$26)/$H$27</f>
        <v>2.7866560127846583E-2</v>
      </c>
      <c r="C37" s="55">
        <f>SUMIF($A$7:$A$26,A37,$I$7:$I$26)/SUMIF($A$7:$A$26,A37,$H$7:$H$26)</f>
        <v>0.40860215053763443</v>
      </c>
    </row>
    <row r="39" spans="1:8" ht="15" customHeight="1" x14ac:dyDescent="0.2">
      <c r="A39" s="123" t="s">
        <v>79</v>
      </c>
    </row>
    <row r="40" spans="1:8" ht="15" customHeight="1" x14ac:dyDescent="0.2">
      <c r="A40" s="117" t="s">
        <v>80</v>
      </c>
      <c r="B40" s="117" t="s">
        <v>7</v>
      </c>
      <c r="C40" s="117" t="s">
        <v>81</v>
      </c>
      <c r="D40" s="117" t="s">
        <v>82</v>
      </c>
      <c r="E40" s="117" t="s">
        <v>83</v>
      </c>
      <c r="F40" s="117" t="s">
        <v>84</v>
      </c>
      <c r="G40" s="117"/>
      <c r="H40" s="117"/>
    </row>
    <row r="41" spans="1:8" ht="15" customHeight="1" x14ac:dyDescent="0.2">
      <c r="A41" s="15" t="s">
        <v>85</v>
      </c>
      <c r="B41" s="15" t="s">
        <v>86</v>
      </c>
      <c r="C41" s="42">
        <v>48000</v>
      </c>
      <c r="D41" s="15" t="s">
        <v>87</v>
      </c>
      <c r="E41" s="15" t="s">
        <v>88</v>
      </c>
      <c r="F41" s="15" t="s">
        <v>89</v>
      </c>
    </row>
    <row r="42" spans="1:8" ht="15" customHeight="1" x14ac:dyDescent="0.2">
      <c r="A42" s="15" t="s">
        <v>85</v>
      </c>
      <c r="B42" s="15" t="s">
        <v>39</v>
      </c>
      <c r="C42" s="42">
        <v>32000</v>
      </c>
      <c r="D42" s="15" t="s">
        <v>90</v>
      </c>
      <c r="E42" s="15" t="s">
        <v>88</v>
      </c>
      <c r="F42" s="15" t="s">
        <v>89</v>
      </c>
    </row>
    <row r="43" spans="1:8" ht="15" customHeight="1" x14ac:dyDescent="0.2">
      <c r="A43" s="15" t="s">
        <v>85</v>
      </c>
      <c r="B43" s="15" t="s">
        <v>91</v>
      </c>
      <c r="C43" s="42">
        <v>97500</v>
      </c>
      <c r="D43" s="15" t="s">
        <v>92</v>
      </c>
      <c r="E43" s="15" t="s">
        <v>88</v>
      </c>
      <c r="F43" s="15" t="s">
        <v>89</v>
      </c>
    </row>
    <row r="44" spans="1:8" ht="15" customHeight="1" x14ac:dyDescent="0.2">
      <c r="A44" s="15" t="s">
        <v>93</v>
      </c>
      <c r="B44" s="15" t="s">
        <v>94</v>
      </c>
      <c r="C44" s="42">
        <v>61100</v>
      </c>
      <c r="D44" s="15" t="s">
        <v>95</v>
      </c>
      <c r="E44" s="15" t="s">
        <v>96</v>
      </c>
      <c r="F44" s="15" t="s">
        <v>97</v>
      </c>
    </row>
    <row r="45" spans="1:8" ht="15" customHeight="1" x14ac:dyDescent="0.2">
      <c r="A45" s="15" t="s">
        <v>93</v>
      </c>
      <c r="B45" s="15" t="s">
        <v>98</v>
      </c>
      <c r="C45" s="42">
        <v>113600</v>
      </c>
      <c r="D45" s="15" t="s">
        <v>95</v>
      </c>
      <c r="E45" s="15" t="s">
        <v>96</v>
      </c>
      <c r="F45" s="15" t="s">
        <v>97</v>
      </c>
    </row>
    <row r="46" spans="1:8" ht="15" customHeight="1" x14ac:dyDescent="0.2">
      <c r="A46" s="15" t="s">
        <v>99</v>
      </c>
      <c r="B46" s="15" t="s">
        <v>100</v>
      </c>
      <c r="C46" s="42">
        <v>86000</v>
      </c>
      <c r="D46" s="15" t="s">
        <v>90</v>
      </c>
      <c r="E46" s="15" t="s">
        <v>101</v>
      </c>
      <c r="F46" s="15" t="s">
        <v>102</v>
      </c>
    </row>
    <row r="47" spans="1:8" ht="15" customHeight="1" x14ac:dyDescent="0.2">
      <c r="A47" s="15" t="s">
        <v>103</v>
      </c>
      <c r="B47" s="15" t="s">
        <v>104</v>
      </c>
      <c r="C47" s="42">
        <v>155000</v>
      </c>
      <c r="D47" s="15" t="s">
        <v>90</v>
      </c>
      <c r="E47" s="15" t="s">
        <v>101</v>
      </c>
      <c r="F47" s="15" t="s">
        <v>102</v>
      </c>
    </row>
    <row r="48" spans="1:8" ht="15" customHeight="1" x14ac:dyDescent="0.2">
      <c r="A48" s="15" t="s">
        <v>105</v>
      </c>
      <c r="B48" s="15" t="s">
        <v>106</v>
      </c>
      <c r="C48" s="42">
        <v>75000</v>
      </c>
      <c r="D48" s="15" t="s">
        <v>107</v>
      </c>
      <c r="E48" s="15" t="s">
        <v>108</v>
      </c>
      <c r="F48" s="15" t="s">
        <v>109</v>
      </c>
    </row>
    <row r="49" spans="1:15" ht="15" customHeight="1" x14ac:dyDescent="0.2">
      <c r="A49" s="15" t="s">
        <v>110</v>
      </c>
      <c r="B49" s="15" t="s">
        <v>23</v>
      </c>
      <c r="C49" s="42">
        <v>32500</v>
      </c>
      <c r="D49" s="15" t="s">
        <v>111</v>
      </c>
      <c r="E49" s="15" t="s">
        <v>101</v>
      </c>
      <c r="F49" s="15" t="s">
        <v>109</v>
      </c>
    </row>
    <row r="51" spans="1:15" ht="15" customHeight="1" x14ac:dyDescent="0.2">
      <c r="A51" s="11" t="s">
        <v>112</v>
      </c>
    </row>
    <row r="54" spans="1:15" ht="15.75" customHeight="1" x14ac:dyDescent="0.2">
      <c r="A54" s="118" t="s">
        <v>113</v>
      </c>
    </row>
    <row r="55" spans="1:15" ht="27" customHeight="1" x14ac:dyDescent="0.2">
      <c r="A55" s="195" t="s">
        <v>114</v>
      </c>
      <c r="B55" s="196"/>
      <c r="C55" s="195" t="s">
        <v>115</v>
      </c>
      <c r="D55" s="196"/>
      <c r="E55" s="195" t="s">
        <v>116</v>
      </c>
      <c r="F55" s="196"/>
      <c r="G55" s="196"/>
      <c r="H55" s="195" t="s">
        <v>117</v>
      </c>
      <c r="I55" s="196"/>
      <c r="J55" s="196"/>
      <c r="K55" s="196"/>
      <c r="L55" s="196"/>
      <c r="M55" s="196"/>
      <c r="N55" s="196"/>
      <c r="O55" s="119" t="s">
        <v>22</v>
      </c>
    </row>
    <row r="56" spans="1:15" ht="27" customHeight="1" x14ac:dyDescent="0.2">
      <c r="A56" s="197" t="s">
        <v>118</v>
      </c>
      <c r="B56" s="199"/>
      <c r="C56" s="203">
        <f>Menu!E30</f>
        <v>100120</v>
      </c>
      <c r="D56" s="199"/>
      <c r="E56" s="197" t="s">
        <v>119</v>
      </c>
      <c r="F56" s="198"/>
      <c r="G56" s="199"/>
      <c r="H56" s="197" t="s">
        <v>120</v>
      </c>
      <c r="I56" s="198"/>
      <c r="J56" s="198"/>
      <c r="K56" s="198"/>
      <c r="L56" s="198"/>
      <c r="M56" s="198"/>
      <c r="N56" s="199"/>
      <c r="O56" s="7" t="s">
        <v>27</v>
      </c>
    </row>
    <row r="57" spans="1:15" ht="27" customHeight="1" x14ac:dyDescent="0.2">
      <c r="A57" s="197" t="s">
        <v>121</v>
      </c>
      <c r="B57" s="199"/>
      <c r="C57" s="206">
        <f>Menu!E29</f>
        <v>0.2861566120655214</v>
      </c>
      <c r="D57" s="199"/>
      <c r="E57" s="197" t="s">
        <v>122</v>
      </c>
      <c r="F57" s="198"/>
      <c r="G57" s="199"/>
      <c r="H57" s="197" t="s">
        <v>123</v>
      </c>
      <c r="I57" s="198"/>
      <c r="J57" s="198"/>
      <c r="K57" s="198"/>
      <c r="L57" s="198"/>
      <c r="M57" s="198"/>
      <c r="N57" s="199"/>
      <c r="O57" s="7" t="s">
        <v>27</v>
      </c>
    </row>
    <row r="58" spans="1:15" ht="15" customHeight="1" x14ac:dyDescent="0.2">
      <c r="A58" s="197" t="s">
        <v>124</v>
      </c>
      <c r="B58" s="199"/>
      <c r="C58" s="203">
        <f>Menu!G27</f>
        <v>155</v>
      </c>
      <c r="D58" s="199"/>
      <c r="E58" s="197" t="s">
        <v>125</v>
      </c>
      <c r="F58" s="198"/>
      <c r="G58" s="199"/>
      <c r="H58" s="197" t="s">
        <v>126</v>
      </c>
      <c r="I58" s="198"/>
      <c r="J58" s="198"/>
      <c r="K58" s="198"/>
      <c r="L58" s="198"/>
      <c r="M58" s="198"/>
      <c r="N58" s="199"/>
      <c r="O58" s="6" t="s">
        <v>127</v>
      </c>
    </row>
    <row r="59" spans="1:15" ht="15" customHeight="1" x14ac:dyDescent="0.2">
      <c r="A59" s="197" t="s">
        <v>128</v>
      </c>
      <c r="B59" s="199"/>
      <c r="C59" s="206">
        <f>Inputs!H17</f>
        <v>0.1</v>
      </c>
      <c r="D59" s="199"/>
      <c r="E59" s="197" t="s">
        <v>129</v>
      </c>
      <c r="F59" s="198"/>
      <c r="G59" s="199"/>
      <c r="H59" s="197" t="s">
        <v>130</v>
      </c>
      <c r="I59" s="198"/>
      <c r="J59" s="198"/>
      <c r="K59" s="198"/>
      <c r="L59" s="198"/>
      <c r="M59" s="198"/>
      <c r="N59" s="199"/>
      <c r="O59" s="5" t="s">
        <v>131</v>
      </c>
    </row>
    <row r="60" spans="1:15" ht="15" customHeight="1" x14ac:dyDescent="0.2">
      <c r="A60" s="197" t="s">
        <v>132</v>
      </c>
      <c r="B60" s="199"/>
      <c r="C60" s="202" t="s">
        <v>125</v>
      </c>
      <c r="D60" s="199"/>
      <c r="E60" s="197" t="s">
        <v>133</v>
      </c>
      <c r="F60" s="198"/>
      <c r="G60" s="199"/>
      <c r="H60" s="197" t="s">
        <v>134</v>
      </c>
      <c r="I60" s="198"/>
      <c r="J60" s="198"/>
      <c r="K60" s="198"/>
      <c r="L60" s="198"/>
      <c r="M60" s="198"/>
      <c r="N60" s="199"/>
      <c r="O60" s="5" t="s">
        <v>131</v>
      </c>
    </row>
    <row r="61" spans="1:15" ht="15" customHeight="1" x14ac:dyDescent="0.2">
      <c r="A61" s="197" t="s">
        <v>135</v>
      </c>
      <c r="B61" s="199"/>
      <c r="C61" s="202" t="s">
        <v>125</v>
      </c>
      <c r="D61" s="199"/>
      <c r="E61" s="197" t="s">
        <v>136</v>
      </c>
      <c r="F61" s="198"/>
      <c r="G61" s="199"/>
      <c r="H61" s="197" t="s">
        <v>137</v>
      </c>
      <c r="I61" s="198"/>
      <c r="J61" s="198"/>
      <c r="K61" s="198"/>
      <c r="L61" s="198"/>
      <c r="M61" s="198"/>
      <c r="N61" s="199"/>
      <c r="O61" s="8" t="s">
        <v>138</v>
      </c>
    </row>
  </sheetData>
  <mergeCells count="28">
    <mergeCell ref="C59:D59"/>
    <mergeCell ref="C61:D61"/>
    <mergeCell ref="H57:N57"/>
    <mergeCell ref="A59:B59"/>
    <mergeCell ref="A60:B60"/>
    <mergeCell ref="E60:G60"/>
    <mergeCell ref="C58:D58"/>
    <mergeCell ref="C55:D55"/>
    <mergeCell ref="E57:G57"/>
    <mergeCell ref="A56:B56"/>
    <mergeCell ref="C56:D56"/>
    <mergeCell ref="A55:B55"/>
    <mergeCell ref="H61:N61"/>
    <mergeCell ref="C57:D57"/>
    <mergeCell ref="A58:B58"/>
    <mergeCell ref="H55:N55"/>
    <mergeCell ref="C60:D60"/>
    <mergeCell ref="A57:B57"/>
    <mergeCell ref="H58:N58"/>
    <mergeCell ref="H56:N56"/>
    <mergeCell ref="H59:N59"/>
    <mergeCell ref="E58:G58"/>
    <mergeCell ref="E56:G56"/>
    <mergeCell ref="H60:N60"/>
    <mergeCell ref="E55:G55"/>
    <mergeCell ref="A61:B61"/>
    <mergeCell ref="E59:G59"/>
    <mergeCell ref="E61:G6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9"/>
  <sheetViews>
    <sheetView showGridLines="0" zoomScaleNormal="100" workbookViewId="0">
      <selection activeCell="O33" sqref="A33:Q33"/>
    </sheetView>
  </sheetViews>
  <sheetFormatPr baseColWidth="10" defaultColWidth="8.6640625" defaultRowHeight="15" x14ac:dyDescent="0.2"/>
  <cols>
    <col min="1" max="1" width="30" customWidth="1"/>
    <col min="2" max="2" width="9" customWidth="1"/>
    <col min="3" max="3" width="12" customWidth="1"/>
    <col min="4" max="4" width="13" customWidth="1"/>
    <col min="5" max="5" width="15" customWidth="1"/>
    <col min="6" max="6" width="11" customWidth="1"/>
    <col min="7" max="7" width="12" customWidth="1"/>
    <col min="8" max="8" width="11" customWidth="1"/>
    <col min="9" max="9" width="13" customWidth="1"/>
    <col min="10" max="10" width="12" customWidth="1"/>
    <col min="11" max="11" width="14" customWidth="1"/>
  </cols>
  <sheetData>
    <row r="1" spans="1:12" ht="17.25" customHeight="1" x14ac:dyDescent="0.2">
      <c r="A1" s="115" t="s">
        <v>888</v>
      </c>
    </row>
    <row r="2" spans="1:12" ht="15" customHeight="1" x14ac:dyDescent="0.2">
      <c r="A2" s="11" t="s">
        <v>889</v>
      </c>
    </row>
    <row r="3" spans="1:12" x14ac:dyDescent="0.2">
      <c r="A3" s="96" t="s">
        <v>890</v>
      </c>
      <c r="B3" s="97" t="s">
        <v>891</v>
      </c>
      <c r="C3" s="97"/>
      <c r="D3" s="97"/>
      <c r="E3" s="97"/>
      <c r="F3" s="97"/>
      <c r="G3" s="97"/>
      <c r="H3" s="97"/>
      <c r="I3" s="97"/>
      <c r="J3" s="97"/>
      <c r="K3" s="97"/>
      <c r="L3" s="97"/>
    </row>
    <row r="4" spans="1:12" x14ac:dyDescent="0.2">
      <c r="A4" s="96"/>
      <c r="B4" s="97" t="s">
        <v>892</v>
      </c>
      <c r="C4" s="97"/>
      <c r="D4" s="97"/>
      <c r="E4" s="97"/>
      <c r="F4" s="97"/>
      <c r="G4" s="97"/>
      <c r="H4" s="97"/>
      <c r="I4" s="97"/>
      <c r="J4" s="97"/>
      <c r="K4" s="97"/>
      <c r="L4" s="97"/>
    </row>
    <row r="5" spans="1:12" ht="15" customHeight="1" x14ac:dyDescent="0.2">
      <c r="A5" s="15" t="s">
        <v>893</v>
      </c>
      <c r="C5" s="61">
        <f>ROUNDDOWN(Inputs!$H$21*Inputs!$H$23/Inputs!$H$24,0)</f>
        <v>60</v>
      </c>
    </row>
    <row r="7" spans="1:12" ht="34.5" customHeight="1" x14ac:dyDescent="0.2">
      <c r="A7" s="117" t="s">
        <v>894</v>
      </c>
      <c r="B7" s="117" t="s">
        <v>895</v>
      </c>
      <c r="C7" s="117" t="s">
        <v>896</v>
      </c>
      <c r="D7" s="117" t="s">
        <v>897</v>
      </c>
      <c r="E7" s="117" t="s">
        <v>898</v>
      </c>
      <c r="F7" s="117" t="s">
        <v>899</v>
      </c>
      <c r="G7" s="117" t="s">
        <v>900</v>
      </c>
      <c r="H7" s="117" t="s">
        <v>901</v>
      </c>
      <c r="I7" s="117" t="s">
        <v>902</v>
      </c>
      <c r="J7" s="117" t="s">
        <v>903</v>
      </c>
      <c r="K7" s="117" t="s">
        <v>904</v>
      </c>
    </row>
    <row r="8" spans="1:12" ht="15" customHeight="1" x14ac:dyDescent="0.2">
      <c r="A8" s="15" t="s">
        <v>905</v>
      </c>
      <c r="B8" s="25">
        <v>4</v>
      </c>
      <c r="C8" s="18">
        <f>Inputs!$H$33</f>
        <v>45</v>
      </c>
      <c r="D8" s="16">
        <f>Inputs!$H$34</f>
        <v>65000</v>
      </c>
      <c r="E8" s="53">
        <f>C8*D8</f>
        <v>2925000</v>
      </c>
      <c r="F8" s="19">
        <f>Inputs!$H$43</f>
        <v>0.3</v>
      </c>
      <c r="G8" s="62">
        <f>C8*(1-F8)</f>
        <v>31.499999999999996</v>
      </c>
      <c r="H8" s="25">
        <v>30</v>
      </c>
      <c r="I8" s="62">
        <f>$C$5*B8*60/H8</f>
        <v>480</v>
      </c>
      <c r="J8" s="55">
        <f>G8/I8</f>
        <v>6.5624999999999989E-2</v>
      </c>
      <c r="K8" s="53">
        <f>E8*(1-F8)/($C$5*B8)</f>
        <v>8531.2499999999982</v>
      </c>
    </row>
    <row r="9" spans="1:12" ht="15" customHeight="1" x14ac:dyDescent="0.2">
      <c r="A9" s="15" t="s">
        <v>906</v>
      </c>
      <c r="B9" s="25">
        <v>4</v>
      </c>
      <c r="C9" s="18">
        <f>Inputs!$H$35</f>
        <v>75</v>
      </c>
      <c r="D9" s="16">
        <f>Inputs!$H$36</f>
        <v>120000</v>
      </c>
      <c r="E9" s="53">
        <f>C9*D9</f>
        <v>9000000</v>
      </c>
      <c r="F9" s="19">
        <f>Inputs!$H$43</f>
        <v>0.3</v>
      </c>
      <c r="G9" s="62">
        <f>C9*(1-F9)</f>
        <v>52.5</v>
      </c>
      <c r="H9" s="25">
        <v>50</v>
      </c>
      <c r="I9" s="62">
        <f>$C$5*B9*60/H9</f>
        <v>288</v>
      </c>
      <c r="J9" s="55">
        <f>G9/I9</f>
        <v>0.18229166666666666</v>
      </c>
      <c r="K9" s="53">
        <f>E9*(1-F9)/($C$5*B9)</f>
        <v>26250</v>
      </c>
    </row>
    <row r="10" spans="1:12" ht="15" customHeight="1" x14ac:dyDescent="0.2">
      <c r="A10" s="15" t="s">
        <v>907</v>
      </c>
      <c r="B10" s="25">
        <v>3</v>
      </c>
      <c r="C10" s="18">
        <f>Inputs!$H$37</f>
        <v>35</v>
      </c>
      <c r="D10" s="16">
        <f>Inputs!$H$38</f>
        <v>70000</v>
      </c>
      <c r="E10" s="53">
        <f>C10*D10</f>
        <v>2450000</v>
      </c>
      <c r="F10" s="19">
        <f>Inputs!$H$43</f>
        <v>0.3</v>
      </c>
      <c r="G10" s="62">
        <f>C10*(1-F10)</f>
        <v>24.5</v>
      </c>
      <c r="H10" s="25">
        <v>45</v>
      </c>
      <c r="I10" s="62">
        <f>$C$5*B10*60/H10</f>
        <v>240</v>
      </c>
      <c r="J10" s="55">
        <f>G10/I10</f>
        <v>0.10208333333333333</v>
      </c>
      <c r="K10" s="53">
        <f>E10*(1-F10)/($C$5*B10)</f>
        <v>9527.7777777777774</v>
      </c>
    </row>
    <row r="11" spans="1:12" ht="15" customHeight="1" x14ac:dyDescent="0.2">
      <c r="A11" s="15" t="s">
        <v>908</v>
      </c>
      <c r="B11" s="25">
        <v>4</v>
      </c>
      <c r="C11" s="18">
        <f>Inputs!$H$39</f>
        <v>45</v>
      </c>
      <c r="D11" s="16">
        <f>Inputs!$H$40</f>
        <v>140000</v>
      </c>
      <c r="E11" s="53">
        <f>C11*D11</f>
        <v>6300000</v>
      </c>
      <c r="F11" s="19">
        <f>Inputs!$H$43</f>
        <v>0.3</v>
      </c>
      <c r="G11" s="62">
        <f>C11*(1-F11)</f>
        <v>31.499999999999996</v>
      </c>
      <c r="H11" s="25">
        <v>75</v>
      </c>
      <c r="I11" s="62">
        <f>$C$5*B11*60/H11</f>
        <v>192</v>
      </c>
      <c r="J11" s="55">
        <f>G11/I11</f>
        <v>0.16406249999999997</v>
      </c>
      <c r="K11" s="53">
        <f>E11*(1-F11)/($C$5*B11)</f>
        <v>18375</v>
      </c>
    </row>
    <row r="12" spans="1:12" ht="15" customHeight="1" x14ac:dyDescent="0.2">
      <c r="A12" s="12" t="s">
        <v>909</v>
      </c>
      <c r="B12" s="62">
        <f>SUM(B8:B11)</f>
        <v>15</v>
      </c>
      <c r="C12" s="58">
        <f>SUM(C8:C11)</f>
        <v>200</v>
      </c>
      <c r="E12" s="59">
        <f>SUM(E8:E11)</f>
        <v>20675000</v>
      </c>
      <c r="G12" s="62">
        <f>SUM(G8:G11)</f>
        <v>140</v>
      </c>
      <c r="I12" s="62">
        <f>SUM(I8:I11)</f>
        <v>1200</v>
      </c>
      <c r="J12" s="55">
        <f>G12/I12</f>
        <v>0.11666666666666667</v>
      </c>
      <c r="K12" s="53">
        <f>SUMPRODUCT(E8:E11,1-F8:F11)/($C$5*B12)</f>
        <v>16080.555555555555</v>
      </c>
    </row>
    <row r="13" spans="1:12" ht="15" customHeight="1" x14ac:dyDescent="0.2">
      <c r="A13" s="15" t="s">
        <v>910</v>
      </c>
      <c r="C13" s="18">
        <f>Inputs!$H$41</f>
        <v>25</v>
      </c>
      <c r="D13" s="16">
        <f>Inputs!$H$42</f>
        <v>115000</v>
      </c>
      <c r="E13" s="53">
        <f>C13*D13</f>
        <v>2875000</v>
      </c>
    </row>
    <row r="14" spans="1:12" ht="15" customHeight="1" x14ac:dyDescent="0.2">
      <c r="A14" s="12" t="s">
        <v>911</v>
      </c>
      <c r="E14" s="41">
        <f>E12+E13</f>
        <v>23550000</v>
      </c>
    </row>
    <row r="16" spans="1:12" ht="15" customHeight="1" x14ac:dyDescent="0.2">
      <c r="A16" s="15" t="s">
        <v>912</v>
      </c>
      <c r="E16" s="53">
        <f>E12/C12</f>
        <v>103375</v>
      </c>
    </row>
    <row r="18" spans="1:6" ht="15" customHeight="1" x14ac:dyDescent="0.2">
      <c r="A18" s="12" t="s">
        <v>913</v>
      </c>
    </row>
    <row r="19" spans="1:6" ht="15" customHeight="1" x14ac:dyDescent="0.2">
      <c r="A19" s="15" t="s">
        <v>914</v>
      </c>
      <c r="E19" s="16">
        <f>E12*Inputs!$H$12</f>
        <v>620250000</v>
      </c>
    </row>
    <row r="20" spans="1:6" ht="15" customHeight="1" x14ac:dyDescent="0.2">
      <c r="A20" s="15" t="s">
        <v>915</v>
      </c>
      <c r="E20" s="16">
        <f>E13*Inputs!$H$12</f>
        <v>86250000</v>
      </c>
    </row>
    <row r="21" spans="1:6" ht="15" customHeight="1" x14ac:dyDescent="0.2">
      <c r="A21" s="15" t="s">
        <v>916</v>
      </c>
      <c r="E21" s="16">
        <f>Inputs!$H$44</f>
        <v>15000000</v>
      </c>
    </row>
    <row r="22" spans="1:6" ht="15" customHeight="1" x14ac:dyDescent="0.2">
      <c r="A22" s="15" t="s">
        <v>917</v>
      </c>
      <c r="E22" s="16">
        <f>(E19+E20)*Inputs!$H$45</f>
        <v>14130000</v>
      </c>
    </row>
    <row r="23" spans="1:6" ht="15" customHeight="1" x14ac:dyDescent="0.2">
      <c r="A23" s="12" t="s">
        <v>918</v>
      </c>
      <c r="E23" s="41">
        <f>SUM(E19:E22)</f>
        <v>735630000</v>
      </c>
      <c r="F23" s="17">
        <f>E23/Inputs!$H$10</f>
        <v>34056.944444444445</v>
      </c>
    </row>
    <row r="24" spans="1:6" ht="15" customHeight="1" x14ac:dyDescent="0.2">
      <c r="A24" s="15" t="s">
        <v>919</v>
      </c>
      <c r="E24" s="53">
        <f>E23*12</f>
        <v>8827560000</v>
      </c>
      <c r="F24" s="17">
        <f>E24/Inputs!$H$10</f>
        <v>408683.33333333331</v>
      </c>
    </row>
    <row r="26" spans="1:6" ht="15" customHeight="1" x14ac:dyDescent="0.2">
      <c r="A26" s="12" t="s">
        <v>920</v>
      </c>
      <c r="E26" s="15" t="str">
        <f>IF(MAX(J8:J11)&gt;0.85,"Peak daypart &gt;85% seat utilisation – demand may exceed capacity","OK – demand fits seat capacity")</f>
        <v>OK – demand fits seat capacity</v>
      </c>
    </row>
    <row r="28" spans="1:6" ht="15" customHeight="1" x14ac:dyDescent="0.2">
      <c r="A28" s="11" t="s">
        <v>921</v>
      </c>
    </row>
    <row r="29" spans="1:6" ht="15" customHeight="1" x14ac:dyDescent="0.2">
      <c r="A29" s="11" t="s">
        <v>922</v>
      </c>
    </row>
    <row r="32" spans="1:6" ht="15.75" customHeight="1" x14ac:dyDescent="0.2">
      <c r="A32" s="118" t="s">
        <v>923</v>
      </c>
    </row>
    <row r="33" spans="1:17" ht="27" customHeight="1" x14ac:dyDescent="0.2">
      <c r="A33" s="195" t="s">
        <v>114</v>
      </c>
      <c r="B33" s="196"/>
      <c r="C33" s="195" t="s">
        <v>115</v>
      </c>
      <c r="D33" s="196"/>
      <c r="E33" s="195" t="s">
        <v>116</v>
      </c>
      <c r="F33" s="196"/>
      <c r="G33" s="196"/>
      <c r="H33" s="195" t="s">
        <v>117</v>
      </c>
      <c r="I33" s="196"/>
      <c r="J33" s="196"/>
      <c r="K33" s="196"/>
      <c r="L33" s="196"/>
      <c r="M33" s="196"/>
      <c r="N33" s="196"/>
      <c r="O33" s="195" t="s">
        <v>22</v>
      </c>
      <c r="P33" s="196"/>
      <c r="Q33" s="196"/>
    </row>
    <row r="34" spans="1:17" ht="15" customHeight="1" x14ac:dyDescent="0.2">
      <c r="A34" s="197" t="s">
        <v>924</v>
      </c>
      <c r="B34" s="199"/>
      <c r="C34" s="203">
        <f>Revenue!C5</f>
        <v>60</v>
      </c>
      <c r="D34" s="199"/>
      <c r="E34" s="197" t="s">
        <v>925</v>
      </c>
      <c r="F34" s="198"/>
      <c r="G34" s="199"/>
      <c r="H34" s="197" t="s">
        <v>926</v>
      </c>
      <c r="I34" s="198"/>
      <c r="J34" s="198"/>
      <c r="K34" s="198"/>
      <c r="L34" s="198"/>
      <c r="M34" s="198"/>
      <c r="N34" s="199"/>
      <c r="O34" s="201" t="s">
        <v>257</v>
      </c>
      <c r="P34" s="198"/>
      <c r="Q34" s="199"/>
    </row>
    <row r="35" spans="1:17" ht="15" customHeight="1" x14ac:dyDescent="0.2">
      <c r="A35" s="197" t="s">
        <v>927</v>
      </c>
      <c r="B35" s="199"/>
      <c r="C35" s="203">
        <f>Revenue!B12</f>
        <v>15</v>
      </c>
      <c r="D35" s="199"/>
      <c r="E35" s="197" t="s">
        <v>125</v>
      </c>
      <c r="F35" s="198"/>
      <c r="G35" s="199"/>
      <c r="H35" s="197" t="s">
        <v>928</v>
      </c>
      <c r="I35" s="198"/>
      <c r="J35" s="198"/>
      <c r="K35" s="198"/>
      <c r="L35" s="198"/>
      <c r="M35" s="198"/>
      <c r="N35" s="199"/>
      <c r="O35" s="205" t="s">
        <v>127</v>
      </c>
      <c r="P35" s="198"/>
      <c r="Q35" s="199"/>
    </row>
    <row r="36" spans="1:17" ht="15" customHeight="1" x14ac:dyDescent="0.2">
      <c r="A36" s="197" t="s">
        <v>929</v>
      </c>
      <c r="B36" s="199"/>
      <c r="C36" s="203">
        <f>Revenue!C12</f>
        <v>200</v>
      </c>
      <c r="D36" s="199"/>
      <c r="E36" s="197" t="s">
        <v>930</v>
      </c>
      <c r="F36" s="198"/>
      <c r="G36" s="199"/>
      <c r="H36" s="197" t="s">
        <v>931</v>
      </c>
      <c r="I36" s="198"/>
      <c r="J36" s="198"/>
      <c r="K36" s="198"/>
      <c r="L36" s="198"/>
      <c r="M36" s="198"/>
      <c r="N36" s="199"/>
      <c r="O36" s="204" t="s">
        <v>27</v>
      </c>
      <c r="P36" s="198"/>
      <c r="Q36" s="199"/>
    </row>
    <row r="37" spans="1:17" ht="27" customHeight="1" x14ac:dyDescent="0.2">
      <c r="A37" s="197" t="s">
        <v>932</v>
      </c>
      <c r="B37" s="199"/>
      <c r="C37" s="203">
        <f>Revenue!H9</f>
        <v>50</v>
      </c>
      <c r="D37" s="199"/>
      <c r="E37" s="197" t="s">
        <v>933</v>
      </c>
      <c r="F37" s="198"/>
      <c r="G37" s="199"/>
      <c r="H37" s="197" t="s">
        <v>934</v>
      </c>
      <c r="I37" s="198"/>
      <c r="J37" s="198"/>
      <c r="K37" s="198"/>
      <c r="L37" s="198"/>
      <c r="M37" s="198"/>
      <c r="N37" s="199"/>
      <c r="O37" s="204" t="s">
        <v>27</v>
      </c>
      <c r="P37" s="198"/>
      <c r="Q37" s="199"/>
    </row>
    <row r="38" spans="1:17" ht="15" customHeight="1" x14ac:dyDescent="0.2">
      <c r="A38" s="197" t="s">
        <v>935</v>
      </c>
      <c r="B38" s="199"/>
      <c r="C38" s="203">
        <f>Revenue!E13</f>
        <v>2875000</v>
      </c>
      <c r="D38" s="199"/>
      <c r="E38" s="197" t="s">
        <v>936</v>
      </c>
      <c r="F38" s="198"/>
      <c r="G38" s="199"/>
      <c r="H38" s="197" t="s">
        <v>937</v>
      </c>
      <c r="I38" s="198"/>
      <c r="J38" s="198"/>
      <c r="K38" s="198"/>
      <c r="L38" s="198"/>
      <c r="M38" s="198"/>
      <c r="N38" s="199"/>
      <c r="O38" s="204" t="s">
        <v>27</v>
      </c>
      <c r="P38" s="198"/>
      <c r="Q38" s="199"/>
    </row>
    <row r="39" spans="1:17" ht="27" customHeight="1" x14ac:dyDescent="0.2">
      <c r="A39" s="197" t="s">
        <v>938</v>
      </c>
      <c r="B39" s="199"/>
      <c r="C39" s="202" t="s">
        <v>125</v>
      </c>
      <c r="D39" s="199"/>
      <c r="E39" s="197" t="s">
        <v>939</v>
      </c>
      <c r="F39" s="198"/>
      <c r="G39" s="199"/>
      <c r="H39" s="197" t="s">
        <v>940</v>
      </c>
      <c r="I39" s="198"/>
      <c r="J39" s="198"/>
      <c r="K39" s="198"/>
      <c r="L39" s="198"/>
      <c r="M39" s="198"/>
      <c r="N39" s="199"/>
      <c r="O39" s="205" t="s">
        <v>127</v>
      </c>
      <c r="P39" s="198"/>
      <c r="Q39" s="199"/>
    </row>
  </sheetData>
  <mergeCells count="35">
    <mergeCell ref="E36:G36"/>
    <mergeCell ref="A37:B37"/>
    <mergeCell ref="H35:N35"/>
    <mergeCell ref="E38:G38"/>
    <mergeCell ref="O38:Q38"/>
    <mergeCell ref="E37:G37"/>
    <mergeCell ref="A33:B33"/>
    <mergeCell ref="A35:B35"/>
    <mergeCell ref="A38:B38"/>
    <mergeCell ref="E33:G33"/>
    <mergeCell ref="O33:Q33"/>
    <mergeCell ref="C34:D34"/>
    <mergeCell ref="H37:N37"/>
    <mergeCell ref="C33:D33"/>
    <mergeCell ref="O35:Q35"/>
    <mergeCell ref="A36:B36"/>
    <mergeCell ref="E34:G34"/>
    <mergeCell ref="H33:N33"/>
    <mergeCell ref="C35:D35"/>
    <mergeCell ref="A39:B39"/>
    <mergeCell ref="A34:B34"/>
    <mergeCell ref="H39:N39"/>
    <mergeCell ref="O37:Q37"/>
    <mergeCell ref="C36:D36"/>
    <mergeCell ref="H34:N34"/>
    <mergeCell ref="C39:D39"/>
    <mergeCell ref="O34:Q34"/>
    <mergeCell ref="H36:N36"/>
    <mergeCell ref="C38:D38"/>
    <mergeCell ref="E39:G39"/>
    <mergeCell ref="C37:D37"/>
    <mergeCell ref="O36:Q36"/>
    <mergeCell ref="E35:G35"/>
    <mergeCell ref="O39:Q39"/>
    <mergeCell ref="H38:N3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1"/>
  <sheetViews>
    <sheetView showGridLines="0" zoomScaleNormal="100" workbookViewId="0">
      <selection activeCell="C6" sqref="C6"/>
    </sheetView>
  </sheetViews>
  <sheetFormatPr baseColWidth="10" defaultColWidth="8.6640625" defaultRowHeight="15" x14ac:dyDescent="0.2"/>
  <cols>
    <col min="1" max="1" width="34" customWidth="1"/>
    <col min="2" max="2" width="10" customWidth="1"/>
    <col min="3" max="4" width="15" customWidth="1"/>
    <col min="5" max="5" width="13" customWidth="1"/>
    <col min="6" max="6" width="15" customWidth="1"/>
    <col min="7" max="9" width="13" customWidth="1"/>
    <col min="10" max="10" width="15" customWidth="1"/>
    <col min="11" max="11" width="50" customWidth="1"/>
    <col min="12" max="12" width="60" customWidth="1"/>
    <col min="13" max="13" width="20" customWidth="1"/>
  </cols>
  <sheetData>
    <row r="1" spans="1:13" ht="17.25" customHeight="1" x14ac:dyDescent="0.2">
      <c r="A1" s="115" t="s">
        <v>941</v>
      </c>
    </row>
    <row r="2" spans="1:13" ht="15" customHeight="1" x14ac:dyDescent="0.2">
      <c r="A2" s="11" t="s">
        <v>942</v>
      </c>
    </row>
    <row r="3" spans="1:13" x14ac:dyDescent="0.2">
      <c r="A3" s="96" t="s">
        <v>943</v>
      </c>
      <c r="B3" s="97" t="s">
        <v>944</v>
      </c>
      <c r="C3" s="97"/>
      <c r="D3" s="97"/>
      <c r="E3" s="97"/>
      <c r="F3" s="97"/>
      <c r="G3" s="97"/>
      <c r="H3" s="97"/>
      <c r="I3" s="97"/>
      <c r="J3" s="97"/>
      <c r="K3" s="97"/>
    </row>
    <row r="4" spans="1:13" x14ac:dyDescent="0.2">
      <c r="A4" s="96"/>
      <c r="B4" s="97" t="s">
        <v>945</v>
      </c>
      <c r="C4" s="97"/>
      <c r="D4" s="97"/>
      <c r="E4" s="97"/>
      <c r="F4" s="97"/>
      <c r="G4" s="97"/>
      <c r="H4" s="97"/>
      <c r="I4" s="97"/>
      <c r="J4" s="97"/>
      <c r="K4" s="97"/>
    </row>
    <row r="5" spans="1:13" ht="34.5" customHeight="1" x14ac:dyDescent="0.2">
      <c r="A5" s="117" t="s">
        <v>946</v>
      </c>
      <c r="B5" s="117" t="s">
        <v>947</v>
      </c>
      <c r="C5" s="117" t="s">
        <v>948</v>
      </c>
      <c r="D5" s="117" t="s">
        <v>949</v>
      </c>
      <c r="E5" s="117" t="s">
        <v>950</v>
      </c>
      <c r="F5" s="117" t="s">
        <v>951</v>
      </c>
      <c r="G5" s="117" t="s">
        <v>952</v>
      </c>
      <c r="H5" s="117" t="s">
        <v>953</v>
      </c>
      <c r="I5" s="117" t="s">
        <v>954</v>
      </c>
      <c r="J5" s="117" t="s">
        <v>955</v>
      </c>
      <c r="K5" s="117" t="s">
        <v>956</v>
      </c>
      <c r="L5" s="119" t="s">
        <v>957</v>
      </c>
      <c r="M5" s="119" t="s">
        <v>22</v>
      </c>
    </row>
    <row r="6" spans="1:13" ht="27" customHeight="1" x14ac:dyDescent="0.2">
      <c r="A6" s="15" t="s">
        <v>958</v>
      </c>
      <c r="B6" s="25">
        <v>1</v>
      </c>
      <c r="C6" s="105">
        <v>16000000</v>
      </c>
      <c r="D6" s="16">
        <f>C6*Inputs!$H$62</f>
        <v>16000000</v>
      </c>
      <c r="E6" s="20" t="str">
        <f>IF(D6&lt;Inputs!$H$61,"Below UMP!","OK")</f>
        <v>OK</v>
      </c>
      <c r="F6" s="53">
        <f t="shared" ref="F6:F14" si="0">B6*D6</f>
        <v>16000000</v>
      </c>
      <c r="G6" s="16">
        <f>F6*Inputs!$H$63</f>
        <v>1840000</v>
      </c>
      <c r="H6" s="16">
        <f>F6*Inputs!$H$64</f>
        <v>1332800</v>
      </c>
      <c r="I6" s="16">
        <f>B6*Inputs!$H$65</f>
        <v>1000000</v>
      </c>
      <c r="J6" s="53">
        <f t="shared" ref="J6:J14" si="1">SUM(F6:I6)</f>
        <v>20172800</v>
      </c>
      <c r="K6" s="13" t="s">
        <v>959</v>
      </c>
      <c r="L6" s="13" t="s">
        <v>960</v>
      </c>
      <c r="M6" s="63" t="s">
        <v>257</v>
      </c>
    </row>
    <row r="7" spans="1:13" ht="27" customHeight="1" x14ac:dyDescent="0.2">
      <c r="A7" s="15" t="s">
        <v>961</v>
      </c>
      <c r="B7" s="25">
        <v>1</v>
      </c>
      <c r="C7" s="105">
        <v>13000000</v>
      </c>
      <c r="D7" s="16">
        <f>C7*Inputs!$H$62</f>
        <v>13000000</v>
      </c>
      <c r="E7" s="20" t="str">
        <f>IF(D7&lt;Inputs!$H$61,"Below UMP!","OK")</f>
        <v>OK</v>
      </c>
      <c r="F7" s="53">
        <f t="shared" si="0"/>
        <v>13000000</v>
      </c>
      <c r="G7" s="16">
        <f>F7*Inputs!$H$63</f>
        <v>1495000</v>
      </c>
      <c r="H7" s="16">
        <f>F7*Inputs!$H$64</f>
        <v>1082900</v>
      </c>
      <c r="I7" s="16">
        <f>B7*Inputs!$H$65</f>
        <v>1000000</v>
      </c>
      <c r="J7" s="53">
        <f t="shared" si="1"/>
        <v>16577900</v>
      </c>
      <c r="K7" s="13" t="s">
        <v>962</v>
      </c>
      <c r="L7" s="13" t="s">
        <v>963</v>
      </c>
      <c r="M7" s="63" t="s">
        <v>257</v>
      </c>
    </row>
    <row r="8" spans="1:13" ht="15" customHeight="1" x14ac:dyDescent="0.2">
      <c r="A8" s="106" t="s">
        <v>964</v>
      </c>
      <c r="B8" s="25">
        <v>1</v>
      </c>
      <c r="C8" s="105">
        <v>9000000</v>
      </c>
      <c r="D8" s="16">
        <f>C8*Inputs!$H$62</f>
        <v>9000000</v>
      </c>
      <c r="E8" s="20" t="str">
        <f>IF(D8&lt;Inputs!$H$61,"Below UMP!","OK")</f>
        <v>OK</v>
      </c>
      <c r="F8" s="53">
        <f t="shared" si="0"/>
        <v>9000000</v>
      </c>
      <c r="G8" s="16">
        <f>F8*Inputs!$H$63</f>
        <v>1035000</v>
      </c>
      <c r="H8" s="16">
        <f>F8*Inputs!$H$64</f>
        <v>749700</v>
      </c>
      <c r="I8" s="16">
        <f>B8*Inputs!$H$65</f>
        <v>1000000</v>
      </c>
      <c r="J8" s="53">
        <f t="shared" si="1"/>
        <v>11784700</v>
      </c>
      <c r="K8" s="13" t="s">
        <v>965</v>
      </c>
      <c r="L8" s="13" t="s">
        <v>966</v>
      </c>
      <c r="M8" s="63" t="s">
        <v>257</v>
      </c>
    </row>
    <row r="9" spans="1:13" ht="15" customHeight="1" x14ac:dyDescent="0.2">
      <c r="A9" s="15" t="s">
        <v>967</v>
      </c>
      <c r="B9" s="25">
        <v>3</v>
      </c>
      <c r="C9" s="105">
        <v>6500000</v>
      </c>
      <c r="D9" s="16">
        <f>C9*Inputs!$H$62</f>
        <v>6500000</v>
      </c>
      <c r="E9" s="20" t="str">
        <f>IF(D9&lt;Inputs!$H$61,"Below UMP!","OK")</f>
        <v>OK</v>
      </c>
      <c r="F9" s="53">
        <f t="shared" si="0"/>
        <v>19500000</v>
      </c>
      <c r="G9" s="16">
        <f>F9*Inputs!$H$63</f>
        <v>2242500</v>
      </c>
      <c r="H9" s="16">
        <f>F9*Inputs!$H$64</f>
        <v>1624350</v>
      </c>
      <c r="I9" s="16">
        <f>B9*Inputs!$H$65</f>
        <v>3000000</v>
      </c>
      <c r="J9" s="53">
        <f t="shared" si="1"/>
        <v>26366850</v>
      </c>
      <c r="K9" s="13" t="s">
        <v>968</v>
      </c>
      <c r="L9" s="13" t="s">
        <v>969</v>
      </c>
      <c r="M9" s="63" t="s">
        <v>257</v>
      </c>
    </row>
    <row r="10" spans="1:13" ht="15" customHeight="1" x14ac:dyDescent="0.2">
      <c r="A10" s="15" t="s">
        <v>970</v>
      </c>
      <c r="B10" s="25">
        <v>2</v>
      </c>
      <c r="C10" s="105">
        <v>5800000</v>
      </c>
      <c r="D10" s="16">
        <f>C10*Inputs!$H$62</f>
        <v>5800000</v>
      </c>
      <c r="E10" s="20" t="str">
        <f>IF(D10&lt;Inputs!$H$61,"Below UMP!","OK")</f>
        <v>OK</v>
      </c>
      <c r="F10" s="53">
        <f t="shared" si="0"/>
        <v>11600000</v>
      </c>
      <c r="G10" s="16">
        <f>F10*Inputs!$H$63</f>
        <v>1334000</v>
      </c>
      <c r="H10" s="16">
        <f>F10*Inputs!$H$64</f>
        <v>966280</v>
      </c>
      <c r="I10" s="16">
        <f>B10*Inputs!$H$65</f>
        <v>2000000</v>
      </c>
      <c r="J10" s="53">
        <f t="shared" si="1"/>
        <v>15900280</v>
      </c>
      <c r="K10" s="13" t="s">
        <v>971</v>
      </c>
      <c r="L10" s="13" t="s">
        <v>972</v>
      </c>
      <c r="M10" s="63" t="s">
        <v>257</v>
      </c>
    </row>
    <row r="11" spans="1:13" ht="15" customHeight="1" x14ac:dyDescent="0.2">
      <c r="A11" s="15" t="s">
        <v>973</v>
      </c>
      <c r="B11" s="25">
        <v>1</v>
      </c>
      <c r="C11" s="105">
        <v>8500000</v>
      </c>
      <c r="D11" s="16">
        <f>C11*Inputs!$H$62</f>
        <v>8500000</v>
      </c>
      <c r="E11" s="20" t="str">
        <f>IF(D11&lt;Inputs!$H$61,"Below UMP!","OK")</f>
        <v>OK</v>
      </c>
      <c r="F11" s="53">
        <f t="shared" si="0"/>
        <v>8500000</v>
      </c>
      <c r="G11" s="16">
        <f>F11*Inputs!$H$63</f>
        <v>977500</v>
      </c>
      <c r="H11" s="16">
        <f>F11*Inputs!$H$64</f>
        <v>708050</v>
      </c>
      <c r="I11" s="16">
        <f>B11*Inputs!$H$65</f>
        <v>1000000</v>
      </c>
      <c r="J11" s="53">
        <f t="shared" si="1"/>
        <v>11185550</v>
      </c>
      <c r="K11" s="13" t="s">
        <v>974</v>
      </c>
      <c r="L11" s="13" t="s">
        <v>975</v>
      </c>
      <c r="M11" s="63" t="s">
        <v>257</v>
      </c>
    </row>
    <row r="12" spans="1:13" ht="27" customHeight="1" x14ac:dyDescent="0.2">
      <c r="A12" s="15" t="s">
        <v>976</v>
      </c>
      <c r="B12" s="25">
        <v>3</v>
      </c>
      <c r="C12" s="105">
        <v>6000000</v>
      </c>
      <c r="D12" s="16">
        <f>C12*Inputs!$H$62</f>
        <v>6000000</v>
      </c>
      <c r="E12" s="20" t="str">
        <f>IF(D12&lt;Inputs!$H$61,"Below UMP!","OK")</f>
        <v>OK</v>
      </c>
      <c r="F12" s="53">
        <f t="shared" si="0"/>
        <v>18000000</v>
      </c>
      <c r="G12" s="16">
        <f>F12*Inputs!$H$63</f>
        <v>2070000</v>
      </c>
      <c r="H12" s="16">
        <f>F12*Inputs!$H$64</f>
        <v>1499400</v>
      </c>
      <c r="I12" s="16">
        <f>B12*Inputs!$H$65</f>
        <v>3000000</v>
      </c>
      <c r="J12" s="53">
        <f t="shared" si="1"/>
        <v>24569400</v>
      </c>
      <c r="K12" s="13" t="s">
        <v>977</v>
      </c>
      <c r="L12" s="13" t="s">
        <v>978</v>
      </c>
      <c r="M12" s="63" t="s">
        <v>257</v>
      </c>
    </row>
    <row r="13" spans="1:13" ht="27" customHeight="1" x14ac:dyDescent="0.2">
      <c r="A13" s="106" t="s">
        <v>979</v>
      </c>
      <c r="B13" s="25">
        <v>4</v>
      </c>
      <c r="C13" s="105">
        <v>5900000</v>
      </c>
      <c r="D13" s="16">
        <f>C13*Inputs!$H$62</f>
        <v>5900000</v>
      </c>
      <c r="E13" s="20" t="str">
        <f>IF(D13&lt;Inputs!$H$61,"Below UMP!","OK")</f>
        <v>OK</v>
      </c>
      <c r="F13" s="53">
        <f t="shared" si="0"/>
        <v>23600000</v>
      </c>
      <c r="G13" s="16">
        <f>F13*Inputs!$H$63</f>
        <v>2714000</v>
      </c>
      <c r="H13" s="16">
        <f>F13*Inputs!$H$64</f>
        <v>1965880</v>
      </c>
      <c r="I13" s="16">
        <f>B13*Inputs!$H$65</f>
        <v>4000000</v>
      </c>
      <c r="J13" s="53">
        <f t="shared" si="1"/>
        <v>32279880</v>
      </c>
      <c r="K13" s="13" t="s">
        <v>980</v>
      </c>
      <c r="L13" s="13" t="s">
        <v>981</v>
      </c>
      <c r="M13" s="63" t="s">
        <v>257</v>
      </c>
    </row>
    <row r="14" spans="1:13" ht="15" customHeight="1" x14ac:dyDescent="0.2">
      <c r="A14" s="15" t="s">
        <v>982</v>
      </c>
      <c r="B14" s="25">
        <v>1</v>
      </c>
      <c r="C14" s="105">
        <v>5900000</v>
      </c>
      <c r="D14" s="16">
        <f>C14*Inputs!$H$62</f>
        <v>5900000</v>
      </c>
      <c r="E14" s="20" t="str">
        <f>IF(D14&lt;Inputs!$H$61,"Below UMP!","OK")</f>
        <v>OK</v>
      </c>
      <c r="F14" s="53">
        <f t="shared" si="0"/>
        <v>5900000</v>
      </c>
      <c r="G14" s="16">
        <f>F14*Inputs!$H$63</f>
        <v>678500</v>
      </c>
      <c r="H14" s="16">
        <f>F14*Inputs!$H$64</f>
        <v>491470</v>
      </c>
      <c r="I14" s="16">
        <f>B14*Inputs!$H$65</f>
        <v>1000000</v>
      </c>
      <c r="J14" s="53">
        <f t="shared" si="1"/>
        <v>8069970</v>
      </c>
      <c r="K14" s="13" t="s">
        <v>971</v>
      </c>
      <c r="L14" s="13" t="s">
        <v>983</v>
      </c>
      <c r="M14" s="63" t="s">
        <v>257</v>
      </c>
    </row>
    <row r="15" spans="1:13" ht="15" customHeight="1" x14ac:dyDescent="0.2">
      <c r="A15" s="12" t="s">
        <v>984</v>
      </c>
      <c r="B15" s="58">
        <f>SUM(B6:B14)</f>
        <v>17</v>
      </c>
      <c r="F15" s="59">
        <f>SUM(F6:F14)</f>
        <v>125100000</v>
      </c>
      <c r="G15" s="59">
        <f>SUM(G6:G14)</f>
        <v>14386500</v>
      </c>
      <c r="H15" s="59">
        <f>SUM(H6:H14)</f>
        <v>10420830</v>
      </c>
      <c r="I15" s="59">
        <f>SUM(I6:I14)</f>
        <v>17000000</v>
      </c>
      <c r="J15" s="41">
        <f>SUM(J6:J14)</f>
        <v>166907330</v>
      </c>
      <c r="K15" s="17">
        <f>J15/Inputs!$H$10</f>
        <v>7727.1912037037036</v>
      </c>
    </row>
    <row r="17" spans="1:12" ht="15" customHeight="1" x14ac:dyDescent="0.2">
      <c r="A17" s="15" t="s">
        <v>985</v>
      </c>
      <c r="J17" s="53">
        <f>SUMPRODUCT(B6:B14,C6:C14)</f>
        <v>125100000</v>
      </c>
    </row>
    <row r="18" spans="1:12" ht="15" customHeight="1" x14ac:dyDescent="0.2">
      <c r="A18" s="15" t="s">
        <v>986</v>
      </c>
      <c r="J18" s="64">
        <f>B15*173/(15*30)</f>
        <v>6.5355555555555558</v>
      </c>
      <c r="K18" s="15" t="s">
        <v>987</v>
      </c>
    </row>
    <row r="20" spans="1:12" ht="15" customHeight="1" x14ac:dyDescent="0.2">
      <c r="A20" s="11" t="s">
        <v>988</v>
      </c>
    </row>
    <row r="23" spans="1:12" ht="15.75" customHeight="1" x14ac:dyDescent="0.2">
      <c r="A23" s="118" t="s">
        <v>989</v>
      </c>
    </row>
    <row r="24" spans="1:12" ht="27" customHeight="1" x14ac:dyDescent="0.2">
      <c r="A24" s="119" t="s">
        <v>114</v>
      </c>
      <c r="B24" s="195" t="s">
        <v>115</v>
      </c>
      <c r="C24" s="196"/>
      <c r="D24" s="195" t="s">
        <v>116</v>
      </c>
      <c r="E24" s="196"/>
      <c r="F24" s="196"/>
      <c r="G24" s="195" t="s">
        <v>117</v>
      </c>
      <c r="H24" s="196"/>
      <c r="I24" s="196"/>
      <c r="J24" s="196"/>
      <c r="K24" s="196"/>
      <c r="L24" s="119" t="s">
        <v>22</v>
      </c>
    </row>
    <row r="25" spans="1:12" ht="27" customHeight="1" x14ac:dyDescent="0.2">
      <c r="A25" s="9" t="s">
        <v>990</v>
      </c>
      <c r="B25" s="203">
        <f>Staffing!B15</f>
        <v>17</v>
      </c>
      <c r="C25" s="199"/>
      <c r="D25" s="197" t="s">
        <v>125</v>
      </c>
      <c r="E25" s="198"/>
      <c r="F25" s="199"/>
      <c r="G25" s="197" t="s">
        <v>991</v>
      </c>
      <c r="H25" s="198"/>
      <c r="I25" s="198"/>
      <c r="J25" s="198"/>
      <c r="K25" s="199"/>
      <c r="L25" s="6" t="s">
        <v>127</v>
      </c>
    </row>
    <row r="26" spans="1:12" ht="15" customHeight="1" x14ac:dyDescent="0.2">
      <c r="A26" s="9" t="s">
        <v>992</v>
      </c>
      <c r="B26" s="203">
        <f>Inputs!H61</f>
        <v>5729876</v>
      </c>
      <c r="C26" s="199"/>
      <c r="D26" s="197" t="s">
        <v>993</v>
      </c>
      <c r="E26" s="198"/>
      <c r="F26" s="199"/>
      <c r="G26" s="197" t="s">
        <v>994</v>
      </c>
      <c r="H26" s="198"/>
      <c r="I26" s="198"/>
      <c r="J26" s="198"/>
      <c r="K26" s="199"/>
      <c r="L26" s="5" t="s">
        <v>131</v>
      </c>
    </row>
    <row r="27" spans="1:12" ht="15" customHeight="1" x14ac:dyDescent="0.2">
      <c r="A27" s="9" t="s">
        <v>995</v>
      </c>
      <c r="B27" s="206">
        <f>Inputs!H63</f>
        <v>0.115</v>
      </c>
      <c r="C27" s="199"/>
      <c r="D27" s="197" t="s">
        <v>996</v>
      </c>
      <c r="E27" s="198"/>
      <c r="F27" s="199"/>
      <c r="G27" s="197" t="s">
        <v>997</v>
      </c>
      <c r="H27" s="198"/>
      <c r="I27" s="198"/>
      <c r="J27" s="198"/>
      <c r="K27" s="199"/>
      <c r="L27" s="5" t="s">
        <v>257</v>
      </c>
    </row>
    <row r="28" spans="1:12" ht="15" customHeight="1" x14ac:dyDescent="0.2">
      <c r="A28" s="9" t="s">
        <v>998</v>
      </c>
      <c r="B28" s="206">
        <f>Inputs!H64</f>
        <v>8.3299999999999999E-2</v>
      </c>
      <c r="C28" s="199"/>
      <c r="D28" s="197" t="s">
        <v>999</v>
      </c>
      <c r="E28" s="198"/>
      <c r="F28" s="199"/>
      <c r="G28" s="197" t="s">
        <v>1000</v>
      </c>
      <c r="H28" s="198"/>
      <c r="I28" s="198"/>
      <c r="J28" s="198"/>
      <c r="K28" s="199"/>
      <c r="L28" s="5" t="s">
        <v>131</v>
      </c>
    </row>
    <row r="29" spans="1:12" ht="15" customHeight="1" x14ac:dyDescent="0.2">
      <c r="A29" s="9" t="s">
        <v>1001</v>
      </c>
      <c r="B29" s="203">
        <f>Inputs!H65</f>
        <v>1000000</v>
      </c>
      <c r="C29" s="199"/>
      <c r="D29" s="197" t="s">
        <v>125</v>
      </c>
      <c r="E29" s="198"/>
      <c r="F29" s="199"/>
      <c r="G29" s="197" t="s">
        <v>1002</v>
      </c>
      <c r="H29" s="198"/>
      <c r="I29" s="198"/>
      <c r="J29" s="198"/>
      <c r="K29" s="199"/>
      <c r="L29" s="6" t="s">
        <v>127</v>
      </c>
    </row>
    <row r="30" spans="1:12" ht="15" customHeight="1" x14ac:dyDescent="0.2">
      <c r="A30" s="9" t="s">
        <v>1003</v>
      </c>
      <c r="B30" s="207">
        <f>Staffing!J18</f>
        <v>6.5355555555555558</v>
      </c>
      <c r="C30" s="199"/>
      <c r="D30" s="197" t="s">
        <v>1004</v>
      </c>
      <c r="E30" s="198"/>
      <c r="F30" s="199"/>
      <c r="G30" s="197" t="s">
        <v>1005</v>
      </c>
      <c r="H30" s="198"/>
      <c r="I30" s="198"/>
      <c r="J30" s="198"/>
      <c r="K30" s="199"/>
      <c r="L30" s="8" t="s">
        <v>138</v>
      </c>
    </row>
    <row r="31" spans="1:12" ht="27" customHeight="1" x14ac:dyDescent="0.2">
      <c r="A31" s="9" t="s">
        <v>1006</v>
      </c>
      <c r="B31" s="206">
        <f>Scenarios!F38</f>
        <v>0.22689032529940323</v>
      </c>
      <c r="C31" s="199"/>
      <c r="D31" s="197" t="s">
        <v>1007</v>
      </c>
      <c r="E31" s="198"/>
      <c r="F31" s="199"/>
      <c r="G31" s="197" t="s">
        <v>1008</v>
      </c>
      <c r="H31" s="198"/>
      <c r="I31" s="198"/>
      <c r="J31" s="198"/>
      <c r="K31" s="199"/>
      <c r="L31" s="5" t="s">
        <v>257</v>
      </c>
    </row>
  </sheetData>
  <mergeCells count="24">
    <mergeCell ref="D25:F25"/>
    <mergeCell ref="D31:F31"/>
    <mergeCell ref="G31:K31"/>
    <mergeCell ref="B31:C31"/>
    <mergeCell ref="B27:C27"/>
    <mergeCell ref="D28:F28"/>
    <mergeCell ref="G28:K28"/>
    <mergeCell ref="D30:F30"/>
    <mergeCell ref="D24:F24"/>
    <mergeCell ref="G30:K30"/>
    <mergeCell ref="B29:C29"/>
    <mergeCell ref="D29:F29"/>
    <mergeCell ref="G24:K24"/>
    <mergeCell ref="B28:C28"/>
    <mergeCell ref="D26:F26"/>
    <mergeCell ref="G26:K26"/>
    <mergeCell ref="B30:C30"/>
    <mergeCell ref="G29:K29"/>
    <mergeCell ref="B24:C24"/>
    <mergeCell ref="G25:K25"/>
    <mergeCell ref="B26:C26"/>
    <mergeCell ref="D27:F27"/>
    <mergeCell ref="B25:C25"/>
    <mergeCell ref="G27:K27"/>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7"/>
  <sheetViews>
    <sheetView showGridLines="0" zoomScaleNormal="100" workbookViewId="0">
      <selection activeCell="B23" sqref="B23"/>
    </sheetView>
  </sheetViews>
  <sheetFormatPr baseColWidth="10" defaultColWidth="8.6640625" defaultRowHeight="15" x14ac:dyDescent="0.2"/>
  <cols>
    <col min="1" max="1" width="52" customWidth="1"/>
    <col min="2" max="2" width="16" customWidth="1"/>
    <col min="3" max="3" width="18" customWidth="1"/>
    <col min="4" max="4" width="50" customWidth="1"/>
  </cols>
  <sheetData>
    <row r="1" spans="1:7" ht="17.25" customHeight="1" x14ac:dyDescent="0.2">
      <c r="A1" s="124" t="s">
        <v>1009</v>
      </c>
    </row>
    <row r="2" spans="1:7" ht="15" customHeight="1" x14ac:dyDescent="0.2">
      <c r="A2" s="11" t="s">
        <v>1010</v>
      </c>
    </row>
    <row r="3" spans="1:7" x14ac:dyDescent="0.2">
      <c r="A3" s="96" t="s">
        <v>1011</v>
      </c>
      <c r="B3" s="97" t="s">
        <v>1012</v>
      </c>
      <c r="C3" s="97"/>
      <c r="D3" s="97"/>
      <c r="E3" s="97"/>
      <c r="F3" s="97"/>
      <c r="G3" s="97"/>
    </row>
    <row r="4" spans="1:7" x14ac:dyDescent="0.2">
      <c r="A4" s="96"/>
      <c r="B4" s="97" t="s">
        <v>1013</v>
      </c>
      <c r="C4" s="97"/>
      <c r="D4" s="97"/>
    </row>
    <row r="5" spans="1:7" ht="15" customHeight="1" x14ac:dyDescent="0.2">
      <c r="A5" s="117" t="s">
        <v>1014</v>
      </c>
      <c r="B5" s="117" t="s">
        <v>1015</v>
      </c>
      <c r="C5" s="117" t="s">
        <v>1016</v>
      </c>
      <c r="D5" s="117" t="s">
        <v>1017</v>
      </c>
    </row>
    <row r="6" spans="1:7" ht="15" customHeight="1" x14ac:dyDescent="0.2">
      <c r="A6" s="120" t="s">
        <v>1018</v>
      </c>
      <c r="B6" s="121"/>
      <c r="C6" s="121"/>
      <c r="D6" s="121"/>
    </row>
    <row r="7" spans="1:7" ht="15" customHeight="1" x14ac:dyDescent="0.2">
      <c r="A7" s="20" t="str">
        <f>Inputs!$C$67</f>
        <v>Local management / area oversight (part-time)</v>
      </c>
      <c r="B7" s="99">
        <f>Inputs!$H$67</f>
        <v>25000000</v>
      </c>
      <c r="C7" s="15" t="s">
        <v>491</v>
      </c>
    </row>
    <row r="8" spans="1:7" ht="15" customHeight="1" x14ac:dyDescent="0.2">
      <c r="A8" s="20" t="str">
        <f>Inputs!$C$68</f>
        <v>Accounting, tax, payroll &amp; legal retainer</v>
      </c>
      <c r="B8" s="99">
        <f>Inputs!$H$68</f>
        <v>9000000</v>
      </c>
      <c r="C8" s="15" t="s">
        <v>491</v>
      </c>
    </row>
    <row r="9" spans="1:7" ht="15" customHeight="1" x14ac:dyDescent="0.2">
      <c r="A9" s="20" t="str">
        <f>Inputs!$C$69</f>
        <v>Insurance</v>
      </c>
      <c r="B9" s="99">
        <f>Inputs!$H$69</f>
        <v>3000000</v>
      </c>
      <c r="C9" s="15" t="s">
        <v>491</v>
      </c>
    </row>
    <row r="10" spans="1:7" ht="15" customHeight="1" x14ac:dyDescent="0.2">
      <c r="A10" s="20" t="str">
        <f>Inputs!$C$70</f>
        <v>POS/software, internet, music licence</v>
      </c>
      <c r="B10" s="99">
        <f>Inputs!$H$70</f>
        <v>3000000</v>
      </c>
      <c r="C10" s="15" t="s">
        <v>491</v>
      </c>
    </row>
    <row r="11" spans="1:7" ht="15" customHeight="1" x14ac:dyDescent="0.2">
      <c r="A11" s="20" t="str">
        <f>Inputs!$C$71</f>
        <v>Cleaning, pest control, waste &amp; laundry</v>
      </c>
      <c r="B11" s="99">
        <f>Inputs!$H$71</f>
        <v>5000000</v>
      </c>
      <c r="C11" s="15" t="s">
        <v>491</v>
      </c>
    </row>
    <row r="12" spans="1:7" ht="15" customHeight="1" x14ac:dyDescent="0.2">
      <c r="A12" s="20" t="str">
        <f>Inputs!$C$72</f>
        <v>Other admin (bank, permits renewal, travel)</v>
      </c>
      <c r="B12" s="99">
        <f>Inputs!$H$72</f>
        <v>4000000</v>
      </c>
      <c r="C12" s="15" t="s">
        <v>491</v>
      </c>
    </row>
    <row r="13" spans="1:7" ht="15" customHeight="1" x14ac:dyDescent="0.2">
      <c r="A13" s="12" t="s">
        <v>1019</v>
      </c>
      <c r="B13" s="100">
        <f>SUM(B7:B12)</f>
        <v>49000000</v>
      </c>
    </row>
    <row r="14" spans="1:7" x14ac:dyDescent="0.2">
      <c r="B14" s="101"/>
    </row>
    <row r="15" spans="1:7" ht="15" customHeight="1" x14ac:dyDescent="0.2">
      <c r="A15" s="120" t="s">
        <v>513</v>
      </c>
      <c r="B15" s="121"/>
      <c r="C15" s="121"/>
      <c r="D15" s="121"/>
    </row>
    <row r="16" spans="1:7" ht="15" customHeight="1" x14ac:dyDescent="0.2">
      <c r="A16" s="15" t="s">
        <v>1020</v>
      </c>
      <c r="B16" s="99">
        <f>Inputs!$H$73*Inputs!$H$74</f>
        <v>13002300</v>
      </c>
      <c r="C16" s="15" t="s">
        <v>1021</v>
      </c>
    </row>
    <row r="17" spans="1:4" ht="15" customHeight="1" x14ac:dyDescent="0.2">
      <c r="A17" s="15" t="s">
        <v>524</v>
      </c>
      <c r="B17" s="99">
        <f>Inputs!$H$75</f>
        <v>6000000</v>
      </c>
    </row>
    <row r="18" spans="1:4" ht="15" customHeight="1" x14ac:dyDescent="0.2">
      <c r="A18" s="12" t="s">
        <v>1022</v>
      </c>
      <c r="B18" s="100">
        <f>B16+B17</f>
        <v>19002300</v>
      </c>
    </row>
    <row r="19" spans="1:4" x14ac:dyDescent="0.2">
      <c r="A19" s="135" t="s">
        <v>1023</v>
      </c>
      <c r="B19" s="136">
        <f>IF(Inputs!$H$4=2,'CAPEX (Rent)'!$H$47,0)</f>
        <v>18483149.583333332</v>
      </c>
      <c r="C19" s="135" t="s">
        <v>1024</v>
      </c>
      <c r="D19" s="135" t="s">
        <v>1025</v>
      </c>
    </row>
    <row r="20" spans="1:4" ht="15" customHeight="1" x14ac:dyDescent="0.2">
      <c r="A20" s="120" t="s">
        <v>1026</v>
      </c>
      <c r="B20" s="121"/>
      <c r="C20" s="121"/>
      <c r="D20" s="121"/>
    </row>
    <row r="21" spans="1:4" ht="15" customHeight="1" x14ac:dyDescent="0.2">
      <c r="A21" s="15" t="s">
        <v>1027</v>
      </c>
      <c r="B21" s="102">
        <f>Inputs!$H$25*Inputs!$H$21*Inputs!$H$22*(1+Inputs!$H$27)</f>
        <v>37774218.75</v>
      </c>
      <c r="D21" s="15" t="s">
        <v>1028</v>
      </c>
    </row>
    <row r="22" spans="1:4" ht="15" customHeight="1" x14ac:dyDescent="0.2">
      <c r="A22" s="15" t="s">
        <v>1029</v>
      </c>
      <c r="B22" s="102">
        <f>Inputs!$H$26*Inputs!$H$21*Inputs!$H$22</f>
        <v>0</v>
      </c>
    </row>
    <row r="23" spans="1:4" ht="15" customHeight="1" x14ac:dyDescent="0.2">
      <c r="A23" s="15" t="s">
        <v>1030</v>
      </c>
      <c r="B23" s="99">
        <f>Staffing!$J$15</f>
        <v>166907330</v>
      </c>
    </row>
    <row r="24" spans="1:4" x14ac:dyDescent="0.2">
      <c r="B24" s="101"/>
    </row>
    <row r="25" spans="1:4" ht="15" customHeight="1" x14ac:dyDescent="0.2">
      <c r="A25" s="120" t="s">
        <v>1031</v>
      </c>
      <c r="B25" s="121"/>
      <c r="C25" s="121"/>
      <c r="D25" s="121"/>
    </row>
    <row r="26" spans="1:4" ht="15" customHeight="1" x14ac:dyDescent="0.2">
      <c r="A26" s="20" t="str">
        <f>Inputs!$C$49</f>
        <v>Food &amp; beverage cost adjustment vs Menu sheet (pp)</v>
      </c>
      <c r="B26" s="103">
        <f>Inputs!$H$49</f>
        <v>0</v>
      </c>
      <c r="C26" s="15" t="s">
        <v>1032</v>
      </c>
    </row>
    <row r="27" spans="1:4" ht="15" customHeight="1" x14ac:dyDescent="0.2">
      <c r="A27" s="20" t="str">
        <f>Inputs!$C$52</f>
        <v>Packaging % of take-away + delivery revenue</v>
      </c>
      <c r="B27" s="103">
        <f>Inputs!$H$52</f>
        <v>0.05</v>
      </c>
      <c r="C27" s="15" t="s">
        <v>1033</v>
      </c>
    </row>
    <row r="28" spans="1:4" ht="15" customHeight="1" x14ac:dyDescent="0.2">
      <c r="A28" s="20" t="str">
        <f>Inputs!$C$53</f>
        <v>Waste &amp; spoilage % of F&amp;B revenue</v>
      </c>
      <c r="B28" s="103">
        <f>Inputs!$H$53</f>
        <v>1.4999999999999999E-2</v>
      </c>
      <c r="C28" s="15" t="s">
        <v>1034</v>
      </c>
    </row>
    <row r="29" spans="1:4" ht="15" customHeight="1" x14ac:dyDescent="0.2">
      <c r="A29" s="20" t="str">
        <f>Inputs!$C$54</f>
        <v>Delivery platform commission % of delivery revenue</v>
      </c>
      <c r="B29" s="103">
        <f>Inputs!$H$54</f>
        <v>0.23</v>
      </c>
      <c r="C29" s="15" t="s">
        <v>1035</v>
      </c>
    </row>
    <row r="30" spans="1:4" ht="15" customHeight="1" x14ac:dyDescent="0.2">
      <c r="A30" s="20" t="str">
        <f>Inputs!$C$55</f>
        <v>Payment fees % of in-store revenue</v>
      </c>
      <c r="B30" s="103">
        <f>Inputs!$H$55</f>
        <v>1.2E-2</v>
      </c>
      <c r="C30" s="15" t="s">
        <v>1036</v>
      </c>
    </row>
    <row r="31" spans="1:4" ht="15" customHeight="1" x14ac:dyDescent="0.2">
      <c r="A31" s="20" t="str">
        <f>Inputs!$C$56</f>
        <v>Marketing % of revenue (post-opening)</v>
      </c>
      <c r="B31" s="103">
        <f>Inputs!$H$56</f>
        <v>0.03</v>
      </c>
      <c r="C31" s="15" t="s">
        <v>1037</v>
      </c>
    </row>
    <row r="32" spans="1:4" ht="15" customHeight="1" x14ac:dyDescent="0.2">
      <c r="A32" s="20" t="str">
        <f>Inputs!$C$57</f>
        <v>Repairs &amp; maintenance % of revenue</v>
      </c>
      <c r="B32" s="103">
        <f>Inputs!$H$57</f>
        <v>1.4999999999999999E-2</v>
      </c>
      <c r="C32" s="15" t="s">
        <v>1037</v>
      </c>
    </row>
    <row r="33" spans="1:16" ht="15" customHeight="1" x14ac:dyDescent="0.2">
      <c r="A33" s="20" t="str">
        <f>Inputs!$C$58</f>
        <v>Miscellaneous operating costs % of revenue</v>
      </c>
      <c r="B33" s="103">
        <f>Inputs!$H$58</f>
        <v>0.01</v>
      </c>
      <c r="C33" s="15" t="s">
        <v>1037</v>
      </c>
    </row>
    <row r="34" spans="1:16" ht="15" customHeight="1" x14ac:dyDescent="0.2">
      <c r="A34" s="20" t="str">
        <f>Inputs!$C$59</f>
        <v>Brand/royalty fee to CORSA CH % of revenue</v>
      </c>
      <c r="B34" s="103">
        <f>Inputs!$H$59</f>
        <v>0</v>
      </c>
      <c r="C34" s="15" t="s">
        <v>1037</v>
      </c>
    </row>
    <row r="35" spans="1:16" ht="15" customHeight="1" x14ac:dyDescent="0.2">
      <c r="A35" s="12" t="s">
        <v>1038</v>
      </c>
      <c r="B35" s="104">
        <f>Menu!$E$29+Inputs!$H$49</f>
        <v>0.2861566120655214</v>
      </c>
    </row>
    <row r="38" spans="1:16" ht="15.75" customHeight="1" x14ac:dyDescent="0.2">
      <c r="A38" s="118" t="s">
        <v>1039</v>
      </c>
    </row>
    <row r="39" spans="1:16" ht="27" customHeight="1" x14ac:dyDescent="0.2">
      <c r="A39" s="119" t="s">
        <v>114</v>
      </c>
      <c r="B39" s="119" t="s">
        <v>115</v>
      </c>
      <c r="C39" s="195" t="s">
        <v>116</v>
      </c>
      <c r="D39" s="196"/>
      <c r="E39" s="195" t="s">
        <v>117</v>
      </c>
      <c r="F39" s="196"/>
      <c r="G39" s="196"/>
      <c r="H39" s="196"/>
      <c r="I39" s="196"/>
      <c r="J39" s="196"/>
      <c r="K39" s="196"/>
      <c r="L39" s="196"/>
      <c r="M39" s="196"/>
      <c r="N39" s="195" t="s">
        <v>22</v>
      </c>
      <c r="O39" s="196"/>
      <c r="P39" s="196"/>
    </row>
    <row r="40" spans="1:16" ht="15" customHeight="1" x14ac:dyDescent="0.2">
      <c r="A40" s="9" t="s">
        <v>1040</v>
      </c>
      <c r="B40" s="4">
        <f>OPEX!B7</f>
        <v>25000000</v>
      </c>
      <c r="C40" s="197" t="s">
        <v>1041</v>
      </c>
      <c r="D40" s="199"/>
      <c r="E40" s="197" t="s">
        <v>1042</v>
      </c>
      <c r="F40" s="198"/>
      <c r="G40" s="198"/>
      <c r="H40" s="198"/>
      <c r="I40" s="198"/>
      <c r="J40" s="198"/>
      <c r="K40" s="198"/>
      <c r="L40" s="198"/>
      <c r="M40" s="199"/>
      <c r="N40" s="204" t="s">
        <v>27</v>
      </c>
      <c r="O40" s="198"/>
      <c r="P40" s="199"/>
    </row>
    <row r="41" spans="1:16" ht="15" customHeight="1" x14ac:dyDescent="0.2">
      <c r="A41" s="9" t="s">
        <v>1043</v>
      </c>
      <c r="B41" s="4">
        <f>SUM(OPEX!B8:B12)</f>
        <v>24000000</v>
      </c>
      <c r="C41" s="197" t="s">
        <v>1044</v>
      </c>
      <c r="D41" s="199"/>
      <c r="E41" s="197" t="s">
        <v>1045</v>
      </c>
      <c r="F41" s="198"/>
      <c r="G41" s="198"/>
      <c r="H41" s="198"/>
      <c r="I41" s="198"/>
      <c r="J41" s="198"/>
      <c r="K41" s="198"/>
      <c r="L41" s="198"/>
      <c r="M41" s="199"/>
      <c r="N41" s="205" t="s">
        <v>127</v>
      </c>
      <c r="O41" s="198"/>
      <c r="P41" s="199"/>
    </row>
    <row r="42" spans="1:16" ht="15" customHeight="1" x14ac:dyDescent="0.2">
      <c r="A42" s="9" t="s">
        <v>1046</v>
      </c>
      <c r="B42" s="4">
        <f>OPEX!B16</f>
        <v>13002300</v>
      </c>
      <c r="C42" s="197" t="s">
        <v>1047</v>
      </c>
      <c r="D42" s="199"/>
      <c r="E42" s="197" t="s">
        <v>1048</v>
      </c>
      <c r="F42" s="198"/>
      <c r="G42" s="198"/>
      <c r="H42" s="198"/>
      <c r="I42" s="198"/>
      <c r="J42" s="198"/>
      <c r="K42" s="198"/>
      <c r="L42" s="198"/>
      <c r="M42" s="199"/>
      <c r="N42" s="201" t="s">
        <v>257</v>
      </c>
      <c r="O42" s="198"/>
      <c r="P42" s="199"/>
    </row>
    <row r="43" spans="1:16" ht="15" customHeight="1" x14ac:dyDescent="0.2">
      <c r="A43" s="9" t="s">
        <v>1049</v>
      </c>
      <c r="B43" s="4">
        <f>OPEX!B17</f>
        <v>6000000</v>
      </c>
      <c r="C43" s="197" t="s">
        <v>1050</v>
      </c>
      <c r="D43" s="199"/>
      <c r="E43" s="197" t="s">
        <v>1051</v>
      </c>
      <c r="F43" s="198"/>
      <c r="G43" s="198"/>
      <c r="H43" s="198"/>
      <c r="I43" s="198"/>
      <c r="J43" s="198"/>
      <c r="K43" s="198"/>
      <c r="L43" s="198"/>
      <c r="M43" s="199"/>
      <c r="N43" s="201" t="s">
        <v>257</v>
      </c>
      <c r="O43" s="198"/>
      <c r="P43" s="199"/>
    </row>
    <row r="44" spans="1:16" ht="15" customHeight="1" x14ac:dyDescent="0.2">
      <c r="A44" s="9" t="s">
        <v>1052</v>
      </c>
      <c r="B44" s="4">
        <f>OPEX!B21+OPEX!B22</f>
        <v>37774218.75</v>
      </c>
      <c r="C44" s="197" t="s">
        <v>1053</v>
      </c>
      <c r="D44" s="199"/>
      <c r="E44" s="197" t="s">
        <v>1054</v>
      </c>
      <c r="F44" s="198"/>
      <c r="G44" s="198"/>
      <c r="H44" s="198"/>
      <c r="I44" s="198"/>
      <c r="J44" s="198"/>
      <c r="K44" s="198"/>
      <c r="L44" s="198"/>
      <c r="M44" s="199"/>
      <c r="N44" s="201" t="s">
        <v>257</v>
      </c>
      <c r="O44" s="198"/>
      <c r="P44" s="199"/>
    </row>
    <row r="45" spans="1:16" ht="15" customHeight="1" x14ac:dyDescent="0.2">
      <c r="A45" s="9" t="s">
        <v>1055</v>
      </c>
      <c r="B45" s="4">
        <f>OPEX!B23</f>
        <v>166907330</v>
      </c>
      <c r="C45" s="197" t="s">
        <v>1056</v>
      </c>
      <c r="D45" s="199"/>
      <c r="E45" s="197" t="s">
        <v>1057</v>
      </c>
      <c r="F45" s="198"/>
      <c r="G45" s="198"/>
      <c r="H45" s="198"/>
      <c r="I45" s="198"/>
      <c r="J45" s="198"/>
      <c r="K45" s="198"/>
      <c r="L45" s="198"/>
      <c r="M45" s="199"/>
      <c r="N45" s="201" t="s">
        <v>257</v>
      </c>
      <c r="O45" s="198"/>
      <c r="P45" s="199"/>
    </row>
    <row r="46" spans="1:16" ht="27" customHeight="1" x14ac:dyDescent="0.2">
      <c r="A46" s="9" t="s">
        <v>1058</v>
      </c>
      <c r="B46" s="3" t="s">
        <v>125</v>
      </c>
      <c r="C46" s="197" t="s">
        <v>1059</v>
      </c>
      <c r="D46" s="199"/>
      <c r="E46" s="197" t="s">
        <v>1060</v>
      </c>
      <c r="F46" s="198"/>
      <c r="G46" s="198"/>
      <c r="H46" s="198"/>
      <c r="I46" s="198"/>
      <c r="J46" s="198"/>
      <c r="K46" s="198"/>
      <c r="L46" s="198"/>
      <c r="M46" s="199"/>
      <c r="N46" s="204" t="s">
        <v>27</v>
      </c>
      <c r="O46" s="198"/>
      <c r="P46" s="199"/>
    </row>
    <row r="47" spans="1:16" ht="15" customHeight="1" x14ac:dyDescent="0.2">
      <c r="A47" s="9" t="s">
        <v>1061</v>
      </c>
      <c r="B47" s="2">
        <f>OPEX!B35</f>
        <v>0.2861566120655214</v>
      </c>
      <c r="C47" s="197" t="s">
        <v>122</v>
      </c>
      <c r="D47" s="199"/>
      <c r="E47" s="197" t="s">
        <v>1062</v>
      </c>
      <c r="F47" s="198"/>
      <c r="G47" s="198"/>
      <c r="H47" s="198"/>
      <c r="I47" s="198"/>
      <c r="J47" s="198"/>
      <c r="K47" s="198"/>
      <c r="L47" s="198"/>
      <c r="M47" s="199"/>
      <c r="N47" s="204" t="s">
        <v>27</v>
      </c>
      <c r="O47" s="198"/>
      <c r="P47" s="199"/>
    </row>
  </sheetData>
  <mergeCells count="27">
    <mergeCell ref="C39:D39"/>
    <mergeCell ref="N46:P46"/>
    <mergeCell ref="N42:P42"/>
    <mergeCell ref="C42:D42"/>
    <mergeCell ref="C45:D45"/>
    <mergeCell ref="E40:M40"/>
    <mergeCell ref="C47:D47"/>
    <mergeCell ref="E45:M45"/>
    <mergeCell ref="C41:D41"/>
    <mergeCell ref="N40:P40"/>
    <mergeCell ref="C44:D44"/>
    <mergeCell ref="C40:D40"/>
    <mergeCell ref="C43:D43"/>
    <mergeCell ref="C46:D46"/>
    <mergeCell ref="E41:M41"/>
    <mergeCell ref="N45:P45"/>
    <mergeCell ref="E47:M47"/>
    <mergeCell ref="E43:M43"/>
    <mergeCell ref="N47:P47"/>
    <mergeCell ref="N41:P41"/>
    <mergeCell ref="E42:M42"/>
    <mergeCell ref="E39:M39"/>
    <mergeCell ref="N43:P43"/>
    <mergeCell ref="E44:M44"/>
    <mergeCell ref="N39:P39"/>
    <mergeCell ref="N44:P44"/>
    <mergeCell ref="E46:M4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5"/>
  <sheetViews>
    <sheetView showGridLines="0" zoomScaleNormal="100" workbookViewId="0">
      <selection activeCell="D12" sqref="D12"/>
    </sheetView>
  </sheetViews>
  <sheetFormatPr baseColWidth="10" defaultColWidth="8.6640625" defaultRowHeight="15" x14ac:dyDescent="0.2"/>
  <cols>
    <col min="1" max="1" width="8" customWidth="1"/>
    <col min="2" max="2" width="44" customWidth="1"/>
    <col min="3" max="3" width="11" customWidth="1"/>
    <col min="4" max="4" width="15" customWidth="1"/>
    <col min="5" max="5" width="16" customWidth="1"/>
    <col min="6" max="6" width="8" customWidth="1"/>
    <col min="7" max="7" width="7" customWidth="1"/>
    <col min="8" max="8" width="17" customWidth="1"/>
    <col min="9" max="9" width="14" customWidth="1"/>
    <col min="10" max="10" width="9" customWidth="1"/>
    <col min="11" max="11" width="50" customWidth="1"/>
    <col min="12" max="12" width="70" customWidth="1"/>
    <col min="13" max="13" width="20" customWidth="1"/>
  </cols>
  <sheetData>
    <row r="1" spans="1:13" ht="17.25" customHeight="1" x14ac:dyDescent="0.2">
      <c r="A1" s="115" t="s">
        <v>1063</v>
      </c>
    </row>
    <row r="2" spans="1:13" ht="15" customHeight="1" x14ac:dyDescent="0.2">
      <c r="A2" s="11" t="s">
        <v>1064</v>
      </c>
    </row>
    <row r="3" spans="1:13" ht="15.75" customHeight="1" x14ac:dyDescent="0.2">
      <c r="A3" s="96" t="s">
        <v>239</v>
      </c>
      <c r="B3" s="98" t="s">
        <v>1065</v>
      </c>
      <c r="C3" s="97"/>
      <c r="D3" s="97"/>
      <c r="E3" s="97"/>
      <c r="F3" s="97"/>
      <c r="G3" s="97"/>
      <c r="H3" s="97"/>
      <c r="I3" s="97"/>
      <c r="J3" s="97"/>
    </row>
    <row r="4" spans="1:13" ht="15.75" customHeight="1" x14ac:dyDescent="0.2">
      <c r="A4" s="96"/>
      <c r="B4" s="107" t="s">
        <v>1066</v>
      </c>
      <c r="C4" s="97"/>
      <c r="D4" s="97"/>
      <c r="E4" s="97"/>
      <c r="F4" s="97"/>
      <c r="G4" s="97"/>
      <c r="H4" s="97"/>
      <c r="I4" s="97"/>
      <c r="J4" s="97"/>
    </row>
    <row r="5" spans="1:13" ht="15" customHeight="1" x14ac:dyDescent="0.2">
      <c r="B5" s="15" t="s">
        <v>1067</v>
      </c>
      <c r="C5" s="18">
        <f>Revenue!$C$5</f>
        <v>60</v>
      </c>
    </row>
    <row r="7" spans="1:13" ht="34.5" customHeight="1" x14ac:dyDescent="0.2">
      <c r="A7" s="117" t="s">
        <v>1068</v>
      </c>
      <c r="B7" s="117" t="s">
        <v>7</v>
      </c>
      <c r="C7" s="117" t="s">
        <v>1069</v>
      </c>
      <c r="D7" s="117" t="s">
        <v>1070</v>
      </c>
      <c r="E7" s="117" t="s">
        <v>1071</v>
      </c>
      <c r="F7" s="117" t="s">
        <v>1072</v>
      </c>
      <c r="G7" s="117" t="s">
        <v>1073</v>
      </c>
      <c r="H7" s="117" t="s">
        <v>1074</v>
      </c>
      <c r="I7" s="117" t="s">
        <v>1075</v>
      </c>
      <c r="J7" s="117" t="s">
        <v>1076</v>
      </c>
      <c r="K7" s="117" t="s">
        <v>956</v>
      </c>
      <c r="L7" s="119" t="s">
        <v>1077</v>
      </c>
      <c r="M7" s="10" t="s">
        <v>22</v>
      </c>
    </row>
    <row r="8" spans="1:13" ht="27" customHeight="1" x14ac:dyDescent="0.2">
      <c r="A8" s="15" t="s">
        <v>1078</v>
      </c>
      <c r="B8" s="15" t="s">
        <v>1079</v>
      </c>
      <c r="C8" s="18">
        <f>Inputs!$H$21</f>
        <v>150</v>
      </c>
      <c r="D8" s="42">
        <v>3200000</v>
      </c>
      <c r="E8" s="53">
        <f t="shared" ref="E8:E22" si="0">C8*D8</f>
        <v>480000000</v>
      </c>
      <c r="F8" s="25">
        <v>1</v>
      </c>
      <c r="G8" s="25">
        <v>1</v>
      </c>
      <c r="H8" s="16">
        <f>E8*IF(F8=1,Inputs!$H$77,1)*(1+Inputs!$H$18*G8)</f>
        <v>532800000.00000006</v>
      </c>
      <c r="I8" s="17">
        <f>H8/Inputs!$H$10</f>
        <v>24666.666666666668</v>
      </c>
      <c r="J8" s="55">
        <f t="shared" ref="J8:J37" si="1">H8/$H$37</f>
        <v>0.10463015017855506</v>
      </c>
      <c r="K8" s="13" t="s">
        <v>1080</v>
      </c>
      <c r="L8" s="13" t="s">
        <v>1081</v>
      </c>
      <c r="M8" s="63" t="s">
        <v>257</v>
      </c>
    </row>
    <row r="9" spans="1:13" ht="27" customHeight="1" x14ac:dyDescent="0.2">
      <c r="A9" s="15" t="s">
        <v>1078</v>
      </c>
      <c r="B9" s="15" t="s">
        <v>1082</v>
      </c>
      <c r="C9" s="62">
        <f>C5</f>
        <v>60</v>
      </c>
      <c r="D9" s="42">
        <v>5000000</v>
      </c>
      <c r="E9" s="53">
        <f t="shared" si="0"/>
        <v>300000000</v>
      </c>
      <c r="F9" s="25">
        <v>1</v>
      </c>
      <c r="G9" s="25">
        <v>1</v>
      </c>
      <c r="H9" s="16">
        <f>E9*IF(F9=1,Inputs!$H$77,1)*(1+Inputs!$H$18*G9)</f>
        <v>333000000</v>
      </c>
      <c r="I9" s="17">
        <f>H9/Inputs!$H$10</f>
        <v>15416.666666666666</v>
      </c>
      <c r="J9" s="55">
        <f t="shared" si="1"/>
        <v>6.5393843861596912E-2</v>
      </c>
      <c r="K9" s="13" t="s">
        <v>1083</v>
      </c>
      <c r="L9" s="13" t="s">
        <v>1084</v>
      </c>
      <c r="M9" s="63" t="s">
        <v>257</v>
      </c>
    </row>
    <row r="10" spans="1:13" ht="15" customHeight="1" x14ac:dyDescent="0.2">
      <c r="A10" s="15" t="s">
        <v>1078</v>
      </c>
      <c r="B10" s="15" t="s">
        <v>1085</v>
      </c>
      <c r="C10" s="25">
        <v>1</v>
      </c>
      <c r="D10" s="53">
        <f>0.1*(E8+E9)</f>
        <v>78000000</v>
      </c>
      <c r="E10" s="53">
        <f t="shared" si="0"/>
        <v>78000000</v>
      </c>
      <c r="F10" s="25">
        <v>1</v>
      </c>
      <c r="G10" s="25">
        <v>1</v>
      </c>
      <c r="H10" s="16">
        <f>E10*IF(F10=1,Inputs!$H$77,1)*(1+Inputs!$H$18*G10)</f>
        <v>86580000.000000015</v>
      </c>
      <c r="I10" s="17">
        <f>H10/Inputs!$H$10</f>
        <v>4008.3333333333339</v>
      </c>
      <c r="J10" s="55">
        <f t="shared" si="1"/>
        <v>1.7002399404015198E-2</v>
      </c>
      <c r="K10" s="13" t="s">
        <v>1086</v>
      </c>
      <c r="L10" s="13" t="s">
        <v>1087</v>
      </c>
      <c r="M10" s="63" t="s">
        <v>131</v>
      </c>
    </row>
    <row r="11" spans="1:13" ht="40.5" customHeight="1" x14ac:dyDescent="0.2">
      <c r="A11" s="15" t="s">
        <v>1078</v>
      </c>
      <c r="B11" s="15" t="s">
        <v>1088</v>
      </c>
      <c r="C11" s="25">
        <v>1</v>
      </c>
      <c r="D11" s="42">
        <v>280000000</v>
      </c>
      <c r="E11" s="53">
        <f t="shared" si="0"/>
        <v>280000000</v>
      </c>
      <c r="F11" s="25">
        <v>1</v>
      </c>
      <c r="G11" s="25">
        <v>1</v>
      </c>
      <c r="H11" s="16">
        <f>E11*IF(F11=1,Inputs!$H$77,1)*(1+Inputs!$H$18*G11)</f>
        <v>310800000</v>
      </c>
      <c r="I11" s="17">
        <f>H11/Inputs!$H$10</f>
        <v>14388.888888888889</v>
      </c>
      <c r="J11" s="55">
        <f t="shared" si="1"/>
        <v>6.1034254270823783E-2</v>
      </c>
      <c r="K11" s="13" t="s">
        <v>1089</v>
      </c>
      <c r="L11" s="66" t="s">
        <v>1090</v>
      </c>
      <c r="M11" s="57" t="s">
        <v>27</v>
      </c>
    </row>
    <row r="12" spans="1:13" ht="15" customHeight="1" x14ac:dyDescent="0.2">
      <c r="A12" s="15" t="s">
        <v>1078</v>
      </c>
      <c r="B12" s="15" t="s">
        <v>1091</v>
      </c>
      <c r="C12" s="25">
        <v>1</v>
      </c>
      <c r="D12" s="42">
        <v>120000000</v>
      </c>
      <c r="E12" s="53">
        <f t="shared" si="0"/>
        <v>120000000</v>
      </c>
      <c r="F12" s="25">
        <v>1</v>
      </c>
      <c r="G12" s="25">
        <v>1</v>
      </c>
      <c r="H12" s="16">
        <f>E12*IF(F12=1,Inputs!$H$77,1)*(1+Inputs!$H$18*G12)</f>
        <v>133200000.00000001</v>
      </c>
      <c r="I12" s="17">
        <f>H12/Inputs!$H$10</f>
        <v>6166.666666666667</v>
      </c>
      <c r="J12" s="55">
        <f t="shared" si="1"/>
        <v>2.6157537544638766E-2</v>
      </c>
      <c r="K12" s="13" t="s">
        <v>409</v>
      </c>
      <c r="L12" s="13" t="s">
        <v>1092</v>
      </c>
      <c r="M12" s="67" t="s">
        <v>127</v>
      </c>
    </row>
    <row r="13" spans="1:13" ht="27" customHeight="1" x14ac:dyDescent="0.2">
      <c r="A13" s="15" t="s">
        <v>1078</v>
      </c>
      <c r="B13" s="15" t="s">
        <v>1093</v>
      </c>
      <c r="C13" s="25">
        <v>1</v>
      </c>
      <c r="D13" s="42">
        <v>150000000</v>
      </c>
      <c r="E13" s="53">
        <f t="shared" si="0"/>
        <v>150000000</v>
      </c>
      <c r="F13" s="25">
        <v>1</v>
      </c>
      <c r="G13" s="25">
        <v>1</v>
      </c>
      <c r="H13" s="16">
        <f>E13*IF(F13=1,Inputs!$H$77,1)*(1+Inputs!$H$18*G13)</f>
        <v>166500000</v>
      </c>
      <c r="I13" s="17">
        <f>H13/Inputs!$H$10</f>
        <v>7708.333333333333</v>
      </c>
      <c r="J13" s="55">
        <f t="shared" si="1"/>
        <v>3.2696921930798456E-2</v>
      </c>
      <c r="K13" s="13" t="s">
        <v>409</v>
      </c>
      <c r="L13" s="13" t="s">
        <v>1094</v>
      </c>
      <c r="M13" s="67" t="s">
        <v>127</v>
      </c>
    </row>
    <row r="14" spans="1:13" ht="15" customHeight="1" x14ac:dyDescent="0.2">
      <c r="A14" s="15" t="s">
        <v>1078</v>
      </c>
      <c r="B14" s="15" t="s">
        <v>1095</v>
      </c>
      <c r="C14" s="25">
        <v>1</v>
      </c>
      <c r="D14" s="42">
        <v>120000000</v>
      </c>
      <c r="E14" s="53">
        <f t="shared" si="0"/>
        <v>120000000</v>
      </c>
      <c r="F14" s="25">
        <v>1</v>
      </c>
      <c r="G14" s="25">
        <v>1</v>
      </c>
      <c r="H14" s="16">
        <f>E14*IF(F14=1,Inputs!$H$77,1)*(1+Inputs!$H$18*G14)</f>
        <v>133200000.00000001</v>
      </c>
      <c r="I14" s="17">
        <f>H14/Inputs!$H$10</f>
        <v>6166.666666666667</v>
      </c>
      <c r="J14" s="55">
        <f t="shared" si="1"/>
        <v>2.6157537544638766E-2</v>
      </c>
      <c r="K14" s="13" t="s">
        <v>409</v>
      </c>
      <c r="L14" s="13" t="s">
        <v>1096</v>
      </c>
      <c r="M14" s="67" t="s">
        <v>127</v>
      </c>
    </row>
    <row r="15" spans="1:13" ht="15" customHeight="1" x14ac:dyDescent="0.2">
      <c r="A15" s="15" t="s">
        <v>1078</v>
      </c>
      <c r="B15" s="15" t="s">
        <v>1097</v>
      </c>
      <c r="C15" s="25">
        <v>1</v>
      </c>
      <c r="D15" s="42">
        <v>110000000</v>
      </c>
      <c r="E15" s="53">
        <f t="shared" si="0"/>
        <v>110000000</v>
      </c>
      <c r="F15" s="25">
        <v>1</v>
      </c>
      <c r="G15" s="25">
        <v>1</v>
      </c>
      <c r="H15" s="16">
        <f>E15*IF(F15=1,Inputs!$H$77,1)*(1+Inputs!$H$18*G15)</f>
        <v>122100000.00000001</v>
      </c>
      <c r="I15" s="17">
        <f>H15/Inputs!$H$10</f>
        <v>5652.7777777777783</v>
      </c>
      <c r="J15" s="55">
        <f t="shared" si="1"/>
        <v>2.3977742749252202E-2</v>
      </c>
      <c r="K15" s="13" t="s">
        <v>409</v>
      </c>
      <c r="L15" s="13" t="s">
        <v>1094</v>
      </c>
      <c r="M15" s="67" t="s">
        <v>127</v>
      </c>
    </row>
    <row r="16" spans="1:13" ht="27" customHeight="1" x14ac:dyDescent="0.2">
      <c r="A16" s="15" t="s">
        <v>1078</v>
      </c>
      <c r="B16" s="15" t="s">
        <v>1098</v>
      </c>
      <c r="C16" s="25">
        <v>1</v>
      </c>
      <c r="D16" s="42">
        <v>220000000</v>
      </c>
      <c r="E16" s="53">
        <f t="shared" si="0"/>
        <v>220000000</v>
      </c>
      <c r="F16" s="25">
        <v>1</v>
      </c>
      <c r="G16" s="25">
        <v>1</v>
      </c>
      <c r="H16" s="16">
        <f>E16*IF(F16=1,Inputs!$H$77,1)*(1+Inputs!$H$18*G16)</f>
        <v>244200000.00000003</v>
      </c>
      <c r="I16" s="17">
        <f>H16/Inputs!$H$10</f>
        <v>11305.555555555557</v>
      </c>
      <c r="J16" s="55">
        <f t="shared" si="1"/>
        <v>4.7955485498504404E-2</v>
      </c>
      <c r="K16" s="13" t="s">
        <v>1099</v>
      </c>
      <c r="L16" s="66" t="s">
        <v>1100</v>
      </c>
      <c r="M16" s="57" t="s">
        <v>27</v>
      </c>
    </row>
    <row r="17" spans="1:13" ht="27" customHeight="1" x14ac:dyDescent="0.2">
      <c r="A17" s="15" t="s">
        <v>1078</v>
      </c>
      <c r="B17" s="15" t="s">
        <v>1101</v>
      </c>
      <c r="C17" s="25">
        <v>2</v>
      </c>
      <c r="D17" s="42">
        <v>40000000</v>
      </c>
      <c r="E17" s="53">
        <f t="shared" si="0"/>
        <v>80000000</v>
      </c>
      <c r="F17" s="25">
        <v>1</v>
      </c>
      <c r="G17" s="25">
        <v>1</v>
      </c>
      <c r="H17" s="16">
        <f>E17*IF(F17=1,Inputs!$H$77,1)*(1+Inputs!$H$18*G17)</f>
        <v>88800000.000000015</v>
      </c>
      <c r="I17" s="17">
        <f>H17/Inputs!$H$10</f>
        <v>4111.1111111111122</v>
      </c>
      <c r="J17" s="55">
        <f t="shared" si="1"/>
        <v>1.7438358363092512E-2</v>
      </c>
      <c r="K17" s="13" t="s">
        <v>1102</v>
      </c>
      <c r="L17" s="66" t="s">
        <v>1103</v>
      </c>
      <c r="M17" s="57" t="s">
        <v>27</v>
      </c>
    </row>
    <row r="18" spans="1:13" ht="15" customHeight="1" x14ac:dyDescent="0.2">
      <c r="A18" s="15" t="s">
        <v>1078</v>
      </c>
      <c r="B18" s="15" t="s">
        <v>1104</v>
      </c>
      <c r="C18" s="25">
        <v>1</v>
      </c>
      <c r="D18" s="42">
        <v>35000000</v>
      </c>
      <c r="E18" s="53">
        <f t="shared" si="0"/>
        <v>35000000</v>
      </c>
      <c r="F18" s="25">
        <v>1</v>
      </c>
      <c r="G18" s="25">
        <v>1</v>
      </c>
      <c r="H18" s="16">
        <f>E18*IF(F18=1,Inputs!$H$77,1)*(1+Inputs!$H$18*G18)</f>
        <v>38850000</v>
      </c>
      <c r="I18" s="17">
        <f>H18/Inputs!$H$10</f>
        <v>1798.6111111111111</v>
      </c>
      <c r="J18" s="55">
        <f t="shared" si="1"/>
        <v>7.6292817838529729E-3</v>
      </c>
      <c r="K18" s="13" t="s">
        <v>409</v>
      </c>
      <c r="L18" s="13" t="s">
        <v>1094</v>
      </c>
      <c r="M18" s="67" t="s">
        <v>127</v>
      </c>
    </row>
    <row r="19" spans="1:13" ht="15" customHeight="1" x14ac:dyDescent="0.2">
      <c r="A19" s="15" t="s">
        <v>1078</v>
      </c>
      <c r="B19" s="15" t="s">
        <v>1105</v>
      </c>
      <c r="C19" s="25">
        <v>1</v>
      </c>
      <c r="D19" s="42">
        <v>70000000</v>
      </c>
      <c r="E19" s="53">
        <f t="shared" si="0"/>
        <v>70000000</v>
      </c>
      <c r="F19" s="25">
        <v>1</v>
      </c>
      <c r="G19" s="25">
        <v>1</v>
      </c>
      <c r="H19" s="16">
        <f>E19*IF(F19=1,Inputs!$H$77,1)*(1+Inputs!$H$18*G19)</f>
        <v>77700000</v>
      </c>
      <c r="I19" s="17">
        <f>H19/Inputs!$H$10</f>
        <v>3597.2222222222222</v>
      </c>
      <c r="J19" s="55">
        <f t="shared" si="1"/>
        <v>1.5258563567705946E-2</v>
      </c>
      <c r="K19" s="13" t="s">
        <v>409</v>
      </c>
      <c r="L19" s="13" t="s">
        <v>1106</v>
      </c>
      <c r="M19" s="67" t="s">
        <v>127</v>
      </c>
    </row>
    <row r="20" spans="1:13" ht="15" customHeight="1" x14ac:dyDescent="0.2">
      <c r="A20" s="15" t="s">
        <v>1078</v>
      </c>
      <c r="B20" s="15" t="s">
        <v>1107</v>
      </c>
      <c r="C20" s="25">
        <v>1</v>
      </c>
      <c r="D20" s="42">
        <v>90000000</v>
      </c>
      <c r="E20" s="53">
        <f t="shared" si="0"/>
        <v>90000000</v>
      </c>
      <c r="F20" s="25">
        <v>1</v>
      </c>
      <c r="G20" s="25">
        <v>1</v>
      </c>
      <c r="H20" s="16">
        <f>E20*IF(F20=1,Inputs!$H$77,1)*(1+Inputs!$H$18*G20)</f>
        <v>99900000.000000015</v>
      </c>
      <c r="I20" s="17">
        <f>H20/Inputs!$H$10</f>
        <v>4625.0000000000009</v>
      </c>
      <c r="J20" s="55">
        <f t="shared" si="1"/>
        <v>1.9618153158479076E-2</v>
      </c>
      <c r="K20" s="13" t="s">
        <v>409</v>
      </c>
      <c r="L20" s="13" t="s">
        <v>1108</v>
      </c>
      <c r="M20" s="67" t="s">
        <v>127</v>
      </c>
    </row>
    <row r="21" spans="1:13" ht="15" customHeight="1" x14ac:dyDescent="0.2">
      <c r="A21" s="15" t="s">
        <v>1078</v>
      </c>
      <c r="B21" s="15" t="s">
        <v>1109</v>
      </c>
      <c r="C21" s="25">
        <v>1</v>
      </c>
      <c r="D21" s="42">
        <v>120000000</v>
      </c>
      <c r="E21" s="53">
        <f t="shared" si="0"/>
        <v>120000000</v>
      </c>
      <c r="F21" s="25">
        <v>1</v>
      </c>
      <c r="G21" s="25">
        <v>1</v>
      </c>
      <c r="H21" s="16">
        <f>E21*IF(F21=1,Inputs!$H$77,1)*(1+Inputs!$H$18*G21)</f>
        <v>133200000.00000001</v>
      </c>
      <c r="I21" s="17">
        <f>H21/Inputs!$H$10</f>
        <v>6166.666666666667</v>
      </c>
      <c r="J21" s="55">
        <f t="shared" si="1"/>
        <v>2.6157537544638766E-2</v>
      </c>
      <c r="K21" s="13" t="s">
        <v>1110</v>
      </c>
      <c r="L21" s="13" t="s">
        <v>1094</v>
      </c>
      <c r="M21" s="67" t="s">
        <v>127</v>
      </c>
    </row>
    <row r="22" spans="1:13" ht="15" customHeight="1" x14ac:dyDescent="0.2">
      <c r="A22" s="15" t="s">
        <v>1078</v>
      </c>
      <c r="B22" s="15" t="s">
        <v>1111</v>
      </c>
      <c r="C22" s="25">
        <v>1</v>
      </c>
      <c r="D22" s="42">
        <v>85000000</v>
      </c>
      <c r="E22" s="53">
        <f t="shared" si="0"/>
        <v>85000000</v>
      </c>
      <c r="F22" s="25">
        <v>1</v>
      </c>
      <c r="G22" s="25">
        <v>1</v>
      </c>
      <c r="H22" s="16">
        <f>E22*IF(F22=1,Inputs!$H$77,1)*(1+Inputs!$H$18*G22)</f>
        <v>94350000.000000015</v>
      </c>
      <c r="I22" s="17">
        <f>H22/Inputs!$H$10</f>
        <v>4368.0555555555566</v>
      </c>
      <c r="J22" s="55">
        <f t="shared" si="1"/>
        <v>1.8528255760785792E-2</v>
      </c>
      <c r="K22" s="13" t="s">
        <v>1112</v>
      </c>
      <c r="L22" s="13" t="s">
        <v>1113</v>
      </c>
      <c r="M22" s="67" t="s">
        <v>127</v>
      </c>
    </row>
    <row r="23" spans="1:13" ht="15" customHeight="1" x14ac:dyDescent="0.2">
      <c r="B23" s="12" t="s">
        <v>1114</v>
      </c>
      <c r="H23" s="59">
        <f>SUM(H8:H22)</f>
        <v>2595180000</v>
      </c>
      <c r="I23" s="17">
        <f>H23/Inputs!$H$10</f>
        <v>120147.22222222222</v>
      </c>
      <c r="J23" s="55">
        <f t="shared" si="1"/>
        <v>0.50963602316137857</v>
      </c>
    </row>
    <row r="24" spans="1:13" ht="15" customHeight="1" x14ac:dyDescent="0.2">
      <c r="A24" s="15" t="s">
        <v>1115</v>
      </c>
      <c r="B24" s="15" t="s">
        <v>1116</v>
      </c>
      <c r="C24" s="25">
        <v>1</v>
      </c>
      <c r="D24" s="42">
        <v>90000000</v>
      </c>
      <c r="E24" s="53">
        <f t="shared" ref="E24:E30" si="2">C24*D24</f>
        <v>90000000</v>
      </c>
      <c r="F24" s="25">
        <v>0</v>
      </c>
      <c r="G24" s="25">
        <v>1</v>
      </c>
      <c r="H24" s="16">
        <f>E24*IF(F24=1,Inputs!$H$77,1)*(1+Inputs!$H$18*G24)</f>
        <v>99900000.000000015</v>
      </c>
      <c r="I24" s="17">
        <f>H24/Inputs!$H$10</f>
        <v>4625.0000000000009</v>
      </c>
      <c r="J24" s="55">
        <f t="shared" si="1"/>
        <v>1.9618153158479076E-2</v>
      </c>
      <c r="K24" s="13" t="s">
        <v>1117</v>
      </c>
      <c r="L24" s="13" t="s">
        <v>1118</v>
      </c>
      <c r="M24" s="63" t="s">
        <v>257</v>
      </c>
    </row>
    <row r="25" spans="1:13" ht="27" customHeight="1" x14ac:dyDescent="0.2">
      <c r="A25" s="15" t="s">
        <v>1115</v>
      </c>
      <c r="B25" s="15" t="s">
        <v>1119</v>
      </c>
      <c r="C25" s="25">
        <v>1</v>
      </c>
      <c r="D25" s="42">
        <v>60000000</v>
      </c>
      <c r="E25" s="53">
        <f t="shared" si="2"/>
        <v>60000000</v>
      </c>
      <c r="F25" s="25">
        <v>0</v>
      </c>
      <c r="G25" s="25">
        <v>1</v>
      </c>
      <c r="H25" s="16">
        <f>E25*IF(F25=1,Inputs!$H$77,1)*(1+Inputs!$H$18*G25)</f>
        <v>66600000.000000007</v>
      </c>
      <c r="I25" s="17">
        <f>H25/Inputs!$H$10</f>
        <v>3083.3333333333335</v>
      </c>
      <c r="J25" s="55">
        <f t="shared" si="1"/>
        <v>1.3078768772319383E-2</v>
      </c>
      <c r="K25" s="13" t="s">
        <v>1120</v>
      </c>
      <c r="L25" s="13" t="s">
        <v>1121</v>
      </c>
      <c r="M25" s="57" t="s">
        <v>27</v>
      </c>
    </row>
    <row r="26" spans="1:13" ht="27" customHeight="1" x14ac:dyDescent="0.2">
      <c r="A26" s="15" t="s">
        <v>1115</v>
      </c>
      <c r="B26" s="15" t="s">
        <v>1122</v>
      </c>
      <c r="C26" s="25">
        <v>1</v>
      </c>
      <c r="D26" s="42">
        <v>180000000</v>
      </c>
      <c r="E26" s="53">
        <f t="shared" si="2"/>
        <v>180000000</v>
      </c>
      <c r="F26" s="25">
        <v>0</v>
      </c>
      <c r="G26" s="25">
        <v>1</v>
      </c>
      <c r="H26" s="16">
        <f>E26*IF(F26=1,Inputs!$H$77,1)*(1+Inputs!$H$18*G26)</f>
        <v>199800000.00000003</v>
      </c>
      <c r="I26" s="17">
        <f>H26/Inputs!$H$10</f>
        <v>9250.0000000000018</v>
      </c>
      <c r="J26" s="55">
        <f t="shared" si="1"/>
        <v>3.9236306316958153E-2</v>
      </c>
      <c r="K26" s="13" t="s">
        <v>1123</v>
      </c>
      <c r="L26" s="13" t="s">
        <v>1124</v>
      </c>
      <c r="M26" s="67" t="s">
        <v>127</v>
      </c>
    </row>
    <row r="27" spans="1:13" ht="27" customHeight="1" x14ac:dyDescent="0.2">
      <c r="A27" s="15" t="s">
        <v>1115</v>
      </c>
      <c r="B27" s="15" t="s">
        <v>1125</v>
      </c>
      <c r="C27" s="25">
        <v>1</v>
      </c>
      <c r="D27" s="42">
        <v>120000000</v>
      </c>
      <c r="E27" s="53">
        <f t="shared" si="2"/>
        <v>120000000</v>
      </c>
      <c r="F27" s="25">
        <v>0</v>
      </c>
      <c r="G27" s="25">
        <v>1</v>
      </c>
      <c r="H27" s="16">
        <f>E27*IF(F27=1,Inputs!$H$77,1)*(1+Inputs!$H$18*G27)</f>
        <v>133200000.00000001</v>
      </c>
      <c r="I27" s="17">
        <f>H27/Inputs!$H$10</f>
        <v>6166.666666666667</v>
      </c>
      <c r="J27" s="55">
        <f t="shared" si="1"/>
        <v>2.6157537544638766E-2</v>
      </c>
      <c r="K27" s="13" t="s">
        <v>1126</v>
      </c>
      <c r="L27" s="13" t="s">
        <v>1127</v>
      </c>
      <c r="M27" s="67" t="s">
        <v>127</v>
      </c>
    </row>
    <row r="28" spans="1:13" ht="15" customHeight="1" x14ac:dyDescent="0.2">
      <c r="A28" s="15" t="s">
        <v>1115</v>
      </c>
      <c r="B28" s="15" t="s">
        <v>1128</v>
      </c>
      <c r="C28" s="25">
        <v>1</v>
      </c>
      <c r="D28" s="42">
        <v>120000000</v>
      </c>
      <c r="E28" s="53">
        <f t="shared" si="2"/>
        <v>120000000</v>
      </c>
      <c r="F28" s="25">
        <v>0</v>
      </c>
      <c r="G28" s="25">
        <v>1</v>
      </c>
      <c r="H28" s="16">
        <f>E28*IF(F28=1,Inputs!$H$77,1)*(1+Inputs!$H$18*G28)</f>
        <v>133200000.00000001</v>
      </c>
      <c r="I28" s="17">
        <f>H28/Inputs!$H$10</f>
        <v>6166.666666666667</v>
      </c>
      <c r="J28" s="55">
        <f t="shared" si="1"/>
        <v>2.6157537544638766E-2</v>
      </c>
      <c r="K28" s="13" t="s">
        <v>1129</v>
      </c>
      <c r="L28" s="13" t="s">
        <v>1130</v>
      </c>
      <c r="M28" s="63" t="s">
        <v>257</v>
      </c>
    </row>
    <row r="29" spans="1:13" ht="15" customHeight="1" x14ac:dyDescent="0.2">
      <c r="A29" s="15" t="s">
        <v>1115</v>
      </c>
      <c r="B29" s="15" t="s">
        <v>1131</v>
      </c>
      <c r="C29" s="25">
        <v>1</v>
      </c>
      <c r="D29" s="42">
        <v>40000000</v>
      </c>
      <c r="E29" s="53">
        <f t="shared" si="2"/>
        <v>40000000</v>
      </c>
      <c r="F29" s="25">
        <v>0</v>
      </c>
      <c r="G29" s="25">
        <v>1</v>
      </c>
      <c r="H29" s="16">
        <f>E29*IF(F29=1,Inputs!$H$77,1)*(1+Inputs!$H$18*G29)</f>
        <v>44400000.000000007</v>
      </c>
      <c r="I29" s="17">
        <f>H29/Inputs!$H$10</f>
        <v>2055.5555555555561</v>
      </c>
      <c r="J29" s="55">
        <f t="shared" si="1"/>
        <v>8.719179181546256E-3</v>
      </c>
      <c r="K29" s="13" t="s">
        <v>409</v>
      </c>
      <c r="L29" s="13" t="s">
        <v>1108</v>
      </c>
      <c r="M29" s="67" t="s">
        <v>127</v>
      </c>
    </row>
    <row r="30" spans="1:13" ht="15" customHeight="1" x14ac:dyDescent="0.2">
      <c r="A30" s="15" t="s">
        <v>1115</v>
      </c>
      <c r="B30" s="15" t="s">
        <v>1132</v>
      </c>
      <c r="C30" s="21">
        <f>Inputs!$H$79</f>
        <v>1</v>
      </c>
      <c r="D30" s="16">
        <f>Staffing!$J$15</f>
        <v>166907330</v>
      </c>
      <c r="E30" s="53">
        <f t="shared" si="2"/>
        <v>166907330</v>
      </c>
      <c r="F30" s="25">
        <v>0</v>
      </c>
      <c r="G30" s="25">
        <v>0</v>
      </c>
      <c r="H30" s="53">
        <f>E30</f>
        <v>166907330</v>
      </c>
      <c r="I30" s="17">
        <f>H30/Inputs!$H$10</f>
        <v>7727.1912037037036</v>
      </c>
      <c r="J30" s="55">
        <f t="shared" si="1"/>
        <v>3.2776912544672764E-2</v>
      </c>
      <c r="K30" s="13" t="s">
        <v>1133</v>
      </c>
      <c r="L30" s="13" t="s">
        <v>1134</v>
      </c>
      <c r="M30" s="63" t="s">
        <v>257</v>
      </c>
    </row>
    <row r="31" spans="1:13" ht="15" customHeight="1" x14ac:dyDescent="0.2">
      <c r="B31" s="12" t="s">
        <v>1135</v>
      </c>
      <c r="H31" s="59">
        <f>SUM(H24:H30)</f>
        <v>844007330.00000012</v>
      </c>
      <c r="I31" s="17">
        <f>H31/Inputs!$H$10</f>
        <v>39074.41342592593</v>
      </c>
      <c r="J31" s="55">
        <f t="shared" si="1"/>
        <v>0.16574439506325317</v>
      </c>
    </row>
    <row r="32" spans="1:13" ht="15" customHeight="1" x14ac:dyDescent="0.2">
      <c r="A32" s="15" t="s">
        <v>1136</v>
      </c>
      <c r="B32" s="15" t="s">
        <v>1137</v>
      </c>
      <c r="C32" s="19">
        <f>Inputs!$H$78</f>
        <v>0.1</v>
      </c>
      <c r="H32" s="53">
        <f>C32*(H23+H31)</f>
        <v>343918733</v>
      </c>
      <c r="I32" s="17">
        <f>H32/Inputs!$H$10</f>
        <v>15922.163564814815</v>
      </c>
      <c r="J32" s="55">
        <f t="shared" si="1"/>
        <v>6.7538041822463174E-2</v>
      </c>
      <c r="K32" s="13" t="s">
        <v>1138</v>
      </c>
      <c r="L32" s="13" t="s">
        <v>1139</v>
      </c>
      <c r="M32" s="63" t="s">
        <v>257</v>
      </c>
    </row>
    <row r="33" spans="1:13" ht="15" customHeight="1" x14ac:dyDescent="0.2">
      <c r="A33" s="15" t="s">
        <v>1140</v>
      </c>
      <c r="B33" s="15" t="s">
        <v>1141</v>
      </c>
      <c r="C33" s="18">
        <f>Inputs!$H$31</f>
        <v>2</v>
      </c>
      <c r="D33" s="16">
        <f>OPEX!$B$21+OPEX!$B$22</f>
        <v>37774218.75</v>
      </c>
      <c r="E33" s="53">
        <f>C33*D33</f>
        <v>75548437.5</v>
      </c>
      <c r="H33" s="53">
        <f>E33</f>
        <v>75548437.5</v>
      </c>
      <c r="I33" s="17">
        <f>H33/Inputs!$H$10</f>
        <v>3497.6128472222222</v>
      </c>
      <c r="J33" s="55">
        <f t="shared" si="1"/>
        <v>1.4836044221809648E-2</v>
      </c>
      <c r="K33" s="13" t="s">
        <v>1142</v>
      </c>
      <c r="L33" s="13" t="s">
        <v>1143</v>
      </c>
      <c r="M33" s="63" t="s">
        <v>257</v>
      </c>
    </row>
    <row r="34" spans="1:13" ht="15" customHeight="1" x14ac:dyDescent="0.2">
      <c r="A34" s="15" t="s">
        <v>1140</v>
      </c>
      <c r="B34" s="15" t="s">
        <v>1144</v>
      </c>
      <c r="C34" s="18">
        <f>Inputs!$H$29</f>
        <v>12</v>
      </c>
      <c r="D34" s="16">
        <f>OPEX!$B$21</f>
        <v>37774218.75</v>
      </c>
      <c r="E34" s="53">
        <f>C34*D34</f>
        <v>453290625</v>
      </c>
      <c r="H34" s="53">
        <f>E34</f>
        <v>453290625</v>
      </c>
      <c r="I34" s="17">
        <f>H34/Inputs!$H$10</f>
        <v>20985.677083333332</v>
      </c>
      <c r="J34" s="55">
        <f t="shared" si="1"/>
        <v>8.901626533085788E-2</v>
      </c>
      <c r="K34" s="13" t="s">
        <v>1145</v>
      </c>
      <c r="L34" s="13" t="s">
        <v>1146</v>
      </c>
      <c r="M34" s="63" t="s">
        <v>257</v>
      </c>
    </row>
    <row r="35" spans="1:13" ht="15" customHeight="1" x14ac:dyDescent="0.2">
      <c r="A35" s="15" t="s">
        <v>1140</v>
      </c>
      <c r="B35" s="15" t="s">
        <v>1147</v>
      </c>
      <c r="C35" s="18">
        <f>Inputs!$H$30</f>
        <v>2</v>
      </c>
      <c r="D35" s="16">
        <f>OPEX!$B$21</f>
        <v>37774218.75</v>
      </c>
      <c r="E35" s="53">
        <f>C35*D35</f>
        <v>75548437.5</v>
      </c>
      <c r="H35" s="53">
        <f>E35</f>
        <v>75548437.5</v>
      </c>
      <c r="I35" s="17">
        <f>H35/Inputs!$H$10</f>
        <v>3497.6128472222222</v>
      </c>
      <c r="J35" s="55">
        <f t="shared" si="1"/>
        <v>1.4836044221809648E-2</v>
      </c>
      <c r="K35" s="13" t="s">
        <v>1148</v>
      </c>
      <c r="L35" s="13" t="s">
        <v>1146</v>
      </c>
      <c r="M35" s="63" t="s">
        <v>257</v>
      </c>
    </row>
    <row r="36" spans="1:13" ht="27" customHeight="1" x14ac:dyDescent="0.2">
      <c r="A36" s="15" t="s">
        <v>1149</v>
      </c>
      <c r="B36" s="15" t="s">
        <v>1150</v>
      </c>
      <c r="C36" s="21">
        <f>Inputs!$H$80</f>
        <v>3</v>
      </c>
      <c r="D36" s="16">
        <f>Staffing!$J$15+OPEX!$B$13+OPEX!$B$18</f>
        <v>234909630</v>
      </c>
      <c r="E36" s="53">
        <f>C36*D36</f>
        <v>704728890</v>
      </c>
      <c r="H36" s="53">
        <f>E36</f>
        <v>704728890</v>
      </c>
      <c r="I36" s="17">
        <f>H36/Inputs!$H$10</f>
        <v>32626.337500000001</v>
      </c>
      <c r="J36" s="55">
        <f t="shared" si="1"/>
        <v>0.13839318617842794</v>
      </c>
      <c r="K36" s="13" t="s">
        <v>1151</v>
      </c>
      <c r="L36" s="13" t="s">
        <v>1152</v>
      </c>
      <c r="M36" s="63" t="s">
        <v>257</v>
      </c>
    </row>
    <row r="37" spans="1:13" ht="15" customHeight="1" x14ac:dyDescent="0.2">
      <c r="B37" s="12" t="s">
        <v>1153</v>
      </c>
      <c r="H37" s="41">
        <f>H23+H31+H32+SUM(H33:H35)+H36</f>
        <v>5092222453</v>
      </c>
      <c r="I37" s="68">
        <f>H37/Inputs!$H$10</f>
        <v>235751.03949074075</v>
      </c>
      <c r="J37" s="55">
        <f t="shared" si="1"/>
        <v>1</v>
      </c>
    </row>
    <row r="39" spans="1:13" ht="15" customHeight="1" x14ac:dyDescent="0.2">
      <c r="B39" s="12" t="s">
        <v>1154</v>
      </c>
    </row>
    <row r="40" spans="1:13" ht="15" customHeight="1" x14ac:dyDescent="0.2">
      <c r="B40" s="15" t="s">
        <v>1155</v>
      </c>
      <c r="H40" s="16">
        <f>SUMPRODUCT(E8:E22,1+Inputs!$H$18*G8:G22)</f>
        <v>2595180000</v>
      </c>
    </row>
    <row r="41" spans="1:13" ht="15" customHeight="1" x14ac:dyDescent="0.2">
      <c r="B41" s="15" t="s">
        <v>1156</v>
      </c>
      <c r="H41" s="53">
        <f>SUM(H24:H29)</f>
        <v>677100000.00000012</v>
      </c>
    </row>
    <row r="42" spans="1:13" ht="15" customHeight="1" x14ac:dyDescent="0.2">
      <c r="B42" s="15" t="s">
        <v>1157</v>
      </c>
      <c r="H42" s="53">
        <f>H23*(1+C32)</f>
        <v>2854698000</v>
      </c>
    </row>
    <row r="43" spans="1:13" ht="15" customHeight="1" x14ac:dyDescent="0.2">
      <c r="B43" s="15" t="s">
        <v>1158</v>
      </c>
      <c r="H43" s="53">
        <f>H37-H36</f>
        <v>4387493563</v>
      </c>
    </row>
    <row r="45" spans="1:13" ht="15" customHeight="1" x14ac:dyDescent="0.2">
      <c r="B45" s="11" t="s">
        <v>1159</v>
      </c>
    </row>
    <row r="48" spans="1:13" ht="15.75" customHeight="1" x14ac:dyDescent="0.2">
      <c r="A48" s="118" t="s">
        <v>1160</v>
      </c>
    </row>
    <row r="49" spans="1:12" ht="27" customHeight="1" x14ac:dyDescent="0.2">
      <c r="A49" s="195" t="s">
        <v>114</v>
      </c>
      <c r="B49" s="196"/>
      <c r="C49" s="195" t="s">
        <v>115</v>
      </c>
      <c r="D49" s="196"/>
      <c r="E49" s="195" t="s">
        <v>116</v>
      </c>
      <c r="F49" s="196"/>
      <c r="G49" s="196"/>
      <c r="H49" s="195" t="s">
        <v>117</v>
      </c>
      <c r="I49" s="196"/>
      <c r="J49" s="196"/>
      <c r="K49" s="196"/>
      <c r="L49" s="119" t="s">
        <v>22</v>
      </c>
    </row>
    <row r="50" spans="1:12" ht="15" customHeight="1" x14ac:dyDescent="0.2">
      <c r="A50" s="197" t="s">
        <v>1161</v>
      </c>
      <c r="B50" s="199"/>
      <c r="C50" s="203">
        <f>Inputs!H77</f>
        <v>1</v>
      </c>
      <c r="D50" s="199"/>
      <c r="E50" s="197" t="s">
        <v>1162</v>
      </c>
      <c r="F50" s="198"/>
      <c r="G50" s="199"/>
      <c r="H50" s="197" t="s">
        <v>1163</v>
      </c>
      <c r="I50" s="198"/>
      <c r="J50" s="198"/>
      <c r="K50" s="199"/>
      <c r="L50" s="6" t="s">
        <v>127</v>
      </c>
    </row>
    <row r="51" spans="1:12" ht="15" customHeight="1" x14ac:dyDescent="0.2">
      <c r="A51" s="197" t="s">
        <v>1164</v>
      </c>
      <c r="B51" s="199"/>
      <c r="C51" s="206">
        <f>Inputs!H18</f>
        <v>0.11</v>
      </c>
      <c r="D51" s="199"/>
      <c r="E51" s="197" t="s">
        <v>1165</v>
      </c>
      <c r="F51" s="198"/>
      <c r="G51" s="199"/>
      <c r="H51" s="197" t="s">
        <v>1166</v>
      </c>
      <c r="I51" s="198"/>
      <c r="J51" s="198"/>
      <c r="K51" s="199"/>
      <c r="L51" s="5" t="s">
        <v>131</v>
      </c>
    </row>
    <row r="52" spans="1:12" ht="15" customHeight="1" x14ac:dyDescent="0.2">
      <c r="A52" s="197" t="s">
        <v>1167</v>
      </c>
      <c r="B52" s="199"/>
      <c r="C52" s="206">
        <f>Inputs!H78</f>
        <v>0.1</v>
      </c>
      <c r="D52" s="199"/>
      <c r="E52" s="197" t="s">
        <v>1162</v>
      </c>
      <c r="F52" s="198"/>
      <c r="G52" s="199"/>
      <c r="H52" s="197" t="s">
        <v>1168</v>
      </c>
      <c r="I52" s="198"/>
      <c r="J52" s="198"/>
      <c r="K52" s="199"/>
      <c r="L52" s="5" t="s">
        <v>257</v>
      </c>
    </row>
    <row r="53" spans="1:12" ht="15" customHeight="1" x14ac:dyDescent="0.2">
      <c r="A53" s="197" t="s">
        <v>1169</v>
      </c>
      <c r="B53" s="199"/>
      <c r="C53" s="203">
        <f>'CAPEX (Buy)'!C5</f>
        <v>60</v>
      </c>
      <c r="D53" s="199"/>
      <c r="E53" s="197" t="s">
        <v>925</v>
      </c>
      <c r="F53" s="198"/>
      <c r="G53" s="199"/>
      <c r="H53" s="197" t="s">
        <v>1170</v>
      </c>
      <c r="I53" s="198"/>
      <c r="J53" s="198"/>
      <c r="K53" s="199"/>
      <c r="L53" s="5" t="s">
        <v>257</v>
      </c>
    </row>
    <row r="54" spans="1:12" ht="15" customHeight="1" x14ac:dyDescent="0.2">
      <c r="A54" s="197" t="s">
        <v>1171</v>
      </c>
      <c r="B54" s="199"/>
      <c r="C54" s="203">
        <f>Inputs!H10</f>
        <v>21600</v>
      </c>
      <c r="D54" s="199"/>
      <c r="E54" s="197" t="s">
        <v>1172</v>
      </c>
      <c r="F54" s="198"/>
      <c r="G54" s="199"/>
      <c r="H54" s="197" t="s">
        <v>1173</v>
      </c>
      <c r="I54" s="198"/>
      <c r="J54" s="198"/>
      <c r="K54" s="199"/>
      <c r="L54" s="5" t="s">
        <v>131</v>
      </c>
    </row>
    <row r="55" spans="1:12" ht="27" customHeight="1" x14ac:dyDescent="0.2">
      <c r="A55" s="197" t="s">
        <v>1174</v>
      </c>
      <c r="B55" s="199"/>
      <c r="C55" s="202" t="s">
        <v>125</v>
      </c>
      <c r="D55" s="199"/>
      <c r="E55" s="197" t="s">
        <v>1175</v>
      </c>
      <c r="F55" s="198"/>
      <c r="G55" s="199"/>
      <c r="H55" s="197" t="s">
        <v>1176</v>
      </c>
      <c r="I55" s="198"/>
      <c r="J55" s="198"/>
      <c r="K55" s="199"/>
      <c r="L55" s="7" t="s">
        <v>27</v>
      </c>
    </row>
  </sheetData>
  <mergeCells count="28">
    <mergeCell ref="A51:B51"/>
    <mergeCell ref="A49:B49"/>
    <mergeCell ref="A54:B54"/>
    <mergeCell ref="E49:G49"/>
    <mergeCell ref="C54:D54"/>
    <mergeCell ref="H50:K50"/>
    <mergeCell ref="E54:G54"/>
    <mergeCell ref="C51:D51"/>
    <mergeCell ref="E53:G53"/>
    <mergeCell ref="E50:G50"/>
    <mergeCell ref="C52:D52"/>
    <mergeCell ref="H51:K51"/>
    <mergeCell ref="H49:K49"/>
    <mergeCell ref="A53:B53"/>
    <mergeCell ref="E55:G55"/>
    <mergeCell ref="A52:B52"/>
    <mergeCell ref="E52:G52"/>
    <mergeCell ref="H52:K52"/>
    <mergeCell ref="C53:D53"/>
    <mergeCell ref="E51:G51"/>
    <mergeCell ref="C49:D49"/>
    <mergeCell ref="H53:K53"/>
    <mergeCell ref="C55:D55"/>
    <mergeCell ref="C50:D50"/>
    <mergeCell ref="H54:K54"/>
    <mergeCell ref="A55:B55"/>
    <mergeCell ref="A50:B50"/>
    <mergeCell ref="H55:K55"/>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126"/>
  <sheetViews>
    <sheetView showGridLines="0" workbookViewId="0">
      <pane xSplit="2" ySplit="7" topLeftCell="C8" activePane="bottomRight" state="frozen"/>
      <selection pane="topRight"/>
      <selection pane="bottomLeft"/>
      <selection pane="bottomRight"/>
    </sheetView>
  </sheetViews>
  <sheetFormatPr baseColWidth="10" defaultColWidth="8.83203125" defaultRowHeight="15" x14ac:dyDescent="0.2"/>
  <cols>
    <col min="1" max="1" width="9" customWidth="1"/>
    <col min="2" max="2" width="44" customWidth="1"/>
    <col min="3" max="3" width="14" customWidth="1"/>
    <col min="4" max="4" width="15" customWidth="1"/>
    <col min="5" max="5" width="16" customWidth="1"/>
    <col min="6" max="6" width="8" customWidth="1"/>
    <col min="7" max="7" width="7" customWidth="1"/>
    <col min="8" max="8" width="17" customWidth="1"/>
    <col min="9" max="9" width="13" customWidth="1"/>
    <col min="10" max="10" width="9" customWidth="1"/>
    <col min="11" max="11" width="42" customWidth="1"/>
    <col min="12" max="12" width="52" customWidth="1"/>
    <col min="13" max="13" width="18" customWidth="1"/>
    <col min="14" max="14" width="8" customWidth="1"/>
    <col min="15" max="15" width="16" customWidth="1"/>
    <col min="16" max="16" width="30" customWidth="1"/>
    <col min="17" max="18" width="14" customWidth="1"/>
    <col min="19" max="19" width="13" customWidth="1"/>
    <col min="20" max="20" width="16" customWidth="1"/>
    <col min="21" max="21" width="15" customWidth="1"/>
    <col min="22" max="22" width="8" customWidth="1"/>
    <col min="23" max="25" width="16" customWidth="1"/>
    <col min="26" max="26" width="18" customWidth="1"/>
    <col min="27" max="27" width="30" customWidth="1"/>
  </cols>
  <sheetData>
    <row r="1" spans="1:27" ht="18" x14ac:dyDescent="0.2">
      <c r="A1" s="137" t="s">
        <v>1177</v>
      </c>
    </row>
    <row r="2" spans="1:27" x14ac:dyDescent="0.2">
      <c r="A2" s="138" t="s">
        <v>1178</v>
      </c>
    </row>
    <row r="3" spans="1:27" ht="16" x14ac:dyDescent="0.2">
      <c r="A3" s="139" t="s">
        <v>239</v>
      </c>
      <c r="B3" s="140" t="s">
        <v>1179</v>
      </c>
    </row>
    <row r="4" spans="1:27" x14ac:dyDescent="0.2">
      <c r="A4" s="129" t="s">
        <v>1180</v>
      </c>
      <c r="B4" s="141" t="s">
        <v>1181</v>
      </c>
    </row>
    <row r="5" spans="1:27" x14ac:dyDescent="0.2">
      <c r="B5" s="135" t="s">
        <v>1067</v>
      </c>
      <c r="C5" s="142">
        <f>Revenue!$C$5</f>
        <v>60</v>
      </c>
    </row>
    <row r="7" spans="1:27" ht="45" customHeight="1" x14ac:dyDescent="0.2">
      <c r="A7" s="143" t="s">
        <v>1068</v>
      </c>
      <c r="B7" s="143" t="s">
        <v>7</v>
      </c>
      <c r="C7" s="143" t="s">
        <v>1069</v>
      </c>
      <c r="D7" s="143" t="s">
        <v>1182</v>
      </c>
      <c r="E7" s="143" t="s">
        <v>1071</v>
      </c>
      <c r="F7" s="143" t="s">
        <v>1072</v>
      </c>
      <c r="G7" s="143" t="s">
        <v>1073</v>
      </c>
      <c r="H7" s="143" t="s">
        <v>1183</v>
      </c>
      <c r="I7" s="143" t="s">
        <v>1184</v>
      </c>
      <c r="J7" s="143" t="s">
        <v>1185</v>
      </c>
      <c r="K7" s="143" t="s">
        <v>956</v>
      </c>
      <c r="L7" s="143" t="s">
        <v>1077</v>
      </c>
      <c r="M7" s="143" t="s">
        <v>22</v>
      </c>
      <c r="N7" s="144" t="s">
        <v>1186</v>
      </c>
      <c r="O7" s="144" t="s">
        <v>1187</v>
      </c>
      <c r="P7" s="144" t="s">
        <v>1188</v>
      </c>
      <c r="Q7" s="144" t="s">
        <v>1189</v>
      </c>
      <c r="R7" s="144" t="s">
        <v>1190</v>
      </c>
      <c r="S7" s="144" t="s">
        <v>1191</v>
      </c>
      <c r="T7" s="144" t="s">
        <v>1192</v>
      </c>
      <c r="U7" s="144" t="s">
        <v>1193</v>
      </c>
      <c r="V7" s="144" t="s">
        <v>1194</v>
      </c>
      <c r="W7" s="144" t="s">
        <v>1195</v>
      </c>
      <c r="X7" s="144" t="s">
        <v>1196</v>
      </c>
      <c r="Y7" s="144" t="s">
        <v>1197</v>
      </c>
      <c r="Z7" s="144" t="s">
        <v>1198</v>
      </c>
      <c r="AA7" s="144" t="s">
        <v>1199</v>
      </c>
    </row>
    <row r="8" spans="1:27" ht="40" customHeight="1" x14ac:dyDescent="0.2">
      <c r="A8" s="135" t="s">
        <v>1078</v>
      </c>
      <c r="B8" s="135" t="s">
        <v>1079</v>
      </c>
      <c r="C8" s="142">
        <f>'CAPEX (Buy)'!C8</f>
        <v>150</v>
      </c>
      <c r="D8" s="131">
        <f>'CAPEX (Buy)'!D8</f>
        <v>3200000</v>
      </c>
      <c r="E8" s="145">
        <f t="shared" ref="E8:E25" si="0">C8*D8</f>
        <v>480000000</v>
      </c>
      <c r="F8" s="142">
        <f>'CAPEX (Buy)'!F8</f>
        <v>1</v>
      </c>
      <c r="G8" s="142">
        <f>'CAPEX (Buy)'!G8</f>
        <v>1</v>
      </c>
      <c r="H8" s="146">
        <f t="shared" ref="H8:H25" si="1">CHOOSE(N8,T8,T8*$C$68+T8*(1-$C$68)*($C$69+$C$70)+$C$71+T8*$C$72*$C$66/12,S8,S8)</f>
        <v>532800000.00000006</v>
      </c>
      <c r="I8" s="132">
        <f>H8/Inputs!$H$10</f>
        <v>24666.666666666668</v>
      </c>
      <c r="J8" s="147">
        <f t="shared" ref="J8:J40" si="2">IFERROR(H8/$H$40,0)</f>
        <v>0.12488730930665057</v>
      </c>
      <c r="K8" s="148" t="s">
        <v>1200</v>
      </c>
      <c r="L8" s="148" t="s">
        <v>1201</v>
      </c>
      <c r="M8" s="149" t="s">
        <v>257</v>
      </c>
      <c r="N8" s="150">
        <v>1</v>
      </c>
      <c r="O8" s="151" t="str">
        <f t="shared" ref="O8:O25" si="3">CHOOSE(N8,"Buy (cash)","Finance lease","Operating rental","Sponsored / supplier loan")</f>
        <v>Buy (cash)</v>
      </c>
      <c r="P8" s="148" t="s">
        <v>1202</v>
      </c>
      <c r="Q8" s="145"/>
      <c r="R8" s="145"/>
      <c r="S8" s="145">
        <f t="shared" ref="S8:S25" si="4">IF(N8=3,Q8*$C$91,0)</f>
        <v>0</v>
      </c>
      <c r="T8" s="145">
        <f>E8*IF(F8=1,Inputs!$H$77,1)*(1+Inputs!$H$18*G8)</f>
        <v>532800000.00000006</v>
      </c>
      <c r="U8" s="146">
        <f>CHOOSE(N8,0,T8*(1-$C$68)*(1/$C$66+$C$67/12),Q8*(1+Inputs!$H$18*G8),R8*(1+Inputs!$H$18*G8))</f>
        <v>0</v>
      </c>
      <c r="V8" s="152">
        <f t="shared" ref="V8:V25" si="5">CHOOSE(N8,0,$C$66,$C$75,$C$75)</f>
        <v>0</v>
      </c>
      <c r="W8" s="145">
        <f t="shared" ref="W8:W25" si="6">H8+U8*MIN(V8,$C$75)-IF(N8&gt;=3,S8,0)</f>
        <v>532800000.00000006</v>
      </c>
      <c r="X8" s="145">
        <f t="shared" ref="X8:X25" si="7">W8-T8</f>
        <v>0</v>
      </c>
      <c r="Y8" s="145">
        <f t="shared" ref="Y8:Y25" si="8">T8-H8</f>
        <v>0</v>
      </c>
      <c r="Z8" s="151" t="str">
        <f t="shared" ref="Z8:Z25" si="9">CHOOSE(N8,"Yes","Yes – after last instalment","No – returned","No – supplier's asset")</f>
        <v>Yes</v>
      </c>
      <c r="AA8" s="151" t="str">
        <f>IF(N8&lt;&gt;1,"⚠ not leasable (fixture/service/consumable)",IF(AND(N8=2,T8&lt;$C$73),"⚠ below BFI min. – bundle with kitchen package",IF(AND(N8=3,Q8=0),"⚠ no rental quote – enter fee in col Q","OK")))</f>
        <v>OK</v>
      </c>
    </row>
    <row r="9" spans="1:27" ht="40" customHeight="1" x14ac:dyDescent="0.2">
      <c r="A9" s="135" t="s">
        <v>1078</v>
      </c>
      <c r="B9" s="135" t="s">
        <v>1203</v>
      </c>
      <c r="C9" s="153">
        <v>1</v>
      </c>
      <c r="D9" s="145">
        <f>'CAPEX (Buy)'!E9*(1-$C$92)</f>
        <v>180000000</v>
      </c>
      <c r="E9" s="145">
        <f t="shared" si="0"/>
        <v>180000000</v>
      </c>
      <c r="F9" s="142">
        <f>'CAPEX (Buy)'!F9</f>
        <v>1</v>
      </c>
      <c r="G9" s="142">
        <f>'CAPEX (Buy)'!G9</f>
        <v>1</v>
      </c>
      <c r="H9" s="146">
        <f t="shared" si="1"/>
        <v>199800000.00000003</v>
      </c>
      <c r="I9" s="132">
        <f>H9/Inputs!$H$10</f>
        <v>9250.0000000000018</v>
      </c>
      <c r="J9" s="147">
        <f t="shared" si="2"/>
        <v>4.6832740989993966E-2</v>
      </c>
      <c r="K9" s="148" t="s">
        <v>1204</v>
      </c>
      <c r="L9" s="148" t="s">
        <v>1205</v>
      </c>
      <c r="M9" s="149" t="s">
        <v>257</v>
      </c>
      <c r="N9" s="150">
        <v>1</v>
      </c>
      <c r="O9" s="151" t="str">
        <f t="shared" si="3"/>
        <v>Buy (cash)</v>
      </c>
      <c r="P9" s="148" t="s">
        <v>1206</v>
      </c>
      <c r="Q9" s="145"/>
      <c r="R9" s="145"/>
      <c r="S9" s="145">
        <f t="shared" si="4"/>
        <v>0</v>
      </c>
      <c r="T9" s="145">
        <f>E9*IF(F9=1,Inputs!$H$77,1)*(1+Inputs!$H$18*G9)</f>
        <v>199800000.00000003</v>
      </c>
      <c r="U9" s="146">
        <f>CHOOSE(N9,0,T9*(1-$C$68)*(1/$C$66+$C$67/12),Q9*(1+Inputs!$H$18*G9),R9*(1+Inputs!$H$18*G9))</f>
        <v>0</v>
      </c>
      <c r="V9" s="152">
        <f t="shared" si="5"/>
        <v>0</v>
      </c>
      <c r="W9" s="145">
        <f t="shared" si="6"/>
        <v>199800000.00000003</v>
      </c>
      <c r="X9" s="145">
        <f t="shared" si="7"/>
        <v>0</v>
      </c>
      <c r="Y9" s="145">
        <f t="shared" si="8"/>
        <v>0</v>
      </c>
      <c r="Z9" s="151" t="str">
        <f t="shared" si="9"/>
        <v>Yes</v>
      </c>
      <c r="AA9" s="151" t="str">
        <f>IF(N9&lt;&gt;1,"⚠ not leasable (fixture/service/consumable)",IF(AND(N9=2,T9&lt;$C$73),"⚠ below BFI min. – bundle with kitchen package",IF(AND(N9=3,Q9=0),"⚠ no rental quote – enter fee in col Q","OK")))</f>
        <v>OK</v>
      </c>
    </row>
    <row r="10" spans="1:27" ht="40" customHeight="1" x14ac:dyDescent="0.2">
      <c r="A10" s="135" t="s">
        <v>1078</v>
      </c>
      <c r="B10" s="135" t="s">
        <v>1207</v>
      </c>
      <c r="C10" s="153">
        <v>1</v>
      </c>
      <c r="D10" s="145">
        <f>'CAPEX (Buy)'!E9*$C$92</f>
        <v>120000000</v>
      </c>
      <c r="E10" s="145">
        <f t="shared" si="0"/>
        <v>120000000</v>
      </c>
      <c r="F10" s="142">
        <f>'CAPEX (Buy)'!F9</f>
        <v>1</v>
      </c>
      <c r="G10" s="142">
        <f>'CAPEX (Buy)'!G9</f>
        <v>1</v>
      </c>
      <c r="H10" s="146">
        <f t="shared" si="1"/>
        <v>133200000.00000001</v>
      </c>
      <c r="I10" s="132">
        <f>H10/Inputs!$H$10</f>
        <v>6166.666666666667</v>
      </c>
      <c r="J10" s="147">
        <f t="shared" si="2"/>
        <v>3.1221827326662642E-2</v>
      </c>
      <c r="K10" s="148" t="s">
        <v>1208</v>
      </c>
      <c r="L10" s="148" t="s">
        <v>1209</v>
      </c>
      <c r="M10" s="149" t="s">
        <v>27</v>
      </c>
      <c r="N10" s="150">
        <v>1</v>
      </c>
      <c r="O10" s="151" t="str">
        <f t="shared" si="3"/>
        <v>Buy (cash)</v>
      </c>
      <c r="P10" s="148" t="s">
        <v>1210</v>
      </c>
      <c r="Q10" s="145">
        <f>ROUND($C$5*$C$82,0)*$C$81</f>
        <v>12000000</v>
      </c>
      <c r="R10" s="145"/>
      <c r="S10" s="145">
        <f t="shared" si="4"/>
        <v>0</v>
      </c>
      <c r="T10" s="145">
        <f>E10*IF(F10=1,Inputs!$H$77,1)*(1+Inputs!$H$18*G10)</f>
        <v>133200000.00000001</v>
      </c>
      <c r="U10" s="146">
        <f>CHOOSE(N10,0,T10*(1-$C$68)*(1/$C$66+$C$67/12),Q10*(1+Inputs!$H$18*G10),R10*(1+Inputs!$H$18*G10))</f>
        <v>0</v>
      </c>
      <c r="V10" s="152">
        <f t="shared" si="5"/>
        <v>0</v>
      </c>
      <c r="W10" s="145">
        <f t="shared" si="6"/>
        <v>133200000.00000001</v>
      </c>
      <c r="X10" s="145">
        <f t="shared" si="7"/>
        <v>0</v>
      </c>
      <c r="Y10" s="145">
        <f t="shared" si="8"/>
        <v>0</v>
      </c>
      <c r="Z10" s="151" t="str">
        <f t="shared" si="9"/>
        <v>Yes</v>
      </c>
      <c r="AA10" s="151" t="str">
        <f>IF(AND(N10=2,T10&lt;$C$73),"⚠ below BFI min. – bundle with kitchen package",IF(AND(N10=3,Q10=0),"⚠ no rental quote – enter fee in col Q","OK"))</f>
        <v>OK</v>
      </c>
    </row>
    <row r="11" spans="1:27" ht="40" customHeight="1" x14ac:dyDescent="0.2">
      <c r="A11" s="135" t="s">
        <v>1078</v>
      </c>
      <c r="B11" s="135" t="s">
        <v>1085</v>
      </c>
      <c r="C11" s="142">
        <f>'CAPEX (Buy)'!C10</f>
        <v>1</v>
      </c>
      <c r="D11" s="131">
        <f>'CAPEX (Buy)'!D10</f>
        <v>78000000</v>
      </c>
      <c r="E11" s="145">
        <f t="shared" si="0"/>
        <v>78000000</v>
      </c>
      <c r="F11" s="142">
        <f>'CAPEX (Buy)'!F10</f>
        <v>1</v>
      </c>
      <c r="G11" s="142">
        <f>'CAPEX (Buy)'!G10</f>
        <v>1</v>
      </c>
      <c r="H11" s="146">
        <f t="shared" si="1"/>
        <v>86580000.000000015</v>
      </c>
      <c r="I11" s="132">
        <f>H11/Inputs!$H$10</f>
        <v>4008.3333333333339</v>
      </c>
      <c r="J11" s="147">
        <f t="shared" si="2"/>
        <v>2.0294187762330718E-2</v>
      </c>
      <c r="K11" s="148" t="s">
        <v>1211</v>
      </c>
      <c r="L11" s="148" t="s">
        <v>1212</v>
      </c>
      <c r="M11" s="149" t="s">
        <v>131</v>
      </c>
      <c r="N11" s="150">
        <v>1</v>
      </c>
      <c r="O11" s="151" t="str">
        <f t="shared" si="3"/>
        <v>Buy (cash)</v>
      </c>
      <c r="P11" s="148" t="s">
        <v>1213</v>
      </c>
      <c r="Q11" s="145"/>
      <c r="R11" s="145"/>
      <c r="S11" s="145">
        <f t="shared" si="4"/>
        <v>0</v>
      </c>
      <c r="T11" s="145">
        <f>E11*IF(F11=1,Inputs!$H$77,1)*(1+Inputs!$H$18*G11)</f>
        <v>86580000.000000015</v>
      </c>
      <c r="U11" s="146">
        <f>CHOOSE(N11,0,T11*(1-$C$68)*(1/$C$66+$C$67/12),Q11*(1+Inputs!$H$18*G11),R11*(1+Inputs!$H$18*G11))</f>
        <v>0</v>
      </c>
      <c r="V11" s="152">
        <f t="shared" si="5"/>
        <v>0</v>
      </c>
      <c r="W11" s="145">
        <f t="shared" si="6"/>
        <v>86580000.000000015</v>
      </c>
      <c r="X11" s="145">
        <f t="shared" si="7"/>
        <v>0</v>
      </c>
      <c r="Y11" s="145">
        <f t="shared" si="8"/>
        <v>0</v>
      </c>
      <c r="Z11" s="151" t="str">
        <f t="shared" si="9"/>
        <v>Yes</v>
      </c>
      <c r="AA11" s="151" t="str">
        <f>IF(N11&lt;&gt;1,"⚠ not leasable (fixture/service/consumable)",IF(AND(N11=2,T11&lt;$C$73),"⚠ below BFI min. – bundle with kitchen package",IF(AND(N11=3,Q11=0),"⚠ no rental quote – enter fee in col Q","OK")))</f>
        <v>OK</v>
      </c>
    </row>
    <row r="12" spans="1:27" ht="40" customHeight="1" x14ac:dyDescent="0.2">
      <c r="A12" s="135" t="s">
        <v>1078</v>
      </c>
      <c r="B12" s="135" t="s">
        <v>1088</v>
      </c>
      <c r="C12" s="142">
        <f>'CAPEX (Buy)'!C11</f>
        <v>1</v>
      </c>
      <c r="D12" s="131">
        <f>'CAPEX (Buy)'!D11</f>
        <v>280000000</v>
      </c>
      <c r="E12" s="145">
        <f t="shared" si="0"/>
        <v>280000000</v>
      </c>
      <c r="F12" s="142">
        <f>'CAPEX (Buy)'!F11</f>
        <v>1</v>
      </c>
      <c r="G12" s="142">
        <f>'CAPEX (Buy)'!G11</f>
        <v>1</v>
      </c>
      <c r="H12" s="146">
        <f t="shared" si="1"/>
        <v>100816100</v>
      </c>
      <c r="I12" s="132">
        <f>H12/Inputs!$H$10</f>
        <v>4667.4120370370374</v>
      </c>
      <c r="J12" s="147">
        <f t="shared" si="2"/>
        <v>2.3631102597203853E-2</v>
      </c>
      <c r="K12" s="148" t="s">
        <v>1214</v>
      </c>
      <c r="L12" s="148" t="s">
        <v>1215</v>
      </c>
      <c r="M12" s="149" t="s">
        <v>27</v>
      </c>
      <c r="N12" s="150">
        <v>2</v>
      </c>
      <c r="O12" s="151" t="str">
        <f t="shared" si="3"/>
        <v>Finance lease</v>
      </c>
      <c r="P12" s="148" t="s">
        <v>1216</v>
      </c>
      <c r="Q12" s="145"/>
      <c r="R12" s="145"/>
      <c r="S12" s="145">
        <f t="shared" si="4"/>
        <v>0</v>
      </c>
      <c r="T12" s="145">
        <f>E12*IF(F12=1,Inputs!$H$77,1)*(1+Inputs!$H$18*G12)</f>
        <v>310800000</v>
      </c>
      <c r="U12" s="146">
        <f>CHOOSE(N12,0,T12*(1-$C$68)*(1/$C$66+$C$67/12),Q12*(1+Inputs!$H$18*G12),R12*(1+Inputs!$H$18*G12))</f>
        <v>7747553.3333333321</v>
      </c>
      <c r="V12" s="152">
        <f t="shared" si="5"/>
        <v>36</v>
      </c>
      <c r="W12" s="145">
        <f t="shared" si="6"/>
        <v>379728019.99999994</v>
      </c>
      <c r="X12" s="145">
        <f t="shared" si="7"/>
        <v>68928019.99999994</v>
      </c>
      <c r="Y12" s="145">
        <f t="shared" si="8"/>
        <v>209983900</v>
      </c>
      <c r="Z12" s="151" t="str">
        <f t="shared" si="9"/>
        <v>Yes – after last instalment</v>
      </c>
      <c r="AA12" s="151" t="str">
        <f>IF(AND(N12=2,T12&lt;$C$73),"⚠ below BFI min. – bundle with kitchen package",IF(AND(N12=3,Q12=0),"⚠ no rental quote – enter fee in col Q","OK"))</f>
        <v>OK</v>
      </c>
    </row>
    <row r="13" spans="1:27" ht="40" customHeight="1" x14ac:dyDescent="0.2">
      <c r="A13" s="135" t="s">
        <v>1078</v>
      </c>
      <c r="B13" s="135" t="s">
        <v>1091</v>
      </c>
      <c r="C13" s="142">
        <f>'CAPEX (Buy)'!C12</f>
        <v>1</v>
      </c>
      <c r="D13" s="131">
        <f>'CAPEX (Buy)'!D12</f>
        <v>120000000</v>
      </c>
      <c r="E13" s="145">
        <f t="shared" si="0"/>
        <v>120000000</v>
      </c>
      <c r="F13" s="142">
        <f>'CAPEX (Buy)'!F12</f>
        <v>1</v>
      </c>
      <c r="G13" s="142">
        <f>'CAPEX (Buy)'!G12</f>
        <v>1</v>
      </c>
      <c r="H13" s="146">
        <f t="shared" si="1"/>
        <v>43406900</v>
      </c>
      <c r="I13" s="132">
        <f>H13/Inputs!$H$10</f>
        <v>2009.5787037037037</v>
      </c>
      <c r="J13" s="147">
        <f t="shared" si="2"/>
        <v>1.0174495019412255E-2</v>
      </c>
      <c r="K13" s="148" t="s">
        <v>1217</v>
      </c>
      <c r="L13" s="148" t="s">
        <v>1218</v>
      </c>
      <c r="M13" s="149" t="s">
        <v>127</v>
      </c>
      <c r="N13" s="150">
        <v>2</v>
      </c>
      <c r="O13" s="151" t="str">
        <f t="shared" si="3"/>
        <v>Finance lease</v>
      </c>
      <c r="P13" s="148" t="s">
        <v>1219</v>
      </c>
      <c r="Q13" s="145"/>
      <c r="R13" s="145"/>
      <c r="S13" s="145">
        <f t="shared" si="4"/>
        <v>0</v>
      </c>
      <c r="T13" s="145">
        <f>E13*IF(F13=1,Inputs!$H$77,1)*(1+Inputs!$H$18*G13)</f>
        <v>133200000.00000001</v>
      </c>
      <c r="U13" s="146">
        <f>CHOOSE(N13,0,T13*(1-$C$68)*(1/$C$66+$C$67/12),Q13*(1+Inputs!$H$18*G13),R13*(1+Inputs!$H$18*G13))</f>
        <v>3320379.9999999995</v>
      </c>
      <c r="V13" s="152">
        <f t="shared" si="5"/>
        <v>36</v>
      </c>
      <c r="W13" s="145">
        <f t="shared" si="6"/>
        <v>162940580</v>
      </c>
      <c r="X13" s="145">
        <f t="shared" si="7"/>
        <v>29740579.999999985</v>
      </c>
      <c r="Y13" s="145">
        <f t="shared" si="8"/>
        <v>89793100.000000015</v>
      </c>
      <c r="Z13" s="151" t="str">
        <f t="shared" si="9"/>
        <v>Yes – after last instalment</v>
      </c>
      <c r="AA13" s="151" t="str">
        <f>IF(AND(N13=2,T13&lt;$C$73),"⚠ below BFI min. – bundle with kitchen package",IF(AND(N13=3,Q13=0),"⚠ no rental quote – enter fee in col Q","OK"))</f>
        <v>OK</v>
      </c>
    </row>
    <row r="14" spans="1:27" ht="40" customHeight="1" x14ac:dyDescent="0.2">
      <c r="A14" s="135" t="s">
        <v>1078</v>
      </c>
      <c r="B14" s="135" t="s">
        <v>1220</v>
      </c>
      <c r="C14" s="153">
        <v>1</v>
      </c>
      <c r="D14" s="145">
        <f>'CAPEX (Buy)'!E13*(1-$C$93)</f>
        <v>112500000</v>
      </c>
      <c r="E14" s="145">
        <f t="shared" si="0"/>
        <v>112500000</v>
      </c>
      <c r="F14" s="142">
        <f>'CAPEX (Buy)'!F13</f>
        <v>1</v>
      </c>
      <c r="G14" s="142">
        <f>'CAPEX (Buy)'!G13</f>
        <v>1</v>
      </c>
      <c r="H14" s="146">
        <f t="shared" si="1"/>
        <v>40715843.75</v>
      </c>
      <c r="I14" s="132">
        <f>H14/Inputs!$H$10</f>
        <v>1884.9927662037037</v>
      </c>
      <c r="J14" s="147">
        <f t="shared" si="2"/>
        <v>9.5437165392032747E-3</v>
      </c>
      <c r="K14" s="148" t="s">
        <v>1221</v>
      </c>
      <c r="L14" s="148" t="s">
        <v>1222</v>
      </c>
      <c r="M14" s="149" t="s">
        <v>27</v>
      </c>
      <c r="N14" s="150">
        <v>2</v>
      </c>
      <c r="O14" s="151" t="str">
        <f t="shared" si="3"/>
        <v>Finance lease</v>
      </c>
      <c r="P14" s="148" t="s">
        <v>1223</v>
      </c>
      <c r="Q14" s="145">
        <f>$C$84*$C$83+$C$86*$C$85</f>
        <v>6140000</v>
      </c>
      <c r="R14" s="145"/>
      <c r="S14" s="145">
        <f t="shared" si="4"/>
        <v>0</v>
      </c>
      <c r="T14" s="145">
        <f>E14*IF(F14=1,Inputs!$H$77,1)*(1+Inputs!$H$18*G14)</f>
        <v>124875000.00000001</v>
      </c>
      <c r="U14" s="146">
        <f>CHOOSE(N14,0,T14*(1-$C$68)*(1/$C$66+$C$67/12),Q14*(1+Inputs!$H$18*G14),R14*(1+Inputs!$H$18*G14))</f>
        <v>3112856.2499999995</v>
      </c>
      <c r="V14" s="152">
        <f t="shared" si="5"/>
        <v>36</v>
      </c>
      <c r="W14" s="145">
        <f t="shared" si="6"/>
        <v>152778668.75</v>
      </c>
      <c r="X14" s="145">
        <f t="shared" si="7"/>
        <v>27903668.749999985</v>
      </c>
      <c r="Y14" s="145">
        <f t="shared" si="8"/>
        <v>84159156.250000015</v>
      </c>
      <c r="Z14" s="151" t="str">
        <f t="shared" si="9"/>
        <v>Yes – after last instalment</v>
      </c>
      <c r="AA14" s="151" t="str">
        <f>IF(AND(N14=2,T14&lt;$C$73),"⚠ below BFI min. – bundle with kitchen package",IF(AND(N14=3,Q14=0),"⚠ no rental quote – enter fee in col Q","OK"))</f>
        <v>OK</v>
      </c>
    </row>
    <row r="15" spans="1:27" ht="40" customHeight="1" x14ac:dyDescent="0.2">
      <c r="A15" s="135" t="s">
        <v>1078</v>
      </c>
      <c r="B15" s="135" t="s">
        <v>1224</v>
      </c>
      <c r="C15" s="153">
        <v>1</v>
      </c>
      <c r="D15" s="145">
        <f>'CAPEX (Buy)'!E13*$C$93</f>
        <v>37500000</v>
      </c>
      <c r="E15" s="145">
        <f t="shared" si="0"/>
        <v>37500000</v>
      </c>
      <c r="F15" s="142">
        <f>'CAPEX (Buy)'!F13</f>
        <v>1</v>
      </c>
      <c r="G15" s="142">
        <f>'CAPEX (Buy)'!G13</f>
        <v>1</v>
      </c>
      <c r="H15" s="146">
        <f t="shared" si="1"/>
        <v>0</v>
      </c>
      <c r="I15" s="132">
        <f>H15/Inputs!$H$10</f>
        <v>0</v>
      </c>
      <c r="J15" s="147">
        <f t="shared" si="2"/>
        <v>0</v>
      </c>
      <c r="K15" s="148" t="s">
        <v>1225</v>
      </c>
      <c r="L15" s="148" t="s">
        <v>1226</v>
      </c>
      <c r="M15" s="149" t="s">
        <v>27</v>
      </c>
      <c r="N15" s="150">
        <v>4</v>
      </c>
      <c r="O15" s="151" t="str">
        <f t="shared" si="3"/>
        <v>Sponsored / supplier loan</v>
      </c>
      <c r="P15" s="148" t="s">
        <v>1227</v>
      </c>
      <c r="Q15" s="145">
        <f>$C$88*$C$87</f>
        <v>780000</v>
      </c>
      <c r="R15" s="154">
        <v>0</v>
      </c>
      <c r="S15" s="145">
        <f t="shared" si="4"/>
        <v>0</v>
      </c>
      <c r="T15" s="145">
        <f>E15*IF(F15=1,Inputs!$H$77,1)*(1+Inputs!$H$18*G15)</f>
        <v>41625000</v>
      </c>
      <c r="U15" s="146">
        <f>CHOOSE(N15,0,T15*(1-$C$68)*(1/$C$66+$C$67/12),Q15*(1+Inputs!$H$18*G15),R15*(1+Inputs!$H$18*G15))</f>
        <v>0</v>
      </c>
      <c r="V15" s="152">
        <f t="shared" si="5"/>
        <v>60</v>
      </c>
      <c r="W15" s="145">
        <f t="shared" si="6"/>
        <v>0</v>
      </c>
      <c r="X15" s="145">
        <f t="shared" si="7"/>
        <v>-41625000</v>
      </c>
      <c r="Y15" s="145">
        <f t="shared" si="8"/>
        <v>41625000</v>
      </c>
      <c r="Z15" s="151" t="str">
        <f t="shared" si="9"/>
        <v>No – supplier's asset</v>
      </c>
      <c r="AA15" s="151" t="str">
        <f>IF(AND(N15=2,T15&lt;$C$73),"⚠ below BFI min. – bundle with kitchen package",IF(AND(N15=3,Q15=0),"⚠ no rental quote – enter fee in col Q","OK"))</f>
        <v>OK</v>
      </c>
    </row>
    <row r="16" spans="1:27" ht="40" customHeight="1" x14ac:dyDescent="0.2">
      <c r="A16" s="135" t="s">
        <v>1078</v>
      </c>
      <c r="B16" s="135" t="s">
        <v>1095</v>
      </c>
      <c r="C16" s="142">
        <f>'CAPEX (Buy)'!C14</f>
        <v>1</v>
      </c>
      <c r="D16" s="131">
        <f>'CAPEX (Buy)'!D14</f>
        <v>120000000</v>
      </c>
      <c r="E16" s="145">
        <f t="shared" si="0"/>
        <v>120000000</v>
      </c>
      <c r="F16" s="142">
        <f>'CAPEX (Buy)'!F14</f>
        <v>1</v>
      </c>
      <c r="G16" s="142">
        <f>'CAPEX (Buy)'!G14</f>
        <v>1</v>
      </c>
      <c r="H16" s="146">
        <f t="shared" si="1"/>
        <v>133200000.00000001</v>
      </c>
      <c r="I16" s="132">
        <f>H16/Inputs!$H$10</f>
        <v>6166.666666666667</v>
      </c>
      <c r="J16" s="147">
        <f t="shared" si="2"/>
        <v>3.1221827326662642E-2</v>
      </c>
      <c r="K16" s="148" t="s">
        <v>1228</v>
      </c>
      <c r="L16" s="148" t="s">
        <v>1229</v>
      </c>
      <c r="M16" s="149" t="s">
        <v>127</v>
      </c>
      <c r="N16" s="150">
        <v>1</v>
      </c>
      <c r="O16" s="151" t="str">
        <f t="shared" si="3"/>
        <v>Buy (cash)</v>
      </c>
      <c r="P16" s="148" t="s">
        <v>1230</v>
      </c>
      <c r="Q16" s="145"/>
      <c r="R16" s="145"/>
      <c r="S16" s="145">
        <f t="shared" si="4"/>
        <v>0</v>
      </c>
      <c r="T16" s="145">
        <f>E16*IF(F16=1,Inputs!$H$77,1)*(1+Inputs!$H$18*G16)</f>
        <v>133200000.00000001</v>
      </c>
      <c r="U16" s="146">
        <f>CHOOSE(N16,0,T16*(1-$C$68)*(1/$C$66+$C$67/12),Q16*(1+Inputs!$H$18*G16),R16*(1+Inputs!$H$18*G16))</f>
        <v>0</v>
      </c>
      <c r="V16" s="152">
        <f t="shared" si="5"/>
        <v>0</v>
      </c>
      <c r="W16" s="145">
        <f t="shared" si="6"/>
        <v>133200000.00000001</v>
      </c>
      <c r="X16" s="145">
        <f t="shared" si="7"/>
        <v>0</v>
      </c>
      <c r="Y16" s="145">
        <f t="shared" si="8"/>
        <v>0</v>
      </c>
      <c r="Z16" s="151" t="str">
        <f t="shared" si="9"/>
        <v>Yes</v>
      </c>
      <c r="AA16" s="151" t="str">
        <f>IF(N16&lt;&gt;1,"⚠ not leasable (fixture/service/consumable)",IF(AND(N16=2,T16&lt;$C$73),"⚠ below BFI min. – bundle with kitchen package",IF(AND(N16=3,Q16=0),"⚠ no rental quote – enter fee in col Q","OK")))</f>
        <v>OK</v>
      </c>
    </row>
    <row r="17" spans="1:27" ht="40" customHeight="1" x14ac:dyDescent="0.2">
      <c r="A17" s="135" t="s">
        <v>1078</v>
      </c>
      <c r="B17" s="135" t="s">
        <v>1231</v>
      </c>
      <c r="C17" s="153">
        <v>1</v>
      </c>
      <c r="D17" s="145">
        <f>'CAPEX (Buy)'!E15*(1-$C$94)</f>
        <v>71500000</v>
      </c>
      <c r="E17" s="145">
        <f t="shared" si="0"/>
        <v>71500000</v>
      </c>
      <c r="F17" s="142">
        <f>'CAPEX (Buy)'!F15</f>
        <v>1</v>
      </c>
      <c r="G17" s="142">
        <f>'CAPEX (Buy)'!G15</f>
        <v>1</v>
      </c>
      <c r="H17" s="146">
        <f t="shared" si="1"/>
        <v>79365000</v>
      </c>
      <c r="I17" s="132">
        <f>H17/Inputs!$H$10</f>
        <v>3674.3055555555557</v>
      </c>
      <c r="J17" s="147">
        <f t="shared" si="2"/>
        <v>1.8603005448803157E-2</v>
      </c>
      <c r="K17" s="148" t="s">
        <v>1232</v>
      </c>
      <c r="L17" s="148" t="s">
        <v>1233</v>
      </c>
      <c r="M17" s="149" t="s">
        <v>127</v>
      </c>
      <c r="N17" s="150">
        <v>1</v>
      </c>
      <c r="O17" s="151" t="str">
        <f t="shared" si="3"/>
        <v>Buy (cash)</v>
      </c>
      <c r="P17" s="148" t="s">
        <v>1234</v>
      </c>
      <c r="Q17" s="145"/>
      <c r="R17" s="145"/>
      <c r="S17" s="145">
        <f t="shared" si="4"/>
        <v>0</v>
      </c>
      <c r="T17" s="145">
        <f>E17*IF(F17=1,Inputs!$H$77,1)*(1+Inputs!$H$18*G17)</f>
        <v>79365000</v>
      </c>
      <c r="U17" s="146">
        <f>CHOOSE(N17,0,T17*(1-$C$68)*(1/$C$66+$C$67/12),Q17*(1+Inputs!$H$18*G17),R17*(1+Inputs!$H$18*G17))</f>
        <v>0</v>
      </c>
      <c r="V17" s="152">
        <f t="shared" si="5"/>
        <v>0</v>
      </c>
      <c r="W17" s="145">
        <f t="shared" si="6"/>
        <v>79365000</v>
      </c>
      <c r="X17" s="145">
        <f t="shared" si="7"/>
        <v>0</v>
      </c>
      <c r="Y17" s="145">
        <f t="shared" si="8"/>
        <v>0</v>
      </c>
      <c r="Z17" s="151" t="str">
        <f t="shared" si="9"/>
        <v>Yes</v>
      </c>
      <c r="AA17" s="151" t="str">
        <f>IF(AND(N17=2,T17&lt;$C$73),"⚠ below BFI min. – bundle with kitchen package",IF(AND(N17=3,Q17=0),"⚠ no rental quote – enter fee in col Q","OK"))</f>
        <v>OK</v>
      </c>
    </row>
    <row r="18" spans="1:27" ht="40" customHeight="1" x14ac:dyDescent="0.2">
      <c r="A18" s="135" t="s">
        <v>1078</v>
      </c>
      <c r="B18" s="135" t="s">
        <v>1235</v>
      </c>
      <c r="C18" s="153">
        <v>1</v>
      </c>
      <c r="D18" s="145">
        <f>'CAPEX (Buy)'!E15*$C$94</f>
        <v>38500000</v>
      </c>
      <c r="E18" s="145">
        <f t="shared" si="0"/>
        <v>38500000</v>
      </c>
      <c r="F18" s="142">
        <f>'CAPEX (Buy)'!F15</f>
        <v>1</v>
      </c>
      <c r="G18" s="142">
        <f>'CAPEX (Buy)'!G15</f>
        <v>1</v>
      </c>
      <c r="H18" s="146">
        <f t="shared" si="1"/>
        <v>0</v>
      </c>
      <c r="I18" s="132">
        <f>H18/Inputs!$H$10</f>
        <v>0</v>
      </c>
      <c r="J18" s="147">
        <f t="shared" si="2"/>
        <v>0</v>
      </c>
      <c r="K18" s="148" t="s">
        <v>1236</v>
      </c>
      <c r="L18" s="148" t="s">
        <v>1237</v>
      </c>
      <c r="M18" s="149" t="s">
        <v>127</v>
      </c>
      <c r="N18" s="150">
        <v>4</v>
      </c>
      <c r="O18" s="151" t="str">
        <f t="shared" si="3"/>
        <v>Sponsored / supplier loan</v>
      </c>
      <c r="P18" s="148" t="s">
        <v>1238</v>
      </c>
      <c r="Q18" s="145"/>
      <c r="R18" s="145">
        <f>$C$90</f>
        <v>1500000</v>
      </c>
      <c r="S18" s="145">
        <f t="shared" si="4"/>
        <v>0</v>
      </c>
      <c r="T18" s="145">
        <f>E18*IF(F18=1,Inputs!$H$77,1)*(1+Inputs!$H$18*G18)</f>
        <v>42735000.000000007</v>
      </c>
      <c r="U18" s="146">
        <f>CHOOSE(N18,0,T18*(1-$C$68)*(1/$C$66+$C$67/12),Q18*(1+Inputs!$H$18*G18),R18*(1+Inputs!$H$18*G18))</f>
        <v>1665000.0000000002</v>
      </c>
      <c r="V18" s="152">
        <f t="shared" si="5"/>
        <v>60</v>
      </c>
      <c r="W18" s="145">
        <f t="shared" si="6"/>
        <v>99900000.000000015</v>
      </c>
      <c r="X18" s="145">
        <f t="shared" si="7"/>
        <v>57165000.000000007</v>
      </c>
      <c r="Y18" s="145">
        <f t="shared" si="8"/>
        <v>42735000.000000007</v>
      </c>
      <c r="Z18" s="151" t="str">
        <f t="shared" si="9"/>
        <v>No – supplier's asset</v>
      </c>
      <c r="AA18" s="151" t="str">
        <f>IF(AND(N18=2,T18&lt;$C$73),"⚠ below BFI min. – bundle with kitchen package",IF(AND(N18=3,Q18=0),"⚠ no rental quote – enter fee in col Q","OK"))</f>
        <v>OK</v>
      </c>
    </row>
    <row r="19" spans="1:27" ht="40" customHeight="1" x14ac:dyDescent="0.2">
      <c r="A19" s="135" t="s">
        <v>1078</v>
      </c>
      <c r="B19" s="135" t="s">
        <v>1098</v>
      </c>
      <c r="C19" s="142">
        <f>'CAPEX (Buy)'!C16</f>
        <v>1</v>
      </c>
      <c r="D19" s="131">
        <f>'CAPEX (Buy)'!D16</f>
        <v>220000000</v>
      </c>
      <c r="E19" s="145">
        <f t="shared" si="0"/>
        <v>220000000</v>
      </c>
      <c r="F19" s="142">
        <f>'CAPEX (Buy)'!F16</f>
        <v>1</v>
      </c>
      <c r="G19" s="142">
        <f>'CAPEX (Buy)'!G16</f>
        <v>1</v>
      </c>
      <c r="H19" s="146">
        <f t="shared" si="1"/>
        <v>0</v>
      </c>
      <c r="I19" s="132">
        <f>H19/Inputs!$H$10</f>
        <v>0</v>
      </c>
      <c r="J19" s="147">
        <f t="shared" si="2"/>
        <v>0</v>
      </c>
      <c r="K19" s="148" t="s">
        <v>1239</v>
      </c>
      <c r="L19" s="148" t="s">
        <v>1240</v>
      </c>
      <c r="M19" s="149" t="s">
        <v>27</v>
      </c>
      <c r="N19" s="150">
        <v>4</v>
      </c>
      <c r="O19" s="151" t="str">
        <f t="shared" si="3"/>
        <v>Sponsored / supplier loan</v>
      </c>
      <c r="P19" s="148" t="s">
        <v>1241</v>
      </c>
      <c r="Q19" s="145">
        <f>$C$89</f>
        <v>3650000</v>
      </c>
      <c r="R19" s="145">
        <f>$C$78*$C$79</f>
        <v>2376000</v>
      </c>
      <c r="S19" s="145">
        <f t="shared" si="4"/>
        <v>0</v>
      </c>
      <c r="T19" s="145">
        <f>E19*IF(F19=1,Inputs!$H$77,1)*(1+Inputs!$H$18*G19)</f>
        <v>244200000.00000003</v>
      </c>
      <c r="U19" s="146">
        <f>CHOOSE(N19,0,T19*(1-$C$68)*(1/$C$66+$C$67/12),Q19*(1+Inputs!$H$18*G19),R19*(1+Inputs!$H$18*G19))</f>
        <v>2637360</v>
      </c>
      <c r="V19" s="152">
        <f t="shared" si="5"/>
        <v>60</v>
      </c>
      <c r="W19" s="145">
        <f t="shared" si="6"/>
        <v>158241600</v>
      </c>
      <c r="X19" s="145">
        <f t="shared" si="7"/>
        <v>-85958400.00000003</v>
      </c>
      <c r="Y19" s="145">
        <f t="shared" si="8"/>
        <v>244200000.00000003</v>
      </c>
      <c r="Z19" s="151" t="str">
        <f t="shared" si="9"/>
        <v>No – supplier's asset</v>
      </c>
      <c r="AA19" s="151" t="str">
        <f>IF(AND(N19=2,T19&lt;$C$73),"⚠ below BFI min. – bundle with kitchen package",IF(AND(N19=3,Q19=0),"⚠ no rental quote – enter fee in col Q",IF(AND(N19=4,$C$78&lt;$C$80),"⚠ coffee volume below roaster minimum","OK")))</f>
        <v>OK</v>
      </c>
    </row>
    <row r="20" spans="1:27" ht="40" customHeight="1" x14ac:dyDescent="0.2">
      <c r="A20" s="135" t="s">
        <v>1078</v>
      </c>
      <c r="B20" s="135" t="s">
        <v>1101</v>
      </c>
      <c r="C20" s="142">
        <f>'CAPEX (Buy)'!C17</f>
        <v>2</v>
      </c>
      <c r="D20" s="131">
        <f>'CAPEX (Buy)'!D17</f>
        <v>40000000</v>
      </c>
      <c r="E20" s="145">
        <f t="shared" si="0"/>
        <v>80000000</v>
      </c>
      <c r="F20" s="142">
        <f>'CAPEX (Buy)'!F17</f>
        <v>1</v>
      </c>
      <c r="G20" s="142">
        <f>'CAPEX (Buy)'!G17</f>
        <v>1</v>
      </c>
      <c r="H20" s="146">
        <f t="shared" si="1"/>
        <v>0</v>
      </c>
      <c r="I20" s="132">
        <f>H20/Inputs!$H$10</f>
        <v>0</v>
      </c>
      <c r="J20" s="147">
        <f t="shared" si="2"/>
        <v>0</v>
      </c>
      <c r="K20" s="148" t="s">
        <v>1242</v>
      </c>
      <c r="L20" s="148" t="s">
        <v>1243</v>
      </c>
      <c r="M20" s="149" t="s">
        <v>127</v>
      </c>
      <c r="N20" s="150">
        <v>4</v>
      </c>
      <c r="O20" s="151" t="str">
        <f t="shared" si="3"/>
        <v>Sponsored / supplier loan</v>
      </c>
      <c r="P20" s="148" t="s">
        <v>1244</v>
      </c>
      <c r="Q20" s="145"/>
      <c r="R20" s="154">
        <v>0</v>
      </c>
      <c r="S20" s="145">
        <f t="shared" si="4"/>
        <v>0</v>
      </c>
      <c r="T20" s="145">
        <f>E20*IF(F20=1,Inputs!$H$77,1)*(1+Inputs!$H$18*G20)</f>
        <v>88800000.000000015</v>
      </c>
      <c r="U20" s="146">
        <f>CHOOSE(N20,0,T20*(1-$C$68)*(1/$C$66+$C$67/12),Q20*(1+Inputs!$H$18*G20),R20*(1+Inputs!$H$18*G20))</f>
        <v>0</v>
      </c>
      <c r="V20" s="152">
        <f t="shared" si="5"/>
        <v>60</v>
      </c>
      <c r="W20" s="145">
        <f t="shared" si="6"/>
        <v>0</v>
      </c>
      <c r="X20" s="145">
        <f t="shared" si="7"/>
        <v>-88800000.000000015</v>
      </c>
      <c r="Y20" s="145">
        <f t="shared" si="8"/>
        <v>88800000.000000015</v>
      </c>
      <c r="Z20" s="151" t="str">
        <f t="shared" si="9"/>
        <v>No – supplier's asset</v>
      </c>
      <c r="AA20" s="151" t="str">
        <f>IF(AND(N20=2,T20&lt;$C$73),"⚠ below BFI min. – bundle with kitchen package",IF(AND(N20=3,Q20=0),"⚠ no rental quote – enter fee in col Q","OK"))</f>
        <v>OK</v>
      </c>
    </row>
    <row r="21" spans="1:27" ht="40" customHeight="1" x14ac:dyDescent="0.2">
      <c r="A21" s="135" t="s">
        <v>1078</v>
      </c>
      <c r="B21" s="135" t="s">
        <v>1104</v>
      </c>
      <c r="C21" s="142">
        <f>'CAPEX (Buy)'!C18</f>
        <v>1</v>
      </c>
      <c r="D21" s="131">
        <f>'CAPEX (Buy)'!D18</f>
        <v>35000000</v>
      </c>
      <c r="E21" s="145">
        <f t="shared" si="0"/>
        <v>35000000</v>
      </c>
      <c r="F21" s="142">
        <f>'CAPEX (Buy)'!F18</f>
        <v>1</v>
      </c>
      <c r="G21" s="142">
        <f>'CAPEX (Buy)'!G18</f>
        <v>1</v>
      </c>
      <c r="H21" s="146">
        <f t="shared" si="1"/>
        <v>38850000</v>
      </c>
      <c r="I21" s="132">
        <f>H21/Inputs!$H$10</f>
        <v>1798.6111111111111</v>
      </c>
      <c r="J21" s="147">
        <f t="shared" si="2"/>
        <v>9.106366303609937E-3</v>
      </c>
      <c r="K21" s="148" t="s">
        <v>1245</v>
      </c>
      <c r="L21" s="148" t="s">
        <v>1246</v>
      </c>
      <c r="M21" s="149" t="s">
        <v>127</v>
      </c>
      <c r="N21" s="150">
        <v>1</v>
      </c>
      <c r="O21" s="151" t="str">
        <f t="shared" si="3"/>
        <v>Buy (cash)</v>
      </c>
      <c r="P21" s="148" t="s">
        <v>1247</v>
      </c>
      <c r="Q21" s="145"/>
      <c r="R21" s="145"/>
      <c r="S21" s="145">
        <f t="shared" si="4"/>
        <v>0</v>
      </c>
      <c r="T21" s="145">
        <f>E21*IF(F21=1,Inputs!$H$77,1)*(1+Inputs!$H$18*G21)</f>
        <v>38850000</v>
      </c>
      <c r="U21" s="146">
        <f>CHOOSE(N21,0,T21*(1-$C$68)*(1/$C$66+$C$67/12),Q21*(1+Inputs!$H$18*G21),R21*(1+Inputs!$H$18*G21))</f>
        <v>0</v>
      </c>
      <c r="V21" s="152">
        <f t="shared" si="5"/>
        <v>0</v>
      </c>
      <c r="W21" s="145">
        <f t="shared" si="6"/>
        <v>38850000</v>
      </c>
      <c r="X21" s="145">
        <f t="shared" si="7"/>
        <v>0</v>
      </c>
      <c r="Y21" s="145">
        <f t="shared" si="8"/>
        <v>0</v>
      </c>
      <c r="Z21" s="151" t="str">
        <f t="shared" si="9"/>
        <v>Yes</v>
      </c>
      <c r="AA21" s="151" t="str">
        <f>IF(AND(N21=2,T21&lt;$C$73),"⚠ below BFI min. – bundle with kitchen package",IF(AND(N21=3,Q21=0),"⚠ no rental quote – enter fee in col Q","OK"))</f>
        <v>OK</v>
      </c>
    </row>
    <row r="22" spans="1:27" ht="40" customHeight="1" x14ac:dyDescent="0.2">
      <c r="A22" s="135" t="s">
        <v>1078</v>
      </c>
      <c r="B22" s="135" t="s">
        <v>1105</v>
      </c>
      <c r="C22" s="142">
        <f>'CAPEX (Buy)'!C19</f>
        <v>1</v>
      </c>
      <c r="D22" s="131">
        <f>'CAPEX (Buy)'!D19</f>
        <v>70000000</v>
      </c>
      <c r="E22" s="145">
        <f t="shared" si="0"/>
        <v>70000000</v>
      </c>
      <c r="F22" s="142">
        <f>'CAPEX (Buy)'!F19</f>
        <v>1</v>
      </c>
      <c r="G22" s="142">
        <f>'CAPEX (Buy)'!G19</f>
        <v>1</v>
      </c>
      <c r="H22" s="146">
        <f t="shared" si="1"/>
        <v>77700000</v>
      </c>
      <c r="I22" s="132">
        <f>H22/Inputs!$H$10</f>
        <v>3597.2222222222222</v>
      </c>
      <c r="J22" s="147">
        <f t="shared" si="2"/>
        <v>1.8212732607219874E-2</v>
      </c>
      <c r="K22" s="148" t="s">
        <v>1248</v>
      </c>
      <c r="L22" s="148" t="s">
        <v>1249</v>
      </c>
      <c r="M22" s="149" t="s">
        <v>127</v>
      </c>
      <c r="N22" s="150">
        <v>1</v>
      </c>
      <c r="O22" s="151" t="str">
        <f t="shared" si="3"/>
        <v>Buy (cash)</v>
      </c>
      <c r="P22" s="148" t="s">
        <v>1250</v>
      </c>
      <c r="Q22" s="145"/>
      <c r="R22" s="145"/>
      <c r="S22" s="145">
        <f t="shared" si="4"/>
        <v>0</v>
      </c>
      <c r="T22" s="145">
        <f>E22*IF(F22=1,Inputs!$H$77,1)*(1+Inputs!$H$18*G22)</f>
        <v>77700000</v>
      </c>
      <c r="U22" s="146">
        <f>CHOOSE(N22,0,T22*(1-$C$68)*(1/$C$66+$C$67/12),Q22*(1+Inputs!$H$18*G22),R22*(1+Inputs!$H$18*G22))</f>
        <v>0</v>
      </c>
      <c r="V22" s="152">
        <f t="shared" si="5"/>
        <v>0</v>
      </c>
      <c r="W22" s="145">
        <f t="shared" si="6"/>
        <v>77700000</v>
      </c>
      <c r="X22" s="145">
        <f t="shared" si="7"/>
        <v>0</v>
      </c>
      <c r="Y22" s="145">
        <f t="shared" si="8"/>
        <v>0</v>
      </c>
      <c r="Z22" s="151" t="str">
        <f t="shared" si="9"/>
        <v>Yes</v>
      </c>
      <c r="AA22" s="151" t="str">
        <f>IF(AND(N22=2,T22&lt;$C$73),"⚠ below BFI min. – bundle with kitchen package",IF(AND(N22=3,Q22=0),"⚠ no rental quote – enter fee in col Q","OK"))</f>
        <v>OK</v>
      </c>
    </row>
    <row r="23" spans="1:27" ht="40" customHeight="1" x14ac:dyDescent="0.2">
      <c r="A23" s="135" t="s">
        <v>1078</v>
      </c>
      <c r="B23" s="135" t="s">
        <v>1107</v>
      </c>
      <c r="C23" s="142">
        <f>'CAPEX (Buy)'!C20</f>
        <v>1</v>
      </c>
      <c r="D23" s="131">
        <f>'CAPEX (Buy)'!D20</f>
        <v>90000000</v>
      </c>
      <c r="E23" s="145">
        <f t="shared" si="0"/>
        <v>90000000</v>
      </c>
      <c r="F23" s="142">
        <f>'CAPEX (Buy)'!F20</f>
        <v>1</v>
      </c>
      <c r="G23" s="142">
        <f>'CAPEX (Buy)'!G20</f>
        <v>1</v>
      </c>
      <c r="H23" s="146">
        <f t="shared" si="1"/>
        <v>99900000.000000015</v>
      </c>
      <c r="I23" s="132">
        <f>H23/Inputs!$H$10</f>
        <v>4625.0000000000009</v>
      </c>
      <c r="J23" s="147">
        <f t="shared" si="2"/>
        <v>2.3416370494996983E-2</v>
      </c>
      <c r="K23" s="148" t="s">
        <v>1251</v>
      </c>
      <c r="L23" s="148" t="s">
        <v>1252</v>
      </c>
      <c r="M23" s="149" t="s">
        <v>127</v>
      </c>
      <c r="N23" s="150">
        <v>1</v>
      </c>
      <c r="O23" s="151" t="str">
        <f t="shared" si="3"/>
        <v>Buy (cash)</v>
      </c>
      <c r="P23" s="148" t="s">
        <v>1250</v>
      </c>
      <c r="Q23" s="145"/>
      <c r="R23" s="145"/>
      <c r="S23" s="145">
        <f t="shared" si="4"/>
        <v>0</v>
      </c>
      <c r="T23" s="145">
        <f>E23*IF(F23=1,Inputs!$H$77,1)*(1+Inputs!$H$18*G23)</f>
        <v>99900000.000000015</v>
      </c>
      <c r="U23" s="146">
        <f>CHOOSE(N23,0,T23*(1-$C$68)*(1/$C$66+$C$67/12),Q23*(1+Inputs!$H$18*G23),R23*(1+Inputs!$H$18*G23))</f>
        <v>0</v>
      </c>
      <c r="V23" s="152">
        <f t="shared" si="5"/>
        <v>0</v>
      </c>
      <c r="W23" s="145">
        <f t="shared" si="6"/>
        <v>99900000.000000015</v>
      </c>
      <c r="X23" s="145">
        <f t="shared" si="7"/>
        <v>0</v>
      </c>
      <c r="Y23" s="145">
        <f t="shared" si="8"/>
        <v>0</v>
      </c>
      <c r="Z23" s="151" t="str">
        <f t="shared" si="9"/>
        <v>Yes</v>
      </c>
      <c r="AA23" s="151" t="str">
        <f>IF(N23&lt;&gt;1,"⚠ not leasable (fixture/service/consumable)",IF(AND(N23=2,T23&lt;$C$73),"⚠ below BFI min. – bundle with kitchen package",IF(AND(N23=3,Q23=0),"⚠ no rental quote – enter fee in col Q","OK")))</f>
        <v>OK</v>
      </c>
    </row>
    <row r="24" spans="1:27" ht="40" customHeight="1" x14ac:dyDescent="0.2">
      <c r="A24" s="135" t="s">
        <v>1078</v>
      </c>
      <c r="B24" s="135" t="s">
        <v>1109</v>
      </c>
      <c r="C24" s="142">
        <f>'CAPEX (Buy)'!C21</f>
        <v>1</v>
      </c>
      <c r="D24" s="131">
        <f>'CAPEX (Buy)'!D21</f>
        <v>120000000</v>
      </c>
      <c r="E24" s="145">
        <f t="shared" si="0"/>
        <v>120000000</v>
      </c>
      <c r="F24" s="142">
        <f>'CAPEX (Buy)'!F21</f>
        <v>1</v>
      </c>
      <c r="G24" s="142">
        <f>'CAPEX (Buy)'!G21</f>
        <v>1</v>
      </c>
      <c r="H24" s="146">
        <f t="shared" si="1"/>
        <v>133200000.00000001</v>
      </c>
      <c r="I24" s="132">
        <f>H24/Inputs!$H$10</f>
        <v>6166.666666666667</v>
      </c>
      <c r="J24" s="147">
        <f t="shared" si="2"/>
        <v>3.1221827326662642E-2</v>
      </c>
      <c r="K24" s="148" t="s">
        <v>1253</v>
      </c>
      <c r="L24" s="148" t="s">
        <v>1254</v>
      </c>
      <c r="M24" s="149" t="s">
        <v>127</v>
      </c>
      <c r="N24" s="150">
        <v>1</v>
      </c>
      <c r="O24" s="151" t="str">
        <f t="shared" si="3"/>
        <v>Buy (cash)</v>
      </c>
      <c r="P24" s="148" t="s">
        <v>1255</v>
      </c>
      <c r="Q24" s="145"/>
      <c r="R24" s="145"/>
      <c r="S24" s="145">
        <f t="shared" si="4"/>
        <v>0</v>
      </c>
      <c r="T24" s="145">
        <f>E24*IF(F24=1,Inputs!$H$77,1)*(1+Inputs!$H$18*G24)</f>
        <v>133200000.00000001</v>
      </c>
      <c r="U24" s="146">
        <f>CHOOSE(N24,0,T24*(1-$C$68)*(1/$C$66+$C$67/12),Q24*(1+Inputs!$H$18*G24),R24*(1+Inputs!$H$18*G24))</f>
        <v>0</v>
      </c>
      <c r="V24" s="152">
        <f t="shared" si="5"/>
        <v>0</v>
      </c>
      <c r="W24" s="145">
        <f t="shared" si="6"/>
        <v>133200000.00000001</v>
      </c>
      <c r="X24" s="145">
        <f t="shared" si="7"/>
        <v>0</v>
      </c>
      <c r="Y24" s="145">
        <f t="shared" si="8"/>
        <v>0</v>
      </c>
      <c r="Z24" s="151" t="str">
        <f t="shared" si="9"/>
        <v>Yes</v>
      </c>
      <c r="AA24" s="151" t="str">
        <f>IF(N24&lt;&gt;1,"⚠ not leasable (fixture/service/consumable)",IF(AND(N24=2,T24&lt;$C$73),"⚠ below BFI min. – bundle with kitchen package",IF(AND(N24=3,Q24=0),"⚠ no rental quote – enter fee in col Q","OK")))</f>
        <v>OK</v>
      </c>
    </row>
    <row r="25" spans="1:27" ht="40" customHeight="1" x14ac:dyDescent="0.2">
      <c r="A25" s="135" t="s">
        <v>1078</v>
      </c>
      <c r="B25" s="135" t="s">
        <v>1111</v>
      </c>
      <c r="C25" s="142">
        <f>'CAPEX (Buy)'!C22</f>
        <v>1</v>
      </c>
      <c r="D25" s="131">
        <f>'CAPEX (Buy)'!D22</f>
        <v>85000000</v>
      </c>
      <c r="E25" s="145">
        <f t="shared" si="0"/>
        <v>85000000</v>
      </c>
      <c r="F25" s="142">
        <f>'CAPEX (Buy)'!F22</f>
        <v>1</v>
      </c>
      <c r="G25" s="142">
        <f>'CAPEX (Buy)'!G22</f>
        <v>1</v>
      </c>
      <c r="H25" s="146">
        <f t="shared" si="1"/>
        <v>94350000.000000015</v>
      </c>
      <c r="I25" s="132">
        <f>H25/Inputs!$H$10</f>
        <v>4368.0555555555566</v>
      </c>
      <c r="J25" s="147">
        <f t="shared" si="2"/>
        <v>2.2115461023052705E-2</v>
      </c>
      <c r="K25" s="148" t="s">
        <v>1256</v>
      </c>
      <c r="L25" s="148" t="s">
        <v>1257</v>
      </c>
      <c r="M25" s="149" t="s">
        <v>27</v>
      </c>
      <c r="N25" s="150">
        <v>1</v>
      </c>
      <c r="O25" s="151" t="str">
        <f t="shared" si="3"/>
        <v>Buy (cash)</v>
      </c>
      <c r="P25" s="148" t="s">
        <v>1258</v>
      </c>
      <c r="Q25" s="145"/>
      <c r="R25" s="145"/>
      <c r="S25" s="145">
        <f t="shared" si="4"/>
        <v>0</v>
      </c>
      <c r="T25" s="145">
        <f>E25*IF(F25=1,Inputs!$H$77,1)*(1+Inputs!$H$18*G25)</f>
        <v>94350000.000000015</v>
      </c>
      <c r="U25" s="146">
        <f>CHOOSE(N25,0,T25*(1-$C$68)*(1/$C$66+$C$67/12),Q25*(1+Inputs!$H$18*G25),R25*(1+Inputs!$H$18*G25))</f>
        <v>0</v>
      </c>
      <c r="V25" s="152">
        <f t="shared" si="5"/>
        <v>0</v>
      </c>
      <c r="W25" s="145">
        <f t="shared" si="6"/>
        <v>94350000.000000015</v>
      </c>
      <c r="X25" s="145">
        <f t="shared" si="7"/>
        <v>0</v>
      </c>
      <c r="Y25" s="145">
        <f t="shared" si="8"/>
        <v>0</v>
      </c>
      <c r="Z25" s="151" t="str">
        <f t="shared" si="9"/>
        <v>Yes</v>
      </c>
      <c r="AA25" s="151" t="str">
        <f>IF(AND(N25=2,T25&lt;$C$73),"⚠ below BFI min. – bundle with kitchen package",IF(AND(N25=3,Q25=0),"⚠ no rental quote – enter fee in col Q","OK"))</f>
        <v>OK</v>
      </c>
    </row>
    <row r="26" spans="1:27" x14ac:dyDescent="0.2">
      <c r="B26" s="129" t="s">
        <v>1259</v>
      </c>
      <c r="H26" s="155">
        <f>SUM(H8:H25)</f>
        <v>1793883843.75</v>
      </c>
      <c r="I26" s="156">
        <f>H26/Inputs!$H$10</f>
        <v>83050.177951388891</v>
      </c>
      <c r="J26" s="157">
        <f t="shared" si="2"/>
        <v>0.42048297007246516</v>
      </c>
      <c r="T26" s="155">
        <f>SUM(T8:T25)</f>
        <v>2595180000</v>
      </c>
      <c r="U26" s="155">
        <f>SUM(U8:U25)</f>
        <v>18483149.583333332</v>
      </c>
      <c r="W26" s="155">
        <f>SUM(W8:W25)</f>
        <v>2562533868.75</v>
      </c>
      <c r="X26" s="155">
        <f>SUM(X8:X25)</f>
        <v>-32646131.250000134</v>
      </c>
      <c r="Y26" s="155">
        <f>SUM(Y8:Y25)</f>
        <v>801296156.25</v>
      </c>
    </row>
    <row r="27" spans="1:27" x14ac:dyDescent="0.2">
      <c r="A27" s="135" t="s">
        <v>1115</v>
      </c>
      <c r="B27" s="158" t="str">
        <f>'CAPEX (Buy)'!B24</f>
        <v>Company setup: PT PMA, notary, OSS, consultant</v>
      </c>
      <c r="C27" s="142">
        <f>'CAPEX (Buy)'!C24</f>
        <v>1</v>
      </c>
      <c r="D27" s="131">
        <f>'CAPEX (Buy)'!D24</f>
        <v>90000000</v>
      </c>
      <c r="E27" s="145">
        <f t="shared" ref="E27:E33" si="10">C27*D27</f>
        <v>90000000</v>
      </c>
      <c r="F27" s="142">
        <f>'CAPEX (Buy)'!F24</f>
        <v>0</v>
      </c>
      <c r="G27" s="142">
        <f>'CAPEX (Buy)'!G24</f>
        <v>1</v>
      </c>
      <c r="H27" s="146">
        <f>E27*IF(F27=1,Inputs!$H$77,1)*(1+Inputs!$H$18*G27)</f>
        <v>99900000.000000015</v>
      </c>
      <c r="I27" s="132">
        <f>H27/Inputs!$H$10</f>
        <v>4625.0000000000009</v>
      </c>
      <c r="J27" s="147">
        <f t="shared" si="2"/>
        <v>2.3416370494996983E-2</v>
      </c>
      <c r="K27" s="159" t="str">
        <f>'CAPEX (Buy)'!K24</f>
        <v>S65 (PT PMA setup IDR 45.7–113m incl. KITAS)</v>
      </c>
      <c r="L27" s="148" t="s">
        <v>1260</v>
      </c>
      <c r="M27" s="160" t="str">
        <f>'CAPEX (Buy)'!M24</f>
        <v>Derived from sources</v>
      </c>
    </row>
    <row r="28" spans="1:27" ht="42" x14ac:dyDescent="0.2">
      <c r="A28" s="135" t="s">
        <v>1115</v>
      </c>
      <c r="B28" s="158" t="str">
        <f>'CAPEX (Buy)'!B25</f>
        <v>Licences &amp; permits (SLHS, halal, PBG/SLF, fire, reklame)</v>
      </c>
      <c r="C28" s="142">
        <f>'CAPEX (Buy)'!C25</f>
        <v>1</v>
      </c>
      <c r="D28" s="131">
        <f>'CAPEX (Buy)'!D25</f>
        <v>60000000</v>
      </c>
      <c r="E28" s="145">
        <f t="shared" si="10"/>
        <v>60000000</v>
      </c>
      <c r="F28" s="142">
        <f>'CAPEX (Buy)'!F25</f>
        <v>0</v>
      </c>
      <c r="G28" s="142">
        <f>'CAPEX (Buy)'!G25</f>
        <v>1</v>
      </c>
      <c r="H28" s="146">
        <f>E28*IF(F28=1,Inputs!$H$77,1)*(1+Inputs!$H$18*G28)</f>
        <v>66600000.000000007</v>
      </c>
      <c r="I28" s="132">
        <f>H28/Inputs!$H$10</f>
        <v>3083.3333333333335</v>
      </c>
      <c r="J28" s="147">
        <f t="shared" si="2"/>
        <v>1.5610913663331321E-2</v>
      </c>
      <c r="K28" s="159" t="str">
        <f>'CAPEX (Buy)'!K25</f>
        <v>S66 (halal: 12.5m registration + 3.68m LPH inspection); S03 (SLHS, PBG/SLF, fire, environment)</v>
      </c>
      <c r="L28" s="148" t="s">
        <v>1260</v>
      </c>
      <c r="M28" s="160" t="str">
        <f>'CAPEX (Buy)'!M25</f>
        <v>Partly sourced</v>
      </c>
    </row>
    <row r="29" spans="1:27" x14ac:dyDescent="0.2">
      <c r="A29" s="135" t="s">
        <v>1115</v>
      </c>
      <c r="B29" s="158" t="str">
        <f>'CAPEX (Buy)'!B26</f>
        <v>Pre-opening marketing &amp; launch</v>
      </c>
      <c r="C29" s="142">
        <f>'CAPEX (Buy)'!C26</f>
        <v>1</v>
      </c>
      <c r="D29" s="131">
        <f>'CAPEX (Buy)'!D26</f>
        <v>180000000</v>
      </c>
      <c r="E29" s="145">
        <f t="shared" si="10"/>
        <v>180000000</v>
      </c>
      <c r="F29" s="142">
        <f>'CAPEX (Buy)'!F26</f>
        <v>0</v>
      </c>
      <c r="G29" s="142">
        <f>'CAPEX (Buy)'!G26</f>
        <v>1</v>
      </c>
      <c r="H29" s="146">
        <f>E29*IF(F29=1,Inputs!$H$77,1)*(1+Inputs!$H$18*G29)</f>
        <v>199800000.00000003</v>
      </c>
      <c r="I29" s="132">
        <f>H29/Inputs!$H$10</f>
        <v>9250.0000000000018</v>
      </c>
      <c r="J29" s="147">
        <f t="shared" si="2"/>
        <v>4.6832740989993966E-2</v>
      </c>
      <c r="K29" s="159" t="str">
        <f>'CAPEX (Buy)'!K26</f>
        <v>Brief; S52 (marketing 3–6%)</v>
      </c>
      <c r="L29" s="148" t="s">
        <v>1260</v>
      </c>
      <c r="M29" s="160" t="str">
        <f>'CAPEX (Buy)'!M26</f>
        <v>Assumption – validate</v>
      </c>
    </row>
    <row r="30" spans="1:27" x14ac:dyDescent="0.2">
      <c r="A30" s="135" t="s">
        <v>1115</v>
      </c>
      <c r="B30" s="158" t="str">
        <f>'CAPEX (Buy)'!B27</f>
        <v>Recruitment &amp; training (incl. trainer travel from CH)</v>
      </c>
      <c r="C30" s="142">
        <f>'CAPEX (Buy)'!C27</f>
        <v>1</v>
      </c>
      <c r="D30" s="131">
        <f>'CAPEX (Buy)'!D27</f>
        <v>120000000</v>
      </c>
      <c r="E30" s="145">
        <f t="shared" si="10"/>
        <v>120000000</v>
      </c>
      <c r="F30" s="142">
        <f>'CAPEX (Buy)'!F27</f>
        <v>0</v>
      </c>
      <c r="G30" s="142">
        <f>'CAPEX (Buy)'!G27</f>
        <v>1</v>
      </c>
      <c r="H30" s="146">
        <f>E30*IF(F30=1,Inputs!$H$77,1)*(1+Inputs!$H$18*G30)</f>
        <v>133200000.00000001</v>
      </c>
      <c r="I30" s="132">
        <f>H30/Inputs!$H$10</f>
        <v>6166.666666666667</v>
      </c>
      <c r="J30" s="147">
        <f t="shared" si="2"/>
        <v>3.1221827326662642E-2</v>
      </c>
      <c r="K30" s="159" t="str">
        <f>'CAPEX (Buy)'!K27</f>
        <v>Brief</v>
      </c>
      <c r="L30" s="148" t="s">
        <v>1260</v>
      </c>
      <c r="M30" s="160" t="str">
        <f>'CAPEX (Buy)'!M27</f>
        <v>Assumption – validate</v>
      </c>
    </row>
    <row r="31" spans="1:27" x14ac:dyDescent="0.2">
      <c r="A31" s="135" t="s">
        <v>1115</v>
      </c>
      <c r="B31" s="158" t="str">
        <f>'CAPEX (Buy)'!B28</f>
        <v>Opening inventory (food, coffee, packaging)</v>
      </c>
      <c r="C31" s="142">
        <f>'CAPEX (Buy)'!C28</f>
        <v>1</v>
      </c>
      <c r="D31" s="131">
        <f>'CAPEX (Buy)'!D28</f>
        <v>120000000</v>
      </c>
      <c r="E31" s="145">
        <f t="shared" si="10"/>
        <v>120000000</v>
      </c>
      <c r="F31" s="142">
        <f>'CAPEX (Buy)'!F28</f>
        <v>0</v>
      </c>
      <c r="G31" s="142">
        <f>'CAPEX (Buy)'!G28</f>
        <v>1</v>
      </c>
      <c r="H31" s="146">
        <f>E31*IF(F31=1,Inputs!$H$77,1)*(1+Inputs!$H$18*G31)</f>
        <v>133200000.00000001</v>
      </c>
      <c r="I31" s="132">
        <f>H31/Inputs!$H$10</f>
        <v>6166.666666666667</v>
      </c>
      <c r="J31" s="147">
        <f t="shared" si="2"/>
        <v>3.1221827326662642E-2</v>
      </c>
      <c r="K31" s="159" t="str">
        <f>'CAPEX (Buy)'!K28</f>
        <v>Brief; Menu sheet food cost</v>
      </c>
      <c r="L31" s="148" t="s">
        <v>1260</v>
      </c>
      <c r="M31" s="160" t="str">
        <f>'CAPEX (Buy)'!M28</f>
        <v>Derived from sources</v>
      </c>
    </row>
    <row r="32" spans="1:27" x14ac:dyDescent="0.2">
      <c r="A32" s="135" t="s">
        <v>1115</v>
      </c>
      <c r="B32" s="158" t="str">
        <f>'CAPEX (Buy)'!B29</f>
        <v>Pre-opening utilities, deposits &amp; misc.</v>
      </c>
      <c r="C32" s="142">
        <f>'CAPEX (Buy)'!C29</f>
        <v>1</v>
      </c>
      <c r="D32" s="131">
        <f>'CAPEX (Buy)'!D29</f>
        <v>40000000</v>
      </c>
      <c r="E32" s="145">
        <f t="shared" si="10"/>
        <v>40000000</v>
      </c>
      <c r="F32" s="142">
        <f>'CAPEX (Buy)'!F29</f>
        <v>0</v>
      </c>
      <c r="G32" s="142">
        <f>'CAPEX (Buy)'!G29</f>
        <v>1</v>
      </c>
      <c r="H32" s="146">
        <f>E32*IF(F32=1,Inputs!$H$77,1)*(1+Inputs!$H$18*G32)</f>
        <v>44400000.000000007</v>
      </c>
      <c r="I32" s="132">
        <f>H32/Inputs!$H$10</f>
        <v>2055.5555555555561</v>
      </c>
      <c r="J32" s="147">
        <f t="shared" si="2"/>
        <v>1.0407275775554215E-2</v>
      </c>
      <c r="K32" s="159" t="str">
        <f>'CAPEX (Buy)'!K29</f>
        <v>No source</v>
      </c>
      <c r="L32" s="148" t="s">
        <v>1260</v>
      </c>
      <c r="M32" s="160" t="str">
        <f>'CAPEX (Buy)'!M29</f>
        <v>Assumption – validate</v>
      </c>
    </row>
    <row r="33" spans="1:13" x14ac:dyDescent="0.2">
      <c r="A33" s="135" t="s">
        <v>1115</v>
      </c>
      <c r="B33" s="158" t="str">
        <f>'CAPEX (Buy)'!B30</f>
        <v>Pre-opening payroll (months × full staff cost)</v>
      </c>
      <c r="C33" s="142">
        <f>'CAPEX (Buy)'!C30</f>
        <v>1</v>
      </c>
      <c r="D33" s="131">
        <f>'CAPEX (Buy)'!D30</f>
        <v>166907330</v>
      </c>
      <c r="E33" s="145">
        <f t="shared" si="10"/>
        <v>166907330</v>
      </c>
      <c r="F33" s="142">
        <f>'CAPEX (Buy)'!F30</f>
        <v>0</v>
      </c>
      <c r="G33" s="142">
        <f>'CAPEX (Buy)'!G30</f>
        <v>0</v>
      </c>
      <c r="H33" s="146">
        <f>E33</f>
        <v>166907330</v>
      </c>
      <c r="I33" s="132">
        <f>H33/Inputs!$H$10</f>
        <v>7727.1912037037036</v>
      </c>
      <c r="J33" s="147">
        <f t="shared" si="2"/>
        <v>3.9122761537644886E-2</v>
      </c>
      <c r="K33" s="159" t="str">
        <f>'CAPEX (Buy)'!K30</f>
        <v>Staffing sheet; Inputs preopen_pay</v>
      </c>
      <c r="L33" s="148" t="s">
        <v>1260</v>
      </c>
      <c r="M33" s="160" t="str">
        <f>'CAPEX (Buy)'!M30</f>
        <v>Derived from sources</v>
      </c>
    </row>
    <row r="34" spans="1:13" x14ac:dyDescent="0.2">
      <c r="B34" s="129" t="s">
        <v>1135</v>
      </c>
      <c r="H34" s="155">
        <f>SUM(H27:H33)</f>
        <v>844007330.00000012</v>
      </c>
      <c r="I34" s="156">
        <f>H34/Inputs!$H$10</f>
        <v>39074.41342592593</v>
      </c>
      <c r="J34" s="157">
        <f t="shared" si="2"/>
        <v>0.19783371711484665</v>
      </c>
    </row>
    <row r="35" spans="1:13" ht="28" x14ac:dyDescent="0.2">
      <c r="A35" s="135" t="s">
        <v>1136</v>
      </c>
      <c r="B35" s="135" t="s">
        <v>1261</v>
      </c>
      <c r="C35" s="161">
        <f>Inputs!$H$78</f>
        <v>0.1</v>
      </c>
      <c r="H35" s="146">
        <f>C35*(H26+H34)</f>
        <v>263789117.375</v>
      </c>
      <c r="I35" s="132">
        <f>H35/Inputs!$H$10</f>
        <v>12212.459137731481</v>
      </c>
      <c r="J35" s="147">
        <f t="shared" si="2"/>
        <v>6.1831668718731178E-2</v>
      </c>
      <c r="K35" s="148" t="s">
        <v>1138</v>
      </c>
      <c r="L35" s="148" t="s">
        <v>1262</v>
      </c>
      <c r="M35" s="162" t="s">
        <v>257</v>
      </c>
    </row>
    <row r="36" spans="1:13" x14ac:dyDescent="0.2">
      <c r="A36" s="135" t="s">
        <v>1140</v>
      </c>
      <c r="B36" s="135" t="s">
        <v>1141</v>
      </c>
      <c r="C36" s="142">
        <f>'CAPEX (Buy)'!C33</f>
        <v>2</v>
      </c>
      <c r="D36" s="131">
        <f>'CAPEX (Buy)'!D33</f>
        <v>37774218.75</v>
      </c>
      <c r="E36" s="145">
        <f>C36*D36</f>
        <v>75548437.5</v>
      </c>
      <c r="H36" s="146">
        <f>E36</f>
        <v>75548437.5</v>
      </c>
      <c r="I36" s="132">
        <f>H36/Inputs!$H$10</f>
        <v>3497.6128472222222</v>
      </c>
      <c r="J36" s="147">
        <f t="shared" si="2"/>
        <v>1.7708410438619853E-2</v>
      </c>
      <c r="K36" s="159" t="str">
        <f>'CAPEX (Buy)'!K33</f>
        <v>Inputs fitout_m; Rent_Data/Location</v>
      </c>
      <c r="L36" s="159" t="str">
        <f>'CAPEX (Buy)'!L33</f>
        <v>Formula: months × monthly rent + SC.</v>
      </c>
      <c r="M36" s="160" t="str">
        <f>'CAPEX (Buy)'!M33</f>
        <v>Derived from sources</v>
      </c>
    </row>
    <row r="37" spans="1:13" x14ac:dyDescent="0.2">
      <c r="A37" s="135" t="s">
        <v>1140</v>
      </c>
      <c r="B37" s="135" t="s">
        <v>1144</v>
      </c>
      <c r="C37" s="142">
        <f>'CAPEX (Buy)'!C34</f>
        <v>12</v>
      </c>
      <c r="D37" s="131">
        <f>'CAPEX (Buy)'!D34</f>
        <v>37774218.75</v>
      </c>
      <c r="E37" s="145">
        <f>C37*D37</f>
        <v>453290625</v>
      </c>
      <c r="H37" s="146">
        <f>E37</f>
        <v>453290625</v>
      </c>
      <c r="I37" s="132">
        <f>H37/Inputs!$H$10</f>
        <v>20985.677083333332</v>
      </c>
      <c r="J37" s="147">
        <f t="shared" si="2"/>
        <v>0.10625046263171913</v>
      </c>
      <c r="K37" s="159" t="str">
        <f>'CAPEX (Buy)'!K34</f>
        <v>Inputs prepay_m; S20/S21</v>
      </c>
      <c r="L37" s="159" t="str">
        <f>'CAPEX (Buy)'!L34</f>
        <v>Formula: months × monthly rent.</v>
      </c>
      <c r="M37" s="160" t="str">
        <f>'CAPEX (Buy)'!M34</f>
        <v>Derived from sources</v>
      </c>
    </row>
    <row r="38" spans="1:13" x14ac:dyDescent="0.2">
      <c r="A38" s="135" t="s">
        <v>1140</v>
      </c>
      <c r="B38" s="135" t="s">
        <v>1147</v>
      </c>
      <c r="C38" s="142">
        <f>'CAPEX (Buy)'!C35</f>
        <v>2</v>
      </c>
      <c r="D38" s="131">
        <f>'CAPEX (Buy)'!D35</f>
        <v>37774218.75</v>
      </c>
      <c r="E38" s="145">
        <f>C38*D38</f>
        <v>75548437.5</v>
      </c>
      <c r="H38" s="146">
        <f>E38</f>
        <v>75548437.5</v>
      </c>
      <c r="I38" s="132">
        <f>H38/Inputs!$H$10</f>
        <v>3497.6128472222222</v>
      </c>
      <c r="J38" s="147">
        <f t="shared" si="2"/>
        <v>1.7708410438619853E-2</v>
      </c>
      <c r="K38" s="159" t="str">
        <f>'CAPEX (Buy)'!K35</f>
        <v>Inputs deposit_m</v>
      </c>
      <c r="L38" s="159" t="str">
        <f>'CAPEX (Buy)'!L35</f>
        <v>Formula: months × monthly rent.</v>
      </c>
      <c r="M38" s="160" t="str">
        <f>'CAPEX (Buy)'!M35</f>
        <v>Derived from sources</v>
      </c>
    </row>
    <row r="39" spans="1:13" ht="28" x14ac:dyDescent="0.2">
      <c r="A39" s="135" t="s">
        <v>1149</v>
      </c>
      <c r="B39" s="135" t="s">
        <v>1263</v>
      </c>
      <c r="C39" s="163">
        <f>Inputs!$H$80</f>
        <v>3</v>
      </c>
      <c r="D39" s="145">
        <f>Staffing!$J$15+OPEX!$B$13+OPEX!$B$18+H47</f>
        <v>253392779.58333334</v>
      </c>
      <c r="E39" s="145">
        <f>C39*D39</f>
        <v>760178338.75</v>
      </c>
      <c r="H39" s="146">
        <f>E39</f>
        <v>760178338.75</v>
      </c>
      <c r="I39" s="132">
        <f>H39/Inputs!$H$10</f>
        <v>35193.441608796296</v>
      </c>
      <c r="J39" s="147">
        <f t="shared" si="2"/>
        <v>0.17818436058499817</v>
      </c>
      <c r="K39" s="148" t="s">
        <v>1151</v>
      </c>
      <c r="L39" s="148" t="s">
        <v>1264</v>
      </c>
      <c r="M39" s="162" t="s">
        <v>257</v>
      </c>
    </row>
    <row r="40" spans="1:13" x14ac:dyDescent="0.2">
      <c r="B40" s="129" t="s">
        <v>1265</v>
      </c>
      <c r="H40" s="164">
        <f>H26+H34+H35+SUM(H36:H38)+H39</f>
        <v>4266246129.875</v>
      </c>
      <c r="I40" s="165">
        <f>H40/Inputs!$H$10</f>
        <v>197511.39490162037</v>
      </c>
      <c r="J40" s="166">
        <f t="shared" si="2"/>
        <v>1</v>
      </c>
    </row>
    <row r="42" spans="1:13" x14ac:dyDescent="0.2">
      <c r="B42" s="129" t="s">
        <v>1266</v>
      </c>
    </row>
    <row r="43" spans="1:13" x14ac:dyDescent="0.2">
      <c r="B43" s="135" t="s">
        <v>1267</v>
      </c>
      <c r="H43" s="145">
        <f>H26/Inputs!$H$77</f>
        <v>1793883843.75</v>
      </c>
    </row>
    <row r="44" spans="1:13" x14ac:dyDescent="0.2">
      <c r="B44" s="135" t="s">
        <v>1268</v>
      </c>
      <c r="H44" s="145">
        <f>SUM(H27:H32)</f>
        <v>677100000.00000012</v>
      </c>
    </row>
    <row r="45" spans="1:13" x14ac:dyDescent="0.2">
      <c r="B45" s="135" t="s">
        <v>1269</v>
      </c>
      <c r="H45" s="145">
        <f>SUMPRODUCT((N8:N25=1)*H8:H25)*(1+C35)</f>
        <v>1769839500.0000005</v>
      </c>
    </row>
    <row r="46" spans="1:13" x14ac:dyDescent="0.2">
      <c r="B46" s="135" t="s">
        <v>1158</v>
      </c>
      <c r="H46" s="145">
        <f>H40-H39</f>
        <v>3506067791.125</v>
      </c>
    </row>
    <row r="47" spans="1:13" x14ac:dyDescent="0.2">
      <c r="B47" s="135" t="s">
        <v>1270</v>
      </c>
      <c r="H47" s="145">
        <f>SUM(U8:U25)</f>
        <v>18483149.583333332</v>
      </c>
    </row>
    <row r="48" spans="1:13" x14ac:dyDescent="0.2">
      <c r="B48" s="135" t="s">
        <v>1271</v>
      </c>
      <c r="H48" s="145">
        <f>SUMIFS(U8:U25,V8:V25,"&gt;"&amp;$C$66)</f>
        <v>4302360</v>
      </c>
    </row>
    <row r="49" spans="1:8" x14ac:dyDescent="0.2">
      <c r="B49" s="135" t="s">
        <v>1272</v>
      </c>
      <c r="H49" s="145">
        <f>'CAPEX (Buy)'!$H$37-H40</f>
        <v>825976323.125</v>
      </c>
    </row>
    <row r="50" spans="1:8" x14ac:dyDescent="0.2">
      <c r="B50" s="135" t="s">
        <v>1273</v>
      </c>
      <c r="H50" s="145">
        <f>X26</f>
        <v>-32646131.250000134</v>
      </c>
    </row>
    <row r="52" spans="1:8" ht="16" x14ac:dyDescent="0.2">
      <c r="A52" s="167" t="s">
        <v>1274</v>
      </c>
    </row>
    <row r="53" spans="1:8" ht="30" customHeight="1" x14ac:dyDescent="0.2">
      <c r="B53" s="143" t="s">
        <v>1275</v>
      </c>
      <c r="C53" s="143" t="s">
        <v>1276</v>
      </c>
      <c r="D53" s="143" t="s">
        <v>1277</v>
      </c>
      <c r="E53" s="143" t="s">
        <v>1278</v>
      </c>
    </row>
    <row r="54" spans="1:8" x14ac:dyDescent="0.2">
      <c r="B54" s="168" t="s">
        <v>1279</v>
      </c>
      <c r="C54" s="169">
        <f>'CAPEX (Buy)'!$H$37</f>
        <v>5092222453</v>
      </c>
      <c r="D54" s="170">
        <f>$H$40</f>
        <v>4266246129.875</v>
      </c>
      <c r="E54" s="171">
        <f t="shared" ref="E54:E61" si="11">D54-C54</f>
        <v>-825976323.125</v>
      </c>
    </row>
    <row r="55" spans="1:8" x14ac:dyDescent="0.2">
      <c r="B55" s="168" t="s">
        <v>1280</v>
      </c>
      <c r="C55" s="172">
        <f>C54/Inputs!$H$10</f>
        <v>235751.03949074075</v>
      </c>
      <c r="D55" s="173">
        <f>D54/Inputs!$H$10</f>
        <v>197511.39490162037</v>
      </c>
      <c r="E55" s="172">
        <f t="shared" si="11"/>
        <v>-38239.644589120377</v>
      </c>
    </row>
    <row r="56" spans="1:8" ht="28" x14ac:dyDescent="0.2">
      <c r="B56" s="168" t="s">
        <v>1281</v>
      </c>
      <c r="C56" s="172">
        <f>C55-Inputs!$H$82</f>
        <v>35751.039490740746</v>
      </c>
      <c r="D56" s="173">
        <f>D55-Inputs!$H$82</f>
        <v>-2488.6050983796304</v>
      </c>
      <c r="E56" s="172">
        <f t="shared" si="11"/>
        <v>-38239.644589120377</v>
      </c>
    </row>
    <row r="57" spans="1:8" x14ac:dyDescent="0.2">
      <c r="B57" s="168" t="s">
        <v>1282</v>
      </c>
      <c r="C57" s="169">
        <f>'CAPEX (Buy)'!$H$23</f>
        <v>2595180000</v>
      </c>
      <c r="D57" s="170">
        <f>$H$26</f>
        <v>1793883843.75</v>
      </c>
      <c r="E57" s="171">
        <f t="shared" si="11"/>
        <v>-801296156.25</v>
      </c>
    </row>
    <row r="58" spans="1:8" x14ac:dyDescent="0.2">
      <c r="B58" s="168" t="s">
        <v>1283</v>
      </c>
      <c r="C58" s="171">
        <v>0</v>
      </c>
      <c r="D58" s="170">
        <f>$H$47</f>
        <v>18483149.583333332</v>
      </c>
      <c r="E58" s="171">
        <f t="shared" si="11"/>
        <v>18483149.583333332</v>
      </c>
    </row>
    <row r="59" spans="1:8" ht="28" x14ac:dyDescent="0.2">
      <c r="B59" s="168" t="s">
        <v>1284</v>
      </c>
      <c r="C59" s="171">
        <v>0</v>
      </c>
      <c r="D59" s="170">
        <f>$H$48</f>
        <v>4302360</v>
      </c>
      <c r="E59" s="171">
        <f t="shared" si="11"/>
        <v>4302360</v>
      </c>
    </row>
    <row r="60" spans="1:8" x14ac:dyDescent="0.2">
      <c r="B60" s="168" t="s">
        <v>1285</v>
      </c>
      <c r="C60" s="169">
        <f>'CAPEX (Buy)'!$H$23</f>
        <v>2595180000</v>
      </c>
      <c r="D60" s="170">
        <f>$W$26</f>
        <v>2562533868.75</v>
      </c>
      <c r="E60" s="171">
        <f t="shared" si="11"/>
        <v>-32646131.25</v>
      </c>
    </row>
    <row r="61" spans="1:8" x14ac:dyDescent="0.2">
      <c r="B61" s="168" t="s">
        <v>1286</v>
      </c>
      <c r="C61" s="169">
        <f>'CAPEX (Buy)'!$H$42/(Inputs!$H$81*12)</f>
        <v>47578300</v>
      </c>
      <c r="D61" s="170">
        <f>$H$45/(Inputs!$H$81*12)</f>
        <v>29497325.000000007</v>
      </c>
      <c r="E61" s="171">
        <f t="shared" si="11"/>
        <v>-18080974.999999993</v>
      </c>
    </row>
    <row r="62" spans="1:8" x14ac:dyDescent="0.2">
      <c r="B62" s="174" t="s">
        <v>1287</v>
      </c>
      <c r="D62" s="175" t="str">
        <f>IF(ABS($T$26-'CAPEX (Buy)'!$H$23)&lt;1,"OK","MISMATCH")</f>
        <v>OK</v>
      </c>
    </row>
    <row r="63" spans="1:8" x14ac:dyDescent="0.2">
      <c r="B63" s="174" t="s">
        <v>1288</v>
      </c>
      <c r="D63" s="176" t="str">
        <f>Inputs!$I$4</f>
        <v>Lease – CAPEX (Rent)</v>
      </c>
    </row>
    <row r="64" spans="1:8" ht="16" x14ac:dyDescent="0.2">
      <c r="A64" s="167" t="s">
        <v>1289</v>
      </c>
    </row>
    <row r="65" spans="2:6" x14ac:dyDescent="0.2">
      <c r="B65" s="177" t="s">
        <v>243</v>
      </c>
      <c r="C65" s="177" t="s">
        <v>1290</v>
      </c>
      <c r="D65" s="177" t="s">
        <v>244</v>
      </c>
      <c r="E65" s="177" t="s">
        <v>1291</v>
      </c>
      <c r="F65" s="177" t="s">
        <v>1292</v>
      </c>
    </row>
    <row r="66" spans="2:6" x14ac:dyDescent="0.2">
      <c r="B66" s="168" t="s">
        <v>1293</v>
      </c>
      <c r="C66" s="178">
        <v>36</v>
      </c>
      <c r="D66" s="174" t="s">
        <v>342</v>
      </c>
      <c r="E66" s="174" t="s">
        <v>1217</v>
      </c>
      <c r="F66" s="138" t="s">
        <v>1294</v>
      </c>
    </row>
    <row r="67" spans="2:6" x14ac:dyDescent="0.2">
      <c r="B67" s="168" t="s">
        <v>1295</v>
      </c>
      <c r="C67" s="179">
        <v>9.4E-2</v>
      </c>
      <c r="D67" s="174" t="s">
        <v>1296</v>
      </c>
      <c r="E67" s="174" t="s">
        <v>1217</v>
      </c>
      <c r="F67" s="138" t="s">
        <v>1297</v>
      </c>
    </row>
    <row r="68" spans="2:6" x14ac:dyDescent="0.2">
      <c r="B68" s="168" t="s">
        <v>1298</v>
      </c>
      <c r="C68" s="180">
        <v>0.3</v>
      </c>
      <c r="D68" s="174" t="s">
        <v>1299</v>
      </c>
      <c r="E68" s="174" t="s">
        <v>1217</v>
      </c>
      <c r="F68" s="138" t="s">
        <v>1300</v>
      </c>
    </row>
    <row r="69" spans="2:6" x14ac:dyDescent="0.2">
      <c r="B69" s="168" t="s">
        <v>1301</v>
      </c>
      <c r="C69" s="181">
        <v>1.2500000000000001E-2</v>
      </c>
      <c r="D69" s="174" t="s">
        <v>1302</v>
      </c>
      <c r="E69" s="174" t="s">
        <v>1217</v>
      </c>
      <c r="F69" s="138" t="s">
        <v>1303</v>
      </c>
    </row>
    <row r="70" spans="2:6" x14ac:dyDescent="0.2">
      <c r="B70" s="168" t="s">
        <v>1304</v>
      </c>
      <c r="C70" s="181">
        <v>0.01</v>
      </c>
      <c r="D70" s="174" t="s">
        <v>1302</v>
      </c>
      <c r="E70" s="174" t="s">
        <v>1217</v>
      </c>
      <c r="F70" s="138" t="s">
        <v>1305</v>
      </c>
    </row>
    <row r="71" spans="2:6" x14ac:dyDescent="0.2">
      <c r="B71" s="168" t="s">
        <v>1306</v>
      </c>
      <c r="C71" s="182">
        <v>350000</v>
      </c>
      <c r="D71" s="174" t="s">
        <v>1307</v>
      </c>
      <c r="E71" s="174" t="s">
        <v>1217</v>
      </c>
      <c r="F71" s="138" t="s">
        <v>1308</v>
      </c>
    </row>
    <row r="72" spans="2:6" x14ac:dyDescent="0.2">
      <c r="B72" s="168" t="s">
        <v>1309</v>
      </c>
      <c r="C72" s="181">
        <v>2.5000000000000001E-3</v>
      </c>
      <c r="D72" s="174" t="s">
        <v>1310</v>
      </c>
      <c r="E72" s="174" t="s">
        <v>1217</v>
      </c>
      <c r="F72" s="138" t="s">
        <v>1311</v>
      </c>
    </row>
    <row r="73" spans="2:6" x14ac:dyDescent="0.2">
      <c r="B73" s="168" t="s">
        <v>1312</v>
      </c>
      <c r="C73" s="182">
        <v>100000000</v>
      </c>
      <c r="D73" s="174" t="s">
        <v>171</v>
      </c>
      <c r="E73" s="174" t="s">
        <v>1217</v>
      </c>
      <c r="F73" s="138" t="s">
        <v>1313</v>
      </c>
    </row>
    <row r="74" spans="2:6" x14ac:dyDescent="0.2">
      <c r="B74" s="183" t="s">
        <v>1314</v>
      </c>
      <c r="C74" s="184">
        <f>RATE($C$66,-(1/$C$66+$C$67/12),1)*12</f>
        <v>0.16916351911163355</v>
      </c>
      <c r="D74" s="174" t="s">
        <v>1315</v>
      </c>
      <c r="E74" s="174" t="s">
        <v>1217</v>
      </c>
      <c r="F74" s="138" t="s">
        <v>1316</v>
      </c>
    </row>
    <row r="75" spans="2:6" x14ac:dyDescent="0.2">
      <c r="B75" s="168" t="s">
        <v>1317</v>
      </c>
      <c r="C75" s="178">
        <v>60</v>
      </c>
      <c r="D75" s="174" t="s">
        <v>342</v>
      </c>
      <c r="E75" s="174" t="s">
        <v>1318</v>
      </c>
      <c r="F75" s="138" t="s">
        <v>1319</v>
      </c>
    </row>
    <row r="76" spans="2:6" x14ac:dyDescent="0.2">
      <c r="B76" s="168" t="s">
        <v>1320</v>
      </c>
      <c r="C76" s="178">
        <v>18</v>
      </c>
      <c r="D76" s="174" t="s">
        <v>1321</v>
      </c>
      <c r="E76" s="174" t="s">
        <v>1322</v>
      </c>
      <c r="F76" s="138" t="s">
        <v>1323</v>
      </c>
    </row>
    <row r="77" spans="2:6" x14ac:dyDescent="0.2">
      <c r="B77" s="168" t="s">
        <v>1324</v>
      </c>
      <c r="C77" s="185">
        <v>0.1</v>
      </c>
      <c r="D77" s="174" t="s">
        <v>272</v>
      </c>
      <c r="E77" s="174" t="s">
        <v>1322</v>
      </c>
      <c r="F77" s="138" t="s">
        <v>1325</v>
      </c>
    </row>
    <row r="78" spans="2:6" x14ac:dyDescent="0.2">
      <c r="B78" s="183" t="s">
        <v>1326</v>
      </c>
      <c r="C78" s="186">
        <f>Scenarios!$F$6*SUM(Menu!$G$13:$G$17)/100*$C$76/1000*(1+$C$77)*Inputs!$H$12</f>
        <v>59.400000000000006</v>
      </c>
      <c r="D78" s="174" t="s">
        <v>1327</v>
      </c>
      <c r="E78" s="174" t="s">
        <v>1328</v>
      </c>
      <c r="F78" s="138" t="s">
        <v>1329</v>
      </c>
    </row>
    <row r="79" spans="2:6" ht="28" x14ac:dyDescent="0.2">
      <c r="B79" s="168" t="s">
        <v>1330</v>
      </c>
      <c r="C79" s="187">
        <v>40000</v>
      </c>
      <c r="D79" s="174" t="s">
        <v>1331</v>
      </c>
      <c r="E79" s="174" t="s">
        <v>1332</v>
      </c>
      <c r="F79" s="138" t="s">
        <v>1333</v>
      </c>
    </row>
    <row r="80" spans="2:6" ht="28" x14ac:dyDescent="0.2">
      <c r="B80" s="168" t="s">
        <v>1334</v>
      </c>
      <c r="C80" s="178">
        <v>30</v>
      </c>
      <c r="D80" s="174" t="s">
        <v>1327</v>
      </c>
      <c r="E80" s="174" t="s">
        <v>1332</v>
      </c>
      <c r="F80" s="138" t="s">
        <v>1335</v>
      </c>
    </row>
    <row r="81" spans="2:6" x14ac:dyDescent="0.2">
      <c r="B81" s="168" t="s">
        <v>1336</v>
      </c>
      <c r="C81" s="182">
        <v>150000</v>
      </c>
      <c r="D81" s="174" t="s">
        <v>1337</v>
      </c>
      <c r="E81" s="174" t="s">
        <v>1338</v>
      </c>
      <c r="F81" s="138" t="s">
        <v>1339</v>
      </c>
    </row>
    <row r="82" spans="2:6" x14ac:dyDescent="0.2">
      <c r="B82" s="168" t="s">
        <v>1340</v>
      </c>
      <c r="C82" s="188">
        <v>1.33</v>
      </c>
      <c r="D82" s="174" t="s">
        <v>1341</v>
      </c>
      <c r="E82" s="174" t="s">
        <v>1322</v>
      </c>
      <c r="F82" s="138" t="s">
        <v>1342</v>
      </c>
    </row>
    <row r="83" spans="2:6" x14ac:dyDescent="0.2">
      <c r="B83" s="168" t="s">
        <v>1343</v>
      </c>
      <c r="C83" s="182">
        <v>1580000</v>
      </c>
      <c r="D83" s="174" t="s">
        <v>1337</v>
      </c>
      <c r="E83" s="174" t="s">
        <v>1344</v>
      </c>
      <c r="F83" s="138" t="s">
        <v>1345</v>
      </c>
    </row>
    <row r="84" spans="2:6" x14ac:dyDescent="0.2">
      <c r="B84" s="168" t="s">
        <v>1346</v>
      </c>
      <c r="C84" s="178">
        <v>3</v>
      </c>
      <c r="D84" s="174" t="s">
        <v>300</v>
      </c>
      <c r="E84" s="174" t="s">
        <v>1322</v>
      </c>
      <c r="F84" s="138" t="s">
        <v>1347</v>
      </c>
    </row>
    <row r="85" spans="2:6" x14ac:dyDescent="0.2">
      <c r="B85" s="168" t="s">
        <v>1348</v>
      </c>
      <c r="C85" s="182">
        <v>700000</v>
      </c>
      <c r="D85" s="174" t="s">
        <v>1337</v>
      </c>
      <c r="E85" s="174" t="s">
        <v>1344</v>
      </c>
      <c r="F85" s="138" t="s">
        <v>1349</v>
      </c>
    </row>
    <row r="86" spans="2:6" x14ac:dyDescent="0.2">
      <c r="B86" s="168" t="s">
        <v>1350</v>
      </c>
      <c r="C86" s="178">
        <v>2</v>
      </c>
      <c r="D86" s="174" t="s">
        <v>300</v>
      </c>
      <c r="E86" s="174" t="s">
        <v>1322</v>
      </c>
      <c r="F86" s="138" t="s">
        <v>1351</v>
      </c>
    </row>
    <row r="87" spans="2:6" x14ac:dyDescent="0.2">
      <c r="B87" s="168" t="s">
        <v>1352</v>
      </c>
      <c r="C87" s="182">
        <v>390000</v>
      </c>
      <c r="D87" s="174" t="s">
        <v>1337</v>
      </c>
      <c r="E87" s="174" t="s">
        <v>1353</v>
      </c>
      <c r="F87" s="138" t="s">
        <v>1354</v>
      </c>
    </row>
    <row r="88" spans="2:6" x14ac:dyDescent="0.2">
      <c r="B88" s="168" t="s">
        <v>1355</v>
      </c>
      <c r="C88" s="178">
        <v>2</v>
      </c>
      <c r="D88" s="174" t="s">
        <v>300</v>
      </c>
      <c r="E88" s="174" t="s">
        <v>1322</v>
      </c>
      <c r="F88" s="138" t="s">
        <v>1356</v>
      </c>
    </row>
    <row r="89" spans="2:6" x14ac:dyDescent="0.2">
      <c r="B89" s="168" t="s">
        <v>1357</v>
      </c>
      <c r="C89" s="182">
        <v>3650000</v>
      </c>
      <c r="D89" s="174" t="s">
        <v>404</v>
      </c>
      <c r="E89" s="174" t="s">
        <v>1358</v>
      </c>
      <c r="F89" s="138" t="s">
        <v>1359</v>
      </c>
    </row>
    <row r="90" spans="2:6" ht="28" x14ac:dyDescent="0.2">
      <c r="B90" s="168" t="s">
        <v>1360</v>
      </c>
      <c r="C90" s="182">
        <v>1500000</v>
      </c>
      <c r="D90" s="174" t="s">
        <v>404</v>
      </c>
      <c r="E90" s="174" t="s">
        <v>1361</v>
      </c>
      <c r="F90" s="138" t="s">
        <v>1362</v>
      </c>
    </row>
    <row r="91" spans="2:6" x14ac:dyDescent="0.2">
      <c r="B91" s="168" t="s">
        <v>1363</v>
      </c>
      <c r="C91" s="189">
        <v>1</v>
      </c>
      <c r="D91" s="174" t="s">
        <v>1364</v>
      </c>
      <c r="E91" s="174" t="s">
        <v>1365</v>
      </c>
      <c r="F91" s="138" t="s">
        <v>1366</v>
      </c>
    </row>
    <row r="92" spans="2:6" x14ac:dyDescent="0.2">
      <c r="B92" s="168" t="s">
        <v>1367</v>
      </c>
      <c r="C92" s="185">
        <v>0.4</v>
      </c>
      <c r="D92" s="174" t="s">
        <v>272</v>
      </c>
      <c r="E92" s="174" t="s">
        <v>1322</v>
      </c>
      <c r="F92" s="138" t="s">
        <v>1368</v>
      </c>
    </row>
    <row r="93" spans="2:6" ht="28" x14ac:dyDescent="0.2">
      <c r="B93" s="168" t="s">
        <v>1369</v>
      </c>
      <c r="C93" s="185">
        <v>0.25</v>
      </c>
      <c r="D93" s="174" t="s">
        <v>272</v>
      </c>
      <c r="E93" s="174" t="s">
        <v>1322</v>
      </c>
      <c r="F93" s="138" t="s">
        <v>1370</v>
      </c>
    </row>
    <row r="94" spans="2:6" ht="28" x14ac:dyDescent="0.2">
      <c r="B94" s="168" t="s">
        <v>1371</v>
      </c>
      <c r="C94" s="185">
        <v>0.35</v>
      </c>
      <c r="D94" s="174" t="s">
        <v>272</v>
      </c>
      <c r="E94" s="174" t="s">
        <v>1322</v>
      </c>
      <c r="F94" s="138" t="s">
        <v>1372</v>
      </c>
    </row>
    <row r="95" spans="2:6" ht="28" x14ac:dyDescent="0.2">
      <c r="B95" s="168" t="s">
        <v>1373</v>
      </c>
      <c r="C95" s="182">
        <v>113500000</v>
      </c>
      <c r="D95" s="174" t="s">
        <v>171</v>
      </c>
      <c r="E95" s="174" t="s">
        <v>1374</v>
      </c>
      <c r="F95" s="138" t="s">
        <v>1375</v>
      </c>
    </row>
    <row r="96" spans="2:6" ht="28" x14ac:dyDescent="0.2">
      <c r="B96" s="168" t="s">
        <v>1376</v>
      </c>
      <c r="C96" s="182">
        <v>163300000</v>
      </c>
      <c r="D96" s="174" t="s">
        <v>171</v>
      </c>
      <c r="E96" s="174" t="s">
        <v>1377</v>
      </c>
      <c r="F96" s="138" t="s">
        <v>1378</v>
      </c>
    </row>
    <row r="99" spans="1:13" ht="16" x14ac:dyDescent="0.2">
      <c r="A99" s="167" t="s">
        <v>1379</v>
      </c>
    </row>
    <row r="100" spans="1:13" x14ac:dyDescent="0.2">
      <c r="B100" s="143" t="s">
        <v>1380</v>
      </c>
      <c r="C100" s="143" t="s">
        <v>1381</v>
      </c>
      <c r="D100" s="210" t="s">
        <v>1382</v>
      </c>
      <c r="E100" s="196"/>
      <c r="F100" s="196"/>
      <c r="G100" s="196"/>
      <c r="H100" s="196"/>
      <c r="I100" s="196"/>
      <c r="J100" s="196"/>
      <c r="K100" s="143" t="s">
        <v>1383</v>
      </c>
      <c r="L100" s="143" t="s">
        <v>1384</v>
      </c>
      <c r="M100" s="143" t="s">
        <v>1291</v>
      </c>
    </row>
    <row r="101" spans="1:13" ht="54" customHeight="1" x14ac:dyDescent="0.2">
      <c r="B101" s="183" t="s">
        <v>1385</v>
      </c>
      <c r="C101" s="190" t="s">
        <v>1386</v>
      </c>
      <c r="D101" s="208" t="s">
        <v>1387</v>
      </c>
      <c r="E101" s="198"/>
      <c r="F101" s="198"/>
      <c r="G101" s="198"/>
      <c r="H101" s="198"/>
      <c r="I101" s="198"/>
      <c r="J101" s="199"/>
      <c r="K101" s="168" t="s">
        <v>1388</v>
      </c>
      <c r="L101" s="168" t="s">
        <v>1389</v>
      </c>
      <c r="M101" s="191" t="s">
        <v>1217</v>
      </c>
    </row>
    <row r="102" spans="1:13" ht="54" customHeight="1" x14ac:dyDescent="0.2">
      <c r="B102" s="183" t="s">
        <v>1390</v>
      </c>
      <c r="C102" s="190" t="s">
        <v>1386</v>
      </c>
      <c r="D102" s="208" t="s">
        <v>1391</v>
      </c>
      <c r="E102" s="198"/>
      <c r="F102" s="198"/>
      <c r="G102" s="198"/>
      <c r="H102" s="198"/>
      <c r="I102" s="198"/>
      <c r="J102" s="199"/>
      <c r="K102" s="168" t="s">
        <v>1392</v>
      </c>
      <c r="L102" s="168" t="s">
        <v>1393</v>
      </c>
      <c r="M102" s="191" t="s">
        <v>1394</v>
      </c>
    </row>
    <row r="103" spans="1:13" ht="54" customHeight="1" x14ac:dyDescent="0.2">
      <c r="B103" s="183" t="s">
        <v>1395</v>
      </c>
      <c r="C103" s="190" t="s">
        <v>1386</v>
      </c>
      <c r="D103" s="208" t="s">
        <v>1391</v>
      </c>
      <c r="E103" s="198"/>
      <c r="F103" s="198"/>
      <c r="G103" s="198"/>
      <c r="H103" s="198"/>
      <c r="I103" s="198"/>
      <c r="J103" s="199"/>
      <c r="K103" s="168" t="s">
        <v>1396</v>
      </c>
      <c r="L103" s="168" t="s">
        <v>1393</v>
      </c>
      <c r="M103" s="191" t="s">
        <v>1397</v>
      </c>
    </row>
    <row r="104" spans="1:13" ht="54" customHeight="1" x14ac:dyDescent="0.2">
      <c r="B104" s="183" t="s">
        <v>1398</v>
      </c>
      <c r="C104" s="190" t="s">
        <v>1399</v>
      </c>
      <c r="D104" s="208" t="s">
        <v>1400</v>
      </c>
      <c r="E104" s="198"/>
      <c r="F104" s="198"/>
      <c r="G104" s="198"/>
      <c r="H104" s="198"/>
      <c r="I104" s="198"/>
      <c r="J104" s="199"/>
      <c r="K104" s="168" t="s">
        <v>1401</v>
      </c>
      <c r="L104" s="168" t="s">
        <v>1402</v>
      </c>
      <c r="M104" s="191" t="s">
        <v>1403</v>
      </c>
    </row>
    <row r="105" spans="1:13" ht="54" customHeight="1" x14ac:dyDescent="0.2">
      <c r="B105" s="183" t="s">
        <v>1404</v>
      </c>
      <c r="C105" s="190" t="s">
        <v>1405</v>
      </c>
      <c r="D105" s="208" t="s">
        <v>1406</v>
      </c>
      <c r="E105" s="198"/>
      <c r="F105" s="198"/>
      <c r="G105" s="198"/>
      <c r="H105" s="198"/>
      <c r="I105" s="198"/>
      <c r="J105" s="199"/>
      <c r="K105" s="168" t="s">
        <v>1407</v>
      </c>
      <c r="L105" s="168" t="s">
        <v>1408</v>
      </c>
      <c r="M105" s="191" t="s">
        <v>1409</v>
      </c>
    </row>
    <row r="106" spans="1:13" ht="54" customHeight="1" x14ac:dyDescent="0.2">
      <c r="B106" s="183" t="s">
        <v>1410</v>
      </c>
      <c r="C106" s="190" t="s">
        <v>1399</v>
      </c>
      <c r="D106" s="208" t="s">
        <v>1411</v>
      </c>
      <c r="E106" s="198"/>
      <c r="F106" s="198"/>
      <c r="G106" s="198"/>
      <c r="H106" s="198"/>
      <c r="I106" s="198"/>
      <c r="J106" s="199"/>
      <c r="K106" s="168" t="s">
        <v>1412</v>
      </c>
      <c r="L106" s="168" t="s">
        <v>1413</v>
      </c>
      <c r="M106" s="191" t="s">
        <v>1414</v>
      </c>
    </row>
    <row r="107" spans="1:13" ht="54" customHeight="1" x14ac:dyDescent="0.2">
      <c r="B107" s="183" t="s">
        <v>1415</v>
      </c>
      <c r="C107" s="190" t="s">
        <v>1416</v>
      </c>
      <c r="D107" s="208" t="s">
        <v>1417</v>
      </c>
      <c r="E107" s="198"/>
      <c r="F107" s="198"/>
      <c r="G107" s="198"/>
      <c r="H107" s="198"/>
      <c r="I107" s="198"/>
      <c r="J107" s="199"/>
      <c r="K107" s="168" t="s">
        <v>1418</v>
      </c>
      <c r="L107" s="168" t="s">
        <v>1419</v>
      </c>
      <c r="M107" s="191" t="s">
        <v>1420</v>
      </c>
    </row>
    <row r="108" spans="1:13" ht="54" customHeight="1" x14ac:dyDescent="0.2">
      <c r="B108" s="183" t="s">
        <v>1421</v>
      </c>
      <c r="C108" s="190" t="s">
        <v>1399</v>
      </c>
      <c r="D108" s="208" t="s">
        <v>1422</v>
      </c>
      <c r="E108" s="198"/>
      <c r="F108" s="198"/>
      <c r="G108" s="198"/>
      <c r="H108" s="198"/>
      <c r="I108" s="198"/>
      <c r="J108" s="199"/>
      <c r="K108" s="168" t="s">
        <v>1423</v>
      </c>
      <c r="L108" s="168" t="s">
        <v>1424</v>
      </c>
      <c r="M108" s="191" t="s">
        <v>1344</v>
      </c>
    </row>
    <row r="109" spans="1:13" ht="54" customHeight="1" x14ac:dyDescent="0.2">
      <c r="B109" s="183" t="s">
        <v>1425</v>
      </c>
      <c r="C109" s="190" t="s">
        <v>1399</v>
      </c>
      <c r="D109" s="208" t="s">
        <v>1426</v>
      </c>
      <c r="E109" s="198"/>
      <c r="F109" s="198"/>
      <c r="G109" s="198"/>
      <c r="H109" s="198"/>
      <c r="I109" s="198"/>
      <c r="J109" s="199"/>
      <c r="K109" s="168" t="s">
        <v>1427</v>
      </c>
      <c r="L109" s="168" t="s">
        <v>1428</v>
      </c>
      <c r="M109" s="191" t="s">
        <v>1429</v>
      </c>
    </row>
    <row r="110" spans="1:13" ht="54" customHeight="1" x14ac:dyDescent="0.2">
      <c r="B110" s="183" t="s">
        <v>1430</v>
      </c>
      <c r="C110" s="190" t="s">
        <v>1416</v>
      </c>
      <c r="D110" s="208" t="s">
        <v>1431</v>
      </c>
      <c r="E110" s="198"/>
      <c r="F110" s="198"/>
      <c r="G110" s="198"/>
      <c r="H110" s="198"/>
      <c r="I110" s="198"/>
      <c r="J110" s="199"/>
      <c r="K110" s="168" t="s">
        <v>1432</v>
      </c>
      <c r="L110" s="168" t="s">
        <v>1433</v>
      </c>
      <c r="M110" s="191" t="s">
        <v>1434</v>
      </c>
    </row>
    <row r="111" spans="1:13" ht="54" customHeight="1" x14ac:dyDescent="0.2">
      <c r="B111" s="183" t="s">
        <v>1435</v>
      </c>
      <c r="C111" s="190" t="s">
        <v>1416</v>
      </c>
      <c r="D111" s="208" t="s">
        <v>1436</v>
      </c>
      <c r="E111" s="198"/>
      <c r="F111" s="198"/>
      <c r="G111" s="198"/>
      <c r="H111" s="198"/>
      <c r="I111" s="198"/>
      <c r="J111" s="199"/>
      <c r="K111" s="168" t="s">
        <v>1437</v>
      </c>
      <c r="L111" s="168" t="s">
        <v>1438</v>
      </c>
      <c r="M111" s="191" t="s">
        <v>1439</v>
      </c>
    </row>
    <row r="112" spans="1:13" ht="54" customHeight="1" x14ac:dyDescent="0.2">
      <c r="B112" s="183" t="s">
        <v>1440</v>
      </c>
      <c r="C112" s="190" t="s">
        <v>1399</v>
      </c>
      <c r="D112" s="208" t="s">
        <v>1441</v>
      </c>
      <c r="E112" s="198"/>
      <c r="F112" s="198"/>
      <c r="G112" s="198"/>
      <c r="H112" s="198"/>
      <c r="I112" s="198"/>
      <c r="J112" s="199"/>
      <c r="K112" s="168" t="s">
        <v>1442</v>
      </c>
      <c r="L112" s="168" t="s">
        <v>1443</v>
      </c>
      <c r="M112" s="191" t="s">
        <v>1338</v>
      </c>
    </row>
    <row r="113" spans="1:13" ht="54" customHeight="1" x14ac:dyDescent="0.2">
      <c r="B113" s="183" t="s">
        <v>1444</v>
      </c>
      <c r="C113" s="190" t="s">
        <v>1399</v>
      </c>
      <c r="D113" s="208" t="s">
        <v>1445</v>
      </c>
      <c r="E113" s="198"/>
      <c r="F113" s="198"/>
      <c r="G113" s="198"/>
      <c r="H113" s="198"/>
      <c r="I113" s="198"/>
      <c r="J113" s="199"/>
      <c r="K113" s="168" t="s">
        <v>1446</v>
      </c>
      <c r="L113" s="168" t="s">
        <v>1393</v>
      </c>
      <c r="M113" s="191" t="s">
        <v>1447</v>
      </c>
    </row>
    <row r="114" spans="1:13" ht="54" customHeight="1" x14ac:dyDescent="0.2">
      <c r="B114" s="183" t="s">
        <v>1448</v>
      </c>
      <c r="C114" s="190" t="s">
        <v>1399</v>
      </c>
      <c r="D114" s="208" t="s">
        <v>1449</v>
      </c>
      <c r="E114" s="198"/>
      <c r="F114" s="198"/>
      <c r="G114" s="198"/>
      <c r="H114" s="198"/>
      <c r="I114" s="198"/>
      <c r="J114" s="199"/>
      <c r="K114" s="168" t="s">
        <v>1450</v>
      </c>
      <c r="L114" s="168" t="s">
        <v>1451</v>
      </c>
      <c r="M114" s="191" t="s">
        <v>1452</v>
      </c>
    </row>
    <row r="115" spans="1:13" ht="54" customHeight="1" x14ac:dyDescent="0.2">
      <c r="B115" s="183" t="s">
        <v>1453</v>
      </c>
      <c r="C115" s="190" t="s">
        <v>1454</v>
      </c>
      <c r="D115" s="208" t="s">
        <v>1455</v>
      </c>
      <c r="E115" s="198"/>
      <c r="F115" s="198"/>
      <c r="G115" s="198"/>
      <c r="H115" s="198"/>
      <c r="I115" s="198"/>
      <c r="J115" s="199"/>
      <c r="K115" s="168" t="s">
        <v>1456</v>
      </c>
      <c r="L115" s="168" t="s">
        <v>1457</v>
      </c>
      <c r="M115" s="191" t="s">
        <v>1374</v>
      </c>
    </row>
    <row r="116" spans="1:13" ht="54" customHeight="1" x14ac:dyDescent="0.2">
      <c r="B116" s="183" t="s">
        <v>1458</v>
      </c>
      <c r="C116" s="190" t="s">
        <v>1454</v>
      </c>
      <c r="D116" s="208" t="s">
        <v>1459</v>
      </c>
      <c r="E116" s="198"/>
      <c r="F116" s="198"/>
      <c r="G116" s="198"/>
      <c r="H116" s="198"/>
      <c r="I116" s="198"/>
      <c r="J116" s="199"/>
      <c r="K116" s="168" t="s">
        <v>1460</v>
      </c>
      <c r="L116" s="168" t="s">
        <v>1461</v>
      </c>
      <c r="M116" s="191" t="s">
        <v>1377</v>
      </c>
    </row>
    <row r="119" spans="1:13" ht="16" x14ac:dyDescent="0.2">
      <c r="A119" s="167" t="s">
        <v>1462</v>
      </c>
    </row>
    <row r="120" spans="1:13" ht="42" x14ac:dyDescent="0.2">
      <c r="A120" s="192" t="s">
        <v>114</v>
      </c>
      <c r="C120" s="192" t="s">
        <v>115</v>
      </c>
      <c r="E120" s="192" t="s">
        <v>116</v>
      </c>
      <c r="H120" s="192" t="s">
        <v>117</v>
      </c>
      <c r="L120" s="192" t="s">
        <v>22</v>
      </c>
    </row>
    <row r="121" spans="1:13" ht="42" customHeight="1" x14ac:dyDescent="0.2">
      <c r="A121" s="208" t="s">
        <v>1463</v>
      </c>
      <c r="B121" s="199"/>
      <c r="C121" s="213">
        <f>U12</f>
        <v>7747553.3333333321</v>
      </c>
      <c r="D121" s="199"/>
      <c r="E121" s="208" t="s">
        <v>1217</v>
      </c>
      <c r="F121" s="198"/>
      <c r="G121" s="199"/>
      <c r="H121" s="208" t="s">
        <v>1464</v>
      </c>
      <c r="I121" s="198"/>
      <c r="J121" s="198"/>
      <c r="K121" s="199"/>
      <c r="L121" s="193" t="s">
        <v>131</v>
      </c>
    </row>
    <row r="122" spans="1:13" ht="42" customHeight="1" x14ac:dyDescent="0.2">
      <c r="A122" s="208" t="s">
        <v>1465</v>
      </c>
      <c r="B122" s="199"/>
      <c r="C122" s="213">
        <f>H12</f>
        <v>100816100</v>
      </c>
      <c r="D122" s="199"/>
      <c r="E122" s="208" t="s">
        <v>1217</v>
      </c>
      <c r="F122" s="198"/>
      <c r="G122" s="199"/>
      <c r="H122" s="208" t="s">
        <v>1466</v>
      </c>
      <c r="I122" s="198"/>
      <c r="J122" s="198"/>
      <c r="K122" s="199"/>
      <c r="L122" s="193" t="s">
        <v>131</v>
      </c>
    </row>
    <row r="123" spans="1:13" ht="42" customHeight="1" x14ac:dyDescent="0.2">
      <c r="A123" s="208" t="s">
        <v>1467</v>
      </c>
      <c r="B123" s="199"/>
      <c r="C123" s="212">
        <f>$C$78</f>
        <v>59.400000000000006</v>
      </c>
      <c r="D123" s="199"/>
      <c r="E123" s="208" t="s">
        <v>1328</v>
      </c>
      <c r="F123" s="198"/>
      <c r="G123" s="199"/>
      <c r="H123" s="208" t="s">
        <v>1468</v>
      </c>
      <c r="I123" s="198"/>
      <c r="J123" s="198"/>
      <c r="K123" s="199"/>
      <c r="L123" s="193" t="s">
        <v>257</v>
      </c>
    </row>
    <row r="124" spans="1:13" ht="42" customHeight="1" x14ac:dyDescent="0.2">
      <c r="A124" s="208" t="s">
        <v>1469</v>
      </c>
      <c r="B124" s="199"/>
      <c r="C124" s="211">
        <f>Inputs!$H$18</f>
        <v>0.11</v>
      </c>
      <c r="D124" s="199"/>
      <c r="E124" s="208" t="s">
        <v>1165</v>
      </c>
      <c r="F124" s="198"/>
      <c r="G124" s="199"/>
      <c r="H124" s="208" t="s">
        <v>1470</v>
      </c>
      <c r="I124" s="198"/>
      <c r="J124" s="198"/>
      <c r="K124" s="199"/>
      <c r="L124" s="193" t="s">
        <v>257</v>
      </c>
    </row>
    <row r="125" spans="1:13" ht="42" customHeight="1" x14ac:dyDescent="0.2">
      <c r="A125" s="208" t="s">
        <v>1471</v>
      </c>
      <c r="B125" s="199"/>
      <c r="C125" s="209" t="s">
        <v>125</v>
      </c>
      <c r="D125" s="199"/>
      <c r="E125" s="208" t="s">
        <v>1472</v>
      </c>
      <c r="F125" s="198"/>
      <c r="G125" s="199"/>
      <c r="H125" s="208" t="s">
        <v>1473</v>
      </c>
      <c r="I125" s="198"/>
      <c r="J125" s="198"/>
      <c r="K125" s="199"/>
      <c r="L125" s="193" t="s">
        <v>1474</v>
      </c>
    </row>
    <row r="126" spans="1:13" ht="42" customHeight="1" x14ac:dyDescent="0.2">
      <c r="A126" s="208" t="s">
        <v>1475</v>
      </c>
      <c r="B126" s="199"/>
      <c r="C126" s="209" t="s">
        <v>125</v>
      </c>
      <c r="D126" s="199"/>
      <c r="E126" s="208" t="s">
        <v>1476</v>
      </c>
      <c r="F126" s="198"/>
      <c r="G126" s="199"/>
      <c r="H126" s="208" t="s">
        <v>1477</v>
      </c>
      <c r="I126" s="198"/>
      <c r="J126" s="198"/>
      <c r="K126" s="199"/>
      <c r="L126" s="193" t="s">
        <v>131</v>
      </c>
    </row>
  </sheetData>
  <mergeCells count="41">
    <mergeCell ref="D102:J102"/>
    <mergeCell ref="D114:J114"/>
    <mergeCell ref="A123:B123"/>
    <mergeCell ref="H124:K124"/>
    <mergeCell ref="C126:D126"/>
    <mergeCell ref="A124:B124"/>
    <mergeCell ref="D113:J113"/>
    <mergeCell ref="H126:K126"/>
    <mergeCell ref="D110:J110"/>
    <mergeCell ref="C121:D121"/>
    <mergeCell ref="H125:K125"/>
    <mergeCell ref="D109:J109"/>
    <mergeCell ref="D115:J115"/>
    <mergeCell ref="A126:B126"/>
    <mergeCell ref="A122:B122"/>
    <mergeCell ref="H123:K123"/>
    <mergeCell ref="E126:G126"/>
    <mergeCell ref="E123:G123"/>
    <mergeCell ref="D112:J112"/>
    <mergeCell ref="D100:J100"/>
    <mergeCell ref="C124:D124"/>
    <mergeCell ref="E124:G124"/>
    <mergeCell ref="H122:K122"/>
    <mergeCell ref="E125:G125"/>
    <mergeCell ref="D111:J111"/>
    <mergeCell ref="H121:K121"/>
    <mergeCell ref="D105:J105"/>
    <mergeCell ref="C123:D123"/>
    <mergeCell ref="D101:J101"/>
    <mergeCell ref="D108:J108"/>
    <mergeCell ref="D104:J104"/>
    <mergeCell ref="E121:G121"/>
    <mergeCell ref="D106:J106"/>
    <mergeCell ref="D103:J103"/>
    <mergeCell ref="D107:J107"/>
    <mergeCell ref="A125:B125"/>
    <mergeCell ref="C125:D125"/>
    <mergeCell ref="A121:B121"/>
    <mergeCell ref="E122:G122"/>
    <mergeCell ref="D116:J116"/>
    <mergeCell ref="C122:D122"/>
  </mergeCells>
  <dataValidations count="1">
    <dataValidation type="list" showErrorMessage="1" errorTitle="Route" error="1 = Buy, 2 = Finance lease, 3 = Rental, 4 = Sponsored" sqref="N8:N25" xr:uid="{00000000-0002-0000-0A00-000000000000}">
      <formula1>"1,2,3,4"</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38"/>
  <sheetViews>
    <sheetView showGridLines="0" zoomScaleNormal="100" workbookViewId="0">
      <selection activeCell="B5" sqref="B5"/>
    </sheetView>
  </sheetViews>
  <sheetFormatPr baseColWidth="10" defaultColWidth="8.6640625" defaultRowHeight="15" x14ac:dyDescent="0.2"/>
  <cols>
    <col min="1" max="1" width="60" customWidth="1"/>
    <col min="2" max="2" width="20" customWidth="1"/>
    <col min="3" max="3" width="18" customWidth="1"/>
    <col min="4" max="4" width="50" customWidth="1"/>
  </cols>
  <sheetData>
    <row r="1" spans="1:4" ht="17.25" customHeight="1" x14ac:dyDescent="0.2">
      <c r="A1" s="124" t="s">
        <v>1478</v>
      </c>
    </row>
    <row r="2" spans="1:4" ht="15" customHeight="1" x14ac:dyDescent="0.2">
      <c r="A2" s="11" t="s">
        <v>1479</v>
      </c>
    </row>
    <row r="3" spans="1:4" x14ac:dyDescent="0.2">
      <c r="A3" s="96" t="s">
        <v>1480</v>
      </c>
      <c r="B3" s="97" t="s">
        <v>1481</v>
      </c>
      <c r="C3" s="97"/>
      <c r="D3" s="97"/>
    </row>
    <row r="4" spans="1:4" x14ac:dyDescent="0.2">
      <c r="A4" s="96"/>
      <c r="B4" s="97" t="s">
        <v>1482</v>
      </c>
      <c r="C4" s="97"/>
      <c r="D4" s="97"/>
    </row>
    <row r="5" spans="1:4" x14ac:dyDescent="0.2">
      <c r="A5" s="96"/>
      <c r="B5" s="97" t="s">
        <v>1483</v>
      </c>
      <c r="C5" s="97"/>
      <c r="D5" s="97"/>
    </row>
    <row r="6" spans="1:4" ht="15" customHeight="1" x14ac:dyDescent="0.2">
      <c r="A6" s="117" t="s">
        <v>7</v>
      </c>
      <c r="B6" s="117" t="s">
        <v>171</v>
      </c>
      <c r="C6" s="117" t="s">
        <v>172</v>
      </c>
      <c r="D6" s="117" t="s">
        <v>1017</v>
      </c>
    </row>
    <row r="7" spans="1:4" ht="15" customHeight="1" x14ac:dyDescent="0.2">
      <c r="A7" s="15" t="s">
        <v>1484</v>
      </c>
      <c r="B7" s="99">
        <f>CHOOSE(Inputs!$H$4,'CAPEX (Buy)'!$H$37,'CAPEX (Rent)'!$H$40)</f>
        <v>4266246129.875</v>
      </c>
      <c r="C7" s="108">
        <f>B7/Inputs!$H$10</f>
        <v>197511.39490162037</v>
      </c>
      <c r="D7" s="13"/>
    </row>
    <row r="8" spans="1:4" ht="15" customHeight="1" x14ac:dyDescent="0.2">
      <c r="A8" s="15" t="s">
        <v>174</v>
      </c>
      <c r="B8" s="99">
        <f>Inputs!$H$82*Inputs!$H$10</f>
        <v>4320000000</v>
      </c>
      <c r="C8" s="108">
        <f>B8/Inputs!$H$10</f>
        <v>200000</v>
      </c>
      <c r="D8" s="13" t="s">
        <v>1485</v>
      </c>
    </row>
    <row r="9" spans="1:4" ht="15" customHeight="1" x14ac:dyDescent="0.2">
      <c r="A9" s="12" t="s">
        <v>175</v>
      </c>
      <c r="B9" s="109">
        <f>B7-B8</f>
        <v>-53753870.125</v>
      </c>
      <c r="C9" s="108">
        <f>B9/Inputs!$H$10</f>
        <v>-2488.6050983796295</v>
      </c>
      <c r="D9" s="13"/>
    </row>
    <row r="10" spans="1:4" ht="34.5" customHeight="1" x14ac:dyDescent="0.2">
      <c r="A10" s="12" t="s">
        <v>1486</v>
      </c>
      <c r="B10" s="102">
        <f>IF(Inputs!$H$83=1,MAX(0,B9),0)</f>
        <v>0</v>
      </c>
      <c r="C10" s="108">
        <f>B10/Inputs!$H$10</f>
        <v>0</v>
      </c>
      <c r="D10" s="13" t="s">
        <v>1487</v>
      </c>
    </row>
    <row r="11" spans="1:4" ht="15" customHeight="1" x14ac:dyDescent="0.2">
      <c r="A11" s="12" t="s">
        <v>1488</v>
      </c>
      <c r="B11" s="109">
        <f>MAX(0,B7-B8-B10)</f>
        <v>0</v>
      </c>
      <c r="C11" s="108">
        <f>B11/Inputs!$H$10</f>
        <v>0</v>
      </c>
      <c r="D11" s="13" t="s">
        <v>1489</v>
      </c>
    </row>
    <row r="12" spans="1:4" ht="15" customHeight="1" x14ac:dyDescent="0.2">
      <c r="A12" s="15" t="s">
        <v>1490</v>
      </c>
      <c r="B12" s="110">
        <f>MAX(0,B8-B7)</f>
        <v>53753870.125</v>
      </c>
      <c r="C12" s="108">
        <f>B12/Inputs!$H$10</f>
        <v>2488.6050983796295</v>
      </c>
      <c r="D12" s="13"/>
    </row>
    <row r="13" spans="1:4" ht="15" customHeight="1" x14ac:dyDescent="0.2">
      <c r="A13" s="15" t="s">
        <v>1491</v>
      </c>
      <c r="B13" s="99">
        <f>CHOOSE(Inputs!$H$4,'CAPEX (Buy)'!$H$36,'CAPEX (Rent)'!$H$39)+B12</f>
        <v>813932208.875</v>
      </c>
      <c r="C13" s="108">
        <f>B13/Inputs!$H$10</f>
        <v>37682.046707175927</v>
      </c>
      <c r="D13" s="13" t="s">
        <v>1492</v>
      </c>
    </row>
    <row r="14" spans="1:4" x14ac:dyDescent="0.2">
      <c r="B14" s="101"/>
      <c r="C14" s="101"/>
    </row>
    <row r="15" spans="1:4" ht="15" customHeight="1" x14ac:dyDescent="0.2">
      <c r="A15" s="12" t="s">
        <v>1493</v>
      </c>
      <c r="B15" s="101"/>
      <c r="C15" s="101"/>
    </row>
    <row r="16" spans="1:4" ht="15" customHeight="1" x14ac:dyDescent="0.2">
      <c r="A16" s="15" t="s">
        <v>1494</v>
      </c>
      <c r="B16" s="103">
        <f>Inputs!$H$84</f>
        <v>0.105</v>
      </c>
      <c r="C16" s="101"/>
    </row>
    <row r="17" spans="1:4" ht="15" customHeight="1" x14ac:dyDescent="0.2">
      <c r="A17" s="15" t="s">
        <v>1495</v>
      </c>
      <c r="B17" s="111">
        <f>Inputs!$H$85</f>
        <v>48</v>
      </c>
      <c r="C17" s="101"/>
    </row>
    <row r="18" spans="1:4" ht="15" customHeight="1" x14ac:dyDescent="0.2">
      <c r="A18" s="15" t="s">
        <v>1496</v>
      </c>
      <c r="B18" s="110">
        <f>IF(B10&gt;0,PMT(B16/12,B17,-B10),0)</f>
        <v>0</v>
      </c>
      <c r="C18" s="108">
        <f>B18/Inputs!$H$10</f>
        <v>0</v>
      </c>
    </row>
    <row r="19" spans="1:4" ht="15" customHeight="1" x14ac:dyDescent="0.2">
      <c r="A19" s="15" t="s">
        <v>1497</v>
      </c>
      <c r="B19" s="112" t="str">
        <f>IFERROR(Annual!D11/(B18*12),"n/a")</f>
        <v>n/a</v>
      </c>
      <c r="C19" s="101"/>
      <c r="D19" s="15" t="s">
        <v>1498</v>
      </c>
    </row>
    <row r="20" spans="1:4" x14ac:dyDescent="0.2">
      <c r="B20" s="101"/>
      <c r="C20" s="101"/>
    </row>
    <row r="21" spans="1:4" ht="15" customHeight="1" x14ac:dyDescent="0.2">
      <c r="A21" s="12" t="s">
        <v>1499</v>
      </c>
      <c r="B21" s="101"/>
      <c r="C21" s="101"/>
    </row>
    <row r="22" spans="1:4" ht="15" customHeight="1" x14ac:dyDescent="0.2">
      <c r="A22" s="15" t="s">
        <v>1500</v>
      </c>
      <c r="B22" s="99">
        <f>Inputs!$H$87*Inputs!$H$86</f>
        <v>2500000000</v>
      </c>
      <c r="C22" s="108">
        <f>B22/Inputs!$H$10</f>
        <v>115740.74074074074</v>
      </c>
    </row>
    <row r="23" spans="1:4" ht="15" customHeight="1" x14ac:dyDescent="0.2">
      <c r="A23" s="15" t="s">
        <v>1501</v>
      </c>
      <c r="B23" s="113" t="str">
        <f>IF(B8&gt;=B22,"OK – equity covers paid-up capital","SHORT by "&amp;TEXT(B22-B8,"#,##0")&amp;" IDR")</f>
        <v>OK – equity covers paid-up capital</v>
      </c>
      <c r="C23" s="101"/>
    </row>
    <row r="24" spans="1:4" ht="15" customHeight="1" x14ac:dyDescent="0.2">
      <c r="A24" s="15" t="s">
        <v>1502</v>
      </c>
      <c r="B24" s="99">
        <f>Inputs!$H$88*Inputs!$H$86</f>
        <v>10000000000</v>
      </c>
      <c r="C24" s="108">
        <f>B24/Inputs!$H$10</f>
        <v>462962.96296296298</v>
      </c>
    </row>
    <row r="25" spans="1:4" ht="15" customHeight="1" x14ac:dyDescent="0.2">
      <c r="A25" s="15" t="s">
        <v>1503</v>
      </c>
      <c r="B25" s="114">
        <f>B7/B24</f>
        <v>0.42662461298749998</v>
      </c>
      <c r="C25" s="101"/>
      <c r="D25" s="15" t="s">
        <v>1504</v>
      </c>
    </row>
    <row r="26" spans="1:4" x14ac:dyDescent="0.2">
      <c r="B26" s="101"/>
      <c r="C26" s="101"/>
    </row>
    <row r="27" spans="1:4" ht="15" customHeight="1" x14ac:dyDescent="0.2">
      <c r="A27" s="11" t="s">
        <v>1505</v>
      </c>
    </row>
    <row r="32" spans="1:4" ht="15.75" customHeight="1" x14ac:dyDescent="0.2">
      <c r="A32" s="118" t="s">
        <v>1506</v>
      </c>
    </row>
    <row r="33" spans="1:16" ht="27" customHeight="1" x14ac:dyDescent="0.2">
      <c r="A33" s="119" t="s">
        <v>114</v>
      </c>
      <c r="B33" s="119" t="s">
        <v>115</v>
      </c>
      <c r="C33" s="195" t="s">
        <v>116</v>
      </c>
      <c r="D33" s="196"/>
      <c r="E33" s="195" t="s">
        <v>117</v>
      </c>
      <c r="F33" s="196"/>
      <c r="G33" s="196"/>
      <c r="H33" s="196"/>
      <c r="I33" s="196"/>
      <c r="J33" s="196"/>
      <c r="K33" s="196"/>
      <c r="L33" s="196"/>
      <c r="M33" s="196"/>
      <c r="N33" s="195" t="s">
        <v>22</v>
      </c>
      <c r="O33" s="196"/>
      <c r="P33" s="196"/>
    </row>
    <row r="34" spans="1:16" ht="15" customHeight="1" x14ac:dyDescent="0.2">
      <c r="A34" s="9" t="s">
        <v>1507</v>
      </c>
      <c r="B34" s="4">
        <f>Funding!B7</f>
        <v>4266246129.875</v>
      </c>
      <c r="C34" s="197" t="s">
        <v>1508</v>
      </c>
      <c r="D34" s="199"/>
      <c r="E34" s="197" t="s">
        <v>1509</v>
      </c>
      <c r="F34" s="198"/>
      <c r="G34" s="198"/>
      <c r="H34" s="198"/>
      <c r="I34" s="198"/>
      <c r="J34" s="198"/>
      <c r="K34" s="198"/>
      <c r="L34" s="198"/>
      <c r="M34" s="199"/>
      <c r="N34" s="204" t="s">
        <v>27</v>
      </c>
      <c r="O34" s="198"/>
      <c r="P34" s="199"/>
    </row>
    <row r="35" spans="1:16" ht="15" customHeight="1" x14ac:dyDescent="0.2">
      <c r="A35" s="9" t="s">
        <v>1510</v>
      </c>
      <c r="B35" s="4">
        <f>Funding!B8</f>
        <v>4320000000</v>
      </c>
      <c r="C35" s="197" t="s">
        <v>1511</v>
      </c>
      <c r="D35" s="199"/>
      <c r="E35" s="197" t="s">
        <v>1512</v>
      </c>
      <c r="F35" s="198"/>
      <c r="G35" s="198"/>
      <c r="H35" s="198"/>
      <c r="I35" s="198"/>
      <c r="J35" s="198"/>
      <c r="K35" s="198"/>
      <c r="L35" s="198"/>
      <c r="M35" s="199"/>
      <c r="N35" s="200" t="s">
        <v>234</v>
      </c>
      <c r="O35" s="198"/>
      <c r="P35" s="199"/>
    </row>
    <row r="36" spans="1:16" ht="15" customHeight="1" x14ac:dyDescent="0.2">
      <c r="A36" s="9" t="s">
        <v>1513</v>
      </c>
      <c r="B36" s="2">
        <f>Funding!B16</f>
        <v>0.105</v>
      </c>
      <c r="C36" s="197" t="s">
        <v>1514</v>
      </c>
      <c r="D36" s="199"/>
      <c r="E36" s="197" t="s">
        <v>1515</v>
      </c>
      <c r="F36" s="198"/>
      <c r="G36" s="198"/>
      <c r="H36" s="198"/>
      <c r="I36" s="198"/>
      <c r="J36" s="198"/>
      <c r="K36" s="198"/>
      <c r="L36" s="198"/>
      <c r="M36" s="199"/>
      <c r="N36" s="201" t="s">
        <v>257</v>
      </c>
      <c r="O36" s="198"/>
      <c r="P36" s="199"/>
    </row>
    <row r="37" spans="1:16" ht="15" customHeight="1" x14ac:dyDescent="0.2">
      <c r="A37" s="9" t="s">
        <v>1516</v>
      </c>
      <c r="B37" s="1" t="str">
        <f>Funding!B19</f>
        <v>n/a</v>
      </c>
      <c r="C37" s="197" t="s">
        <v>125</v>
      </c>
      <c r="D37" s="199"/>
      <c r="E37" s="197" t="s">
        <v>1517</v>
      </c>
      <c r="F37" s="198"/>
      <c r="G37" s="198"/>
      <c r="H37" s="198"/>
      <c r="I37" s="198"/>
      <c r="J37" s="198"/>
      <c r="K37" s="198"/>
      <c r="L37" s="198"/>
      <c r="M37" s="199"/>
      <c r="N37" s="205" t="s">
        <v>127</v>
      </c>
      <c r="O37" s="198"/>
      <c r="P37" s="199"/>
    </row>
    <row r="38" spans="1:16" ht="15" customHeight="1" x14ac:dyDescent="0.2">
      <c r="A38" s="9" t="s">
        <v>1518</v>
      </c>
      <c r="B38" s="4">
        <f>Funding!B22</f>
        <v>2500000000</v>
      </c>
      <c r="C38" s="197" t="s">
        <v>230</v>
      </c>
      <c r="D38" s="199"/>
      <c r="E38" s="197" t="s">
        <v>1519</v>
      </c>
      <c r="F38" s="198"/>
      <c r="G38" s="198"/>
      <c r="H38" s="198"/>
      <c r="I38" s="198"/>
      <c r="J38" s="198"/>
      <c r="K38" s="198"/>
      <c r="L38" s="198"/>
      <c r="M38" s="199"/>
      <c r="N38" s="201" t="s">
        <v>131</v>
      </c>
      <c r="O38" s="198"/>
      <c r="P38" s="199"/>
    </row>
  </sheetData>
  <mergeCells count="18">
    <mergeCell ref="E34:M34"/>
    <mergeCell ref="E35:M35"/>
    <mergeCell ref="C35:D35"/>
    <mergeCell ref="E38:M38"/>
    <mergeCell ref="C34:D34"/>
    <mergeCell ref="N38:P38"/>
    <mergeCell ref="N33:P33"/>
    <mergeCell ref="C38:D38"/>
    <mergeCell ref="E33:M33"/>
    <mergeCell ref="C33:D33"/>
    <mergeCell ref="E37:M37"/>
    <mergeCell ref="N36:P36"/>
    <mergeCell ref="E36:M36"/>
    <mergeCell ref="C37:D37"/>
    <mergeCell ref="C36:D36"/>
    <mergeCell ref="N37:P37"/>
    <mergeCell ref="N35:P35"/>
    <mergeCell ref="N34:P34"/>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AD47"/>
  </sheetPr>
  <dimension ref="A1:S70"/>
  <sheetViews>
    <sheetView showGridLines="0" zoomScaleNormal="100" workbookViewId="0">
      <pane xSplit="2" ySplit="4" topLeftCell="C50" activePane="bottomRight" state="frozen"/>
      <selection pane="topRight" activeCell="C1" sqref="C1"/>
      <selection pane="bottomLeft" activeCell="A5" sqref="A5"/>
      <selection pane="bottomRight" activeCell="C51" sqref="C51"/>
    </sheetView>
  </sheetViews>
  <sheetFormatPr baseColWidth="10" defaultColWidth="8.6640625" defaultRowHeight="15" x14ac:dyDescent="0.2"/>
  <cols>
    <col min="1" max="1" width="52" customWidth="1"/>
    <col min="2" max="2" width="10" customWidth="1"/>
    <col min="3" max="6" width="17" customWidth="1"/>
    <col min="7" max="7" width="40" customWidth="1"/>
  </cols>
  <sheetData>
    <row r="1" spans="1:7" ht="17.25" customHeight="1" x14ac:dyDescent="0.2">
      <c r="A1" s="115" t="s">
        <v>1520</v>
      </c>
    </row>
    <row r="2" spans="1:7" ht="15" customHeight="1" x14ac:dyDescent="0.2">
      <c r="A2" s="11" t="s">
        <v>1521</v>
      </c>
    </row>
    <row r="3" spans="1:7" ht="15.75" customHeight="1" x14ac:dyDescent="0.2">
      <c r="A3" s="98" t="s">
        <v>1522</v>
      </c>
      <c r="B3" s="97"/>
      <c r="C3" s="97"/>
    </row>
    <row r="4" spans="1:7" ht="15" customHeight="1" x14ac:dyDescent="0.2">
      <c r="A4" s="117" t="s">
        <v>1523</v>
      </c>
      <c r="B4" s="117" t="s">
        <v>244</v>
      </c>
      <c r="C4" s="117" t="s">
        <v>196</v>
      </c>
      <c r="D4" s="117" t="s">
        <v>197</v>
      </c>
      <c r="E4" s="117" t="s">
        <v>198</v>
      </c>
      <c r="F4" s="117" t="s">
        <v>245</v>
      </c>
      <c r="G4" s="117" t="s">
        <v>1017</v>
      </c>
    </row>
    <row r="5" spans="1:7" ht="15" customHeight="1" x14ac:dyDescent="0.2">
      <c r="A5" s="125" t="s">
        <v>1524</v>
      </c>
      <c r="B5" s="121"/>
      <c r="C5" s="121"/>
      <c r="D5" s="121"/>
      <c r="E5" s="121"/>
      <c r="F5" s="121"/>
      <c r="G5" s="121"/>
    </row>
    <row r="6" spans="1:7" ht="15" customHeight="1" x14ac:dyDescent="0.2">
      <c r="A6" s="15" t="s">
        <v>1525</v>
      </c>
      <c r="B6" s="15" t="s">
        <v>300</v>
      </c>
      <c r="C6" s="18">
        <f>Inputs!$E$33+Inputs!$E$35+Inputs!$E$37+Inputs!$E$39</f>
        <v>155</v>
      </c>
      <c r="D6" s="18">
        <f>Inputs!$F$33+Inputs!$F$35+Inputs!$F$37+Inputs!$F$39</f>
        <v>200</v>
      </c>
      <c r="E6" s="18">
        <f>Inputs!$G$33+Inputs!$G$35+Inputs!$G$37+Inputs!$G$39</f>
        <v>255</v>
      </c>
      <c r="F6" s="69">
        <f>CHOOSE(Inputs!$D$4,C6,D6,E6)</f>
        <v>200</v>
      </c>
      <c r="G6" s="15"/>
    </row>
    <row r="7" spans="1:7" ht="15" customHeight="1" x14ac:dyDescent="0.2">
      <c r="A7" s="15" t="s">
        <v>1526</v>
      </c>
      <c r="B7" s="15" t="s">
        <v>171</v>
      </c>
      <c r="C7" s="16">
        <f>Inputs!$E$33*Inputs!$E$34+Inputs!$E$35*Inputs!$E$36+Inputs!$E$37*Inputs!$E$38+Inputs!$E$39*Inputs!$E$40</f>
        <v>14400000</v>
      </c>
      <c r="D7" s="16">
        <f>Inputs!$F$33*Inputs!$F$34+Inputs!$F$35*Inputs!$F$36+Inputs!$F$37*Inputs!$F$38+Inputs!$F$39*Inputs!$F$40</f>
        <v>20675000</v>
      </c>
      <c r="E7" s="16">
        <f>Inputs!$G$33*Inputs!$G$34+Inputs!$G$35*Inputs!$G$36+Inputs!$G$37*Inputs!$G$38+Inputs!$G$39*Inputs!$G$40</f>
        <v>29550000</v>
      </c>
      <c r="F7" s="70">
        <f>CHOOSE(Inputs!$D$4,C7,D7,E7)</f>
        <v>20675000</v>
      </c>
      <c r="G7" s="15"/>
    </row>
    <row r="8" spans="1:7" ht="15" customHeight="1" x14ac:dyDescent="0.2">
      <c r="A8" s="15" t="s">
        <v>1527</v>
      </c>
      <c r="B8" s="15" t="s">
        <v>171</v>
      </c>
      <c r="C8" s="53">
        <f>C7/C6</f>
        <v>92903.225806451606</v>
      </c>
      <c r="D8" s="53">
        <f>D7/D6</f>
        <v>103375</v>
      </c>
      <c r="E8" s="53">
        <f>E7/E6</f>
        <v>115882.35294117648</v>
      </c>
      <c r="F8" s="70">
        <f>CHOOSE(Inputs!$D$4,C8,D8,E8)</f>
        <v>103375</v>
      </c>
      <c r="G8" s="15"/>
    </row>
    <row r="9" spans="1:7" ht="15" customHeight="1" x14ac:dyDescent="0.2">
      <c r="A9" s="15" t="s">
        <v>1528</v>
      </c>
      <c r="B9" s="15" t="s">
        <v>171</v>
      </c>
      <c r="C9" s="16">
        <f>Inputs!$E$41*Inputs!$E$42</f>
        <v>1500000</v>
      </c>
      <c r="D9" s="16">
        <f>Inputs!$F$41*Inputs!$F$42</f>
        <v>2875000</v>
      </c>
      <c r="E9" s="16">
        <f>Inputs!$G$41*Inputs!$G$42</f>
        <v>4550000</v>
      </c>
      <c r="F9" s="70">
        <f>CHOOSE(Inputs!$D$4,C9,D9,E9)</f>
        <v>2875000</v>
      </c>
      <c r="G9" s="15"/>
    </row>
    <row r="10" spans="1:7" ht="15" customHeight="1" x14ac:dyDescent="0.2">
      <c r="A10" s="15" t="s">
        <v>1529</v>
      </c>
      <c r="B10" s="15" t="s">
        <v>171</v>
      </c>
      <c r="C10" s="16">
        <f>(C7+C9)*Inputs!$E$12</f>
        <v>477000000</v>
      </c>
      <c r="D10" s="16">
        <f>(D7+D9)*Inputs!$F$12</f>
        <v>706500000</v>
      </c>
      <c r="E10" s="16">
        <f>(E7+E9)*Inputs!$G$12</f>
        <v>1023000000</v>
      </c>
      <c r="F10" s="70">
        <f>CHOOSE(Inputs!$D$4,C10,D10,E10)</f>
        <v>706500000</v>
      </c>
      <c r="G10" s="15"/>
    </row>
    <row r="11" spans="1:7" ht="15" customHeight="1" x14ac:dyDescent="0.2">
      <c r="A11" s="15" t="s">
        <v>916</v>
      </c>
      <c r="B11" s="15" t="s">
        <v>171</v>
      </c>
      <c r="C11" s="16">
        <f>Inputs!$E$44</f>
        <v>0</v>
      </c>
      <c r="D11" s="16">
        <f>Inputs!$F$44</f>
        <v>15000000</v>
      </c>
      <c r="E11" s="16">
        <f>Inputs!$G$44</f>
        <v>25000000</v>
      </c>
      <c r="F11" s="70">
        <f>CHOOSE(Inputs!$D$4,C11,D11,E11)</f>
        <v>15000000</v>
      </c>
      <c r="G11" s="15"/>
    </row>
    <row r="12" spans="1:7" ht="15" customHeight="1" x14ac:dyDescent="0.2">
      <c r="A12" s="15" t="s">
        <v>917</v>
      </c>
      <c r="B12" s="15" t="s">
        <v>171</v>
      </c>
      <c r="C12" s="16">
        <f>C10*Inputs!$E$45</f>
        <v>4770000</v>
      </c>
      <c r="D12" s="16">
        <f>D10*Inputs!$F$45</f>
        <v>14130000</v>
      </c>
      <c r="E12" s="16">
        <f>E10*Inputs!$G$45</f>
        <v>35805000</v>
      </c>
      <c r="F12" s="70">
        <f>CHOOSE(Inputs!$D$4,C12,D12,E12)</f>
        <v>14130000</v>
      </c>
      <c r="G12" s="15"/>
    </row>
    <row r="13" spans="1:7" ht="15" customHeight="1" x14ac:dyDescent="0.2">
      <c r="A13" s="12" t="s">
        <v>1530</v>
      </c>
      <c r="B13" s="15" t="s">
        <v>171</v>
      </c>
      <c r="C13" s="59">
        <f>C10+C11+C12</f>
        <v>481770000</v>
      </c>
      <c r="D13" s="59">
        <f>D10+D11+D12</f>
        <v>735630000</v>
      </c>
      <c r="E13" s="59">
        <f>E10+E11+E12</f>
        <v>1083805000</v>
      </c>
      <c r="F13" s="70">
        <f>CHOOSE(Inputs!$D$4,C13,D13,E13)</f>
        <v>735630000</v>
      </c>
      <c r="G13" s="15"/>
    </row>
    <row r="14" spans="1:7" ht="15" customHeight="1" x14ac:dyDescent="0.2">
      <c r="A14" s="15" t="s">
        <v>1531</v>
      </c>
      <c r="B14" s="15" t="s">
        <v>172</v>
      </c>
      <c r="C14" s="17">
        <f>C13*12/Inputs!$E$10</f>
        <v>282011.70731707319</v>
      </c>
      <c r="D14" s="17">
        <f>D13*12/Inputs!$F$10</f>
        <v>408683.33333333331</v>
      </c>
      <c r="E14" s="17">
        <f>E13*12/Inputs!$G$10</f>
        <v>578029.33333333337</v>
      </c>
      <c r="F14" s="71">
        <f>CHOOSE(Inputs!$D$4,C14,D14,E14)</f>
        <v>408683.33333333331</v>
      </c>
      <c r="G14" s="15"/>
    </row>
    <row r="15" spans="1:7" ht="15" customHeight="1" x14ac:dyDescent="0.2">
      <c r="A15" s="120" t="s">
        <v>1532</v>
      </c>
      <c r="B15" s="121"/>
      <c r="C15" s="121"/>
      <c r="D15" s="121"/>
      <c r="E15" s="121"/>
      <c r="F15" s="121"/>
      <c r="G15" s="121"/>
    </row>
    <row r="16" spans="1:7" ht="15" customHeight="1" x14ac:dyDescent="0.2">
      <c r="A16" s="15" t="s">
        <v>1533</v>
      </c>
      <c r="B16" s="15" t="s">
        <v>171</v>
      </c>
      <c r="C16" s="16">
        <f>C10*(Menu!$E$29+Inputs!$E$49)+C11*Inputs!$E$50+C12*Inputs!$E$51</f>
        <v>153668703.95525369</v>
      </c>
      <c r="D16" s="16">
        <f>D10*(Menu!$E$29+Inputs!$F$49)+D11*Inputs!$F$50+D12*Inputs!$F$51</f>
        <v>215191146.42429087</v>
      </c>
      <c r="E16" s="16">
        <f>E10*(Menu!$E$29+Inputs!$G$49)+E11*Inputs!$G$50+E12*Inputs!$G$51</f>
        <v>297680714.14302838</v>
      </c>
      <c r="F16" s="70">
        <f>CHOOSE(Inputs!$D$4,C16,D16,E16)</f>
        <v>215191146.42429087</v>
      </c>
      <c r="G16" s="15"/>
    </row>
    <row r="17" spans="1:7" ht="15" customHeight="1" x14ac:dyDescent="0.2">
      <c r="A17" s="15" t="s">
        <v>1534</v>
      </c>
      <c r="B17" s="15" t="s">
        <v>171</v>
      </c>
      <c r="C17" s="16">
        <f>(C7*Inputs!$E$43+C9)*Inputs!$E$12*Inputs!$E$52</f>
        <v>10476000</v>
      </c>
      <c r="D17" s="16">
        <f>(D7*Inputs!$F$43+D9)*Inputs!$F$12*Inputs!$F$52</f>
        <v>13616250</v>
      </c>
      <c r="E17" s="16">
        <f>(E7*Inputs!$G$43+E9)*Inputs!$G$12*Inputs!$G$52</f>
        <v>16098000</v>
      </c>
      <c r="F17" s="70">
        <f>CHOOSE(Inputs!$D$4,C17,D17,E17)</f>
        <v>13616250</v>
      </c>
      <c r="G17" s="15"/>
    </row>
    <row r="18" spans="1:7" ht="15" customHeight="1" x14ac:dyDescent="0.2">
      <c r="A18" s="15" t="s">
        <v>1535</v>
      </c>
      <c r="B18" s="15" t="s">
        <v>171</v>
      </c>
      <c r="C18" s="16">
        <f>C10*Inputs!$E$53</f>
        <v>9540000</v>
      </c>
      <c r="D18" s="16">
        <f>D10*Inputs!$F$53</f>
        <v>10597500</v>
      </c>
      <c r="E18" s="16">
        <f>E10*Inputs!$G$53</f>
        <v>10230000</v>
      </c>
      <c r="F18" s="70">
        <f>CHOOSE(Inputs!$D$4,C18,D18,E18)</f>
        <v>10597500</v>
      </c>
      <c r="G18" s="15"/>
    </row>
    <row r="19" spans="1:7" ht="15" customHeight="1" x14ac:dyDescent="0.2">
      <c r="A19" s="15" t="s">
        <v>1536</v>
      </c>
      <c r="B19" s="15" t="s">
        <v>171</v>
      </c>
      <c r="C19" s="16">
        <f>C9*Inputs!$E$12*Inputs!$E$54*(1+Inputs!$E$18)</f>
        <v>13986000.000000004</v>
      </c>
      <c r="D19" s="16">
        <f>D9*Inputs!$F$12*Inputs!$F$54*(1+Inputs!$F$18)</f>
        <v>22019625.000000004</v>
      </c>
      <c r="E19" s="16">
        <f>E9*Inputs!$G$12*Inputs!$G$54*(1+Inputs!$G$18)</f>
        <v>30303000.000000004</v>
      </c>
      <c r="F19" s="70">
        <f>CHOOSE(Inputs!$D$4,C19,D19,E19)</f>
        <v>22019625.000000004</v>
      </c>
      <c r="G19" s="15"/>
    </row>
    <row r="20" spans="1:7" ht="15" customHeight="1" x14ac:dyDescent="0.2">
      <c r="A20" s="15" t="s">
        <v>1537</v>
      </c>
      <c r="B20" s="15" t="s">
        <v>171</v>
      </c>
      <c r="C20" s="16">
        <f>(C13-C9*Inputs!$E$12)*Inputs!$E$55</f>
        <v>6551550</v>
      </c>
      <c r="D20" s="16">
        <f>(D13-D9*Inputs!$F$12)*Inputs!$F$55</f>
        <v>7792560</v>
      </c>
      <c r="E20" s="16">
        <f>(E13-E9*Inputs!$G$12)*Inputs!$G$55</f>
        <v>8525745</v>
      </c>
      <c r="F20" s="70">
        <f>CHOOSE(Inputs!$D$4,C20,D20,E20)</f>
        <v>7792560</v>
      </c>
      <c r="G20" s="15"/>
    </row>
    <row r="21" spans="1:7" ht="15" customHeight="1" x14ac:dyDescent="0.2">
      <c r="A21" s="15" t="s">
        <v>1538</v>
      </c>
      <c r="B21" s="15" t="s">
        <v>171</v>
      </c>
      <c r="C21" s="16">
        <f>C13*(Inputs!$E$56+Inputs!$E$57+Inputs!$E$58+Inputs!$E$59)</f>
        <v>36132750</v>
      </c>
      <c r="D21" s="16">
        <f>D13*(Inputs!$F$56+Inputs!$F$57+Inputs!$F$58+Inputs!$F$59)</f>
        <v>40459650</v>
      </c>
      <c r="E21" s="16">
        <f>E13*(Inputs!$G$56+Inputs!$G$57+Inputs!$G$58+Inputs!$G$59)</f>
        <v>43352200</v>
      </c>
      <c r="F21" s="70">
        <f>CHOOSE(Inputs!$D$4,C21,D21,E21)</f>
        <v>40459650</v>
      </c>
      <c r="G21" s="15"/>
    </row>
    <row r="22" spans="1:7" ht="15" customHeight="1" x14ac:dyDescent="0.2">
      <c r="A22" s="12" t="s">
        <v>1539</v>
      </c>
      <c r="B22" s="15" t="s">
        <v>171</v>
      </c>
      <c r="C22" s="59">
        <f>SUM(C16:C21)</f>
        <v>230355003.95525369</v>
      </c>
      <c r="D22" s="59">
        <f>SUM(D16:D21)</f>
        <v>309676731.4242909</v>
      </c>
      <c r="E22" s="59">
        <f>SUM(E16:E21)</f>
        <v>406189659.14302838</v>
      </c>
      <c r="F22" s="70">
        <f>CHOOSE(Inputs!$D$4,C22,D22,E22)</f>
        <v>309676731.4242909</v>
      </c>
      <c r="G22" s="15"/>
    </row>
    <row r="23" spans="1:7" ht="15" customHeight="1" x14ac:dyDescent="0.2">
      <c r="A23" s="12" t="s">
        <v>1540</v>
      </c>
      <c r="B23" s="15" t="s">
        <v>171</v>
      </c>
      <c r="C23" s="59">
        <f>C13-C22</f>
        <v>251414996.04474631</v>
      </c>
      <c r="D23" s="59">
        <f>D13-D22</f>
        <v>425953268.5757091</v>
      </c>
      <c r="E23" s="59">
        <f>E13-E22</f>
        <v>677615340.85697162</v>
      </c>
      <c r="F23" s="70">
        <f>CHOOSE(Inputs!$D$4,C23,D23,E23)</f>
        <v>425953268.5757091</v>
      </c>
      <c r="G23" s="15"/>
    </row>
    <row r="24" spans="1:7" ht="15" customHeight="1" x14ac:dyDescent="0.2">
      <c r="A24" s="15" t="s">
        <v>1541</v>
      </c>
      <c r="B24" s="15" t="s">
        <v>272</v>
      </c>
      <c r="C24" s="55">
        <f>C23/C13</f>
        <v>0.52185689446156114</v>
      </c>
      <c r="D24" s="55">
        <f>D23/D13</f>
        <v>0.57903194347118669</v>
      </c>
      <c r="E24" s="55">
        <f>E23/E13</f>
        <v>0.62521887318933911</v>
      </c>
      <c r="F24" s="65">
        <f>CHOOSE(Inputs!$D$4,C24,D24,E24)</f>
        <v>0.57903194347118669</v>
      </c>
      <c r="G24" s="15"/>
    </row>
    <row r="25" spans="1:7" ht="15" customHeight="1" x14ac:dyDescent="0.2">
      <c r="A25" s="120" t="s">
        <v>1542</v>
      </c>
      <c r="B25" s="121"/>
      <c r="C25" s="121"/>
      <c r="D25" s="121"/>
      <c r="E25" s="121"/>
      <c r="F25" s="121"/>
      <c r="G25" s="121"/>
    </row>
    <row r="26" spans="1:7" ht="15" customHeight="1" x14ac:dyDescent="0.2">
      <c r="A26" s="15" t="s">
        <v>1543</v>
      </c>
      <c r="B26" s="15" t="s">
        <v>171</v>
      </c>
      <c r="C26" s="16">
        <f>Staffing!$J$17*Inputs!$E$62*(1+Inputs!$E$63+Inputs!$E$64)+Staffing!$B$15*Inputs!$E$65</f>
        <v>185573283</v>
      </c>
      <c r="D26" s="16">
        <f>Staffing!$J$17*Inputs!$F$62*(1+Inputs!$F$63+Inputs!$F$64)+Staffing!$B$15*Inputs!$F$65</f>
        <v>166907330</v>
      </c>
      <c r="E26" s="16">
        <f>Staffing!$J$17*Inputs!$G$62*(1+Inputs!$G$63+Inputs!$G$64)+Staffing!$B$15*Inputs!$G$65</f>
        <v>161881030</v>
      </c>
      <c r="F26" s="70">
        <f>CHOOSE(Inputs!$D$4,C26,D26,E26)</f>
        <v>166907330</v>
      </c>
      <c r="G26" s="15"/>
    </row>
    <row r="27" spans="1:7" ht="15" customHeight="1" x14ac:dyDescent="0.2">
      <c r="A27" s="15" t="s">
        <v>1544</v>
      </c>
      <c r="B27" s="15" t="s">
        <v>171</v>
      </c>
      <c r="C27" s="16">
        <f>Inputs!$E$25*Inputs!$E$21*Inputs!$E$22*(1+Inputs!$E$27)</f>
        <v>70364535.954261959</v>
      </c>
      <c r="D27" s="16">
        <f>Inputs!$F$25*Inputs!$F$21*Inputs!$F$22*(1+Inputs!$F$27)</f>
        <v>37774218.75</v>
      </c>
      <c r="E27" s="16">
        <f>Inputs!$G$25*Inputs!$G$21*Inputs!$G$22*(1+Inputs!$G$27)</f>
        <v>30774207.589285716</v>
      </c>
      <c r="F27" s="70">
        <f>CHOOSE(Inputs!$D$4,C27,D27,E27)</f>
        <v>37774218.75</v>
      </c>
      <c r="G27" s="15"/>
    </row>
    <row r="28" spans="1:7" ht="15" customHeight="1" x14ac:dyDescent="0.2">
      <c r="A28" s="15" t="s">
        <v>1029</v>
      </c>
      <c r="B28" s="15" t="s">
        <v>171</v>
      </c>
      <c r="C28" s="16">
        <f>Inputs!$E$26*Inputs!$E$21*Inputs!$E$22</f>
        <v>0</v>
      </c>
      <c r="D28" s="16">
        <f>Inputs!$F$26*Inputs!$F$21*Inputs!$F$22</f>
        <v>0</v>
      </c>
      <c r="E28" s="16">
        <f>Inputs!$G$26*Inputs!$G$21*Inputs!$G$22</f>
        <v>0</v>
      </c>
      <c r="F28" s="70">
        <f>CHOOSE(Inputs!$D$4,C28,D28,E28)</f>
        <v>0</v>
      </c>
      <c r="G28" s="15"/>
    </row>
    <row r="29" spans="1:7" ht="15" customHeight="1" x14ac:dyDescent="0.2">
      <c r="A29" s="15" t="s">
        <v>513</v>
      </c>
      <c r="B29" s="15" t="s">
        <v>171</v>
      </c>
      <c r="C29" s="16">
        <f>Inputs!$E$73*Inputs!$E$74+Inputs!$E$75</f>
        <v>23891700</v>
      </c>
      <c r="D29" s="16">
        <f>Inputs!$F$73*Inputs!$F$74+Inputs!$F$75</f>
        <v>19002300</v>
      </c>
      <c r="E29" s="16">
        <f>Inputs!$G$73*Inputs!$G$74+Inputs!$G$75</f>
        <v>15835250</v>
      </c>
      <c r="F29" s="70">
        <f>CHOOSE(Inputs!$D$4,C29,D29,E29)</f>
        <v>19002300</v>
      </c>
      <c r="G29" s="15"/>
    </row>
    <row r="30" spans="1:7" ht="15" customHeight="1" x14ac:dyDescent="0.2">
      <c r="A30" s="15" t="s">
        <v>1545</v>
      </c>
      <c r="B30" s="15" t="s">
        <v>171</v>
      </c>
      <c r="C30" s="16">
        <f>SUM(Inputs!E67:E72)+IF(Inputs!$H$4=2,'CAPEX (Rent)'!$H$47,0)</f>
        <v>79483149.583333328</v>
      </c>
      <c r="D30" s="16">
        <f>SUM(Inputs!F67:F72)+IF(Inputs!$H$4=2,'CAPEX (Rent)'!$H$47,0)</f>
        <v>67483149.583333328</v>
      </c>
      <c r="E30" s="16">
        <f>SUM(Inputs!G67:G72)+IF(Inputs!$H$4=2,'CAPEX (Rent)'!$H$47,0)</f>
        <v>57483149.583333328</v>
      </c>
      <c r="F30" s="70">
        <f>CHOOSE(Inputs!$D$4,C30,D30,E30)</f>
        <v>67483149.583333328</v>
      </c>
      <c r="G30" s="15"/>
    </row>
    <row r="31" spans="1:7" ht="15" customHeight="1" x14ac:dyDescent="0.2">
      <c r="A31" s="12" t="s">
        <v>1546</v>
      </c>
      <c r="B31" s="15" t="s">
        <v>171</v>
      </c>
      <c r="C31" s="59">
        <f>SUM(C26:C30)</f>
        <v>359312668.53759527</v>
      </c>
      <c r="D31" s="59">
        <f>SUM(D26:D30)</f>
        <v>291166998.33333331</v>
      </c>
      <c r="E31" s="59">
        <f>SUM(E26:E30)</f>
        <v>265973637.17261904</v>
      </c>
      <c r="F31" s="70">
        <f>CHOOSE(Inputs!$D$4,C31,D31,E31)</f>
        <v>291166998.33333331</v>
      </c>
      <c r="G31" s="15"/>
    </row>
    <row r="32" spans="1:7" ht="15" customHeight="1" x14ac:dyDescent="0.2">
      <c r="A32" s="15" t="s">
        <v>1547</v>
      </c>
      <c r="B32" s="15" t="s">
        <v>171</v>
      </c>
      <c r="C32" s="53">
        <f>C31-C27-C28</f>
        <v>288948132.58333331</v>
      </c>
      <c r="D32" s="53">
        <f>D31-D27-D28</f>
        <v>253392779.58333331</v>
      </c>
      <c r="E32" s="53">
        <f>E31-E27-E28</f>
        <v>235199429.58333331</v>
      </c>
      <c r="F32" s="70">
        <f>CHOOSE(Inputs!$D$4,C32,D32,E32)</f>
        <v>253392779.58333331</v>
      </c>
      <c r="G32" s="15"/>
    </row>
    <row r="33" spans="1:7" ht="15" customHeight="1" x14ac:dyDescent="0.2">
      <c r="A33" s="120" t="s">
        <v>1548</v>
      </c>
      <c r="B33" s="121"/>
      <c r="C33" s="121"/>
      <c r="D33" s="121"/>
      <c r="E33" s="121"/>
      <c r="F33" s="121"/>
      <c r="G33" s="121"/>
    </row>
    <row r="34" spans="1:7" ht="15" customHeight="1" x14ac:dyDescent="0.2">
      <c r="A34" s="12" t="s">
        <v>1549</v>
      </c>
      <c r="B34" s="15" t="s">
        <v>171</v>
      </c>
      <c r="C34" s="59">
        <f>C23-C31</f>
        <v>-107897672.49284896</v>
      </c>
      <c r="D34" s="59">
        <f>D23-D31</f>
        <v>134786270.24237579</v>
      </c>
      <c r="E34" s="59">
        <f>E23-E31</f>
        <v>411641703.68435258</v>
      </c>
      <c r="F34" s="70">
        <f>CHOOSE(Inputs!$D$4,C34,D34,E34)</f>
        <v>134786270.24237579</v>
      </c>
      <c r="G34" s="15"/>
    </row>
    <row r="35" spans="1:7" ht="15" customHeight="1" x14ac:dyDescent="0.2">
      <c r="A35" s="15" t="s">
        <v>201</v>
      </c>
      <c r="B35" s="15" t="s">
        <v>272</v>
      </c>
      <c r="C35" s="55">
        <f>C34/C13</f>
        <v>-0.22396096164736071</v>
      </c>
      <c r="D35" s="55">
        <f>D34/D13</f>
        <v>0.18322563006181883</v>
      </c>
      <c r="E35" s="55">
        <f>E34/E13</f>
        <v>0.37981159312270435</v>
      </c>
      <c r="F35" s="65">
        <f>CHOOSE(Inputs!$D$4,C35,D35,E35)</f>
        <v>0.18322563006181883</v>
      </c>
      <c r="G35" s="15"/>
    </row>
    <row r="36" spans="1:7" ht="15" customHeight="1" x14ac:dyDescent="0.2">
      <c r="A36" s="15" t="s">
        <v>1550</v>
      </c>
      <c r="B36" s="15" t="s">
        <v>172</v>
      </c>
      <c r="C36" s="17">
        <f>C34*12/Inputs!$E$10</f>
        <v>-63159.613166545729</v>
      </c>
      <c r="D36" s="17">
        <f>D34*12/Inputs!$F$10</f>
        <v>74881.261245764326</v>
      </c>
      <c r="E36" s="17">
        <f>E34*12/Inputs!$G$10</f>
        <v>219542.24196498803</v>
      </c>
      <c r="F36" s="71">
        <f>CHOOSE(Inputs!$D$4,C36,D36,E36)</f>
        <v>74881.261245764326</v>
      </c>
      <c r="G36" s="15"/>
    </row>
    <row r="37" spans="1:7" ht="15" customHeight="1" x14ac:dyDescent="0.2">
      <c r="A37" s="15" t="s">
        <v>1551</v>
      </c>
      <c r="B37" s="15" t="s">
        <v>272</v>
      </c>
      <c r="C37" s="55">
        <f>C16/C13</f>
        <v>0.31896694263913006</v>
      </c>
      <c r="D37" s="55">
        <f>D16/D13</f>
        <v>0.2925263331080718</v>
      </c>
      <c r="E37" s="55">
        <f>E16/E13</f>
        <v>0.27466261379402052</v>
      </c>
      <c r="F37" s="65">
        <f>CHOOSE(Inputs!$D$4,C37,D37,E37)</f>
        <v>0.2925263331080718</v>
      </c>
      <c r="G37" s="15"/>
    </row>
    <row r="38" spans="1:7" ht="15" customHeight="1" x14ac:dyDescent="0.2">
      <c r="A38" s="15" t="s">
        <v>1552</v>
      </c>
      <c r="B38" s="15" t="s">
        <v>272</v>
      </c>
      <c r="C38" s="55">
        <f>C26/C13</f>
        <v>0.38519061585403824</v>
      </c>
      <c r="D38" s="55">
        <f>D26/D13</f>
        <v>0.22689032529940323</v>
      </c>
      <c r="E38" s="55">
        <f>E26/E13</f>
        <v>0.14936361245796062</v>
      </c>
      <c r="F38" s="65">
        <f>CHOOSE(Inputs!$D$4,C38,D38,E38)</f>
        <v>0.22689032529940323</v>
      </c>
      <c r="G38" s="15"/>
    </row>
    <row r="39" spans="1:7" ht="15" customHeight="1" x14ac:dyDescent="0.2">
      <c r="A39" s="15" t="s">
        <v>188</v>
      </c>
      <c r="B39" s="15" t="s">
        <v>272</v>
      </c>
      <c r="C39" s="55">
        <f>(C16+C26)/C13</f>
        <v>0.70415755849316841</v>
      </c>
      <c r="D39" s="55">
        <f>(D16+D26)/D13</f>
        <v>0.51941665840747508</v>
      </c>
      <c r="E39" s="55">
        <f>(E16+E26)/E13</f>
        <v>0.42402622625198111</v>
      </c>
      <c r="F39" s="65">
        <f>CHOOSE(Inputs!$D$4,C39,D39,E39)</f>
        <v>0.51941665840747508</v>
      </c>
      <c r="G39" s="15" t="s">
        <v>1553</v>
      </c>
    </row>
    <row r="40" spans="1:7" ht="15" customHeight="1" x14ac:dyDescent="0.2">
      <c r="A40" s="15" t="s">
        <v>189</v>
      </c>
      <c r="B40" s="15" t="s">
        <v>272</v>
      </c>
      <c r="C40" s="55">
        <f>(C27+C28)/C13</f>
        <v>0.14605420834477439</v>
      </c>
      <c r="D40" s="55">
        <f>(D27+D28)/D13</f>
        <v>5.1349481057053135E-2</v>
      </c>
      <c r="E40" s="55">
        <f>(E27+E28)/E13</f>
        <v>2.8394598280397042E-2</v>
      </c>
      <c r="F40" s="65">
        <f>CHOOSE(Inputs!$D$4,C40,D40,E40)</f>
        <v>5.1349481057053135E-2</v>
      </c>
      <c r="G40" s="15" t="s">
        <v>1554</v>
      </c>
    </row>
    <row r="41" spans="1:7" ht="15" customHeight="1" x14ac:dyDescent="0.2">
      <c r="A41" s="120" t="s">
        <v>1555</v>
      </c>
      <c r="B41" s="121"/>
      <c r="C41" s="121"/>
      <c r="D41" s="121"/>
      <c r="E41" s="121"/>
      <c r="F41" s="121"/>
      <c r="G41" s="121"/>
    </row>
    <row r="42" spans="1:7" ht="15" customHeight="1" x14ac:dyDescent="0.2">
      <c r="A42" s="15" t="s">
        <v>1556</v>
      </c>
      <c r="B42" s="15" t="s">
        <v>171</v>
      </c>
      <c r="C42" s="53">
        <f>IFERROR(C31/C24,0)</f>
        <v>688527204.20284009</v>
      </c>
      <c r="D42" s="53">
        <f>IFERROR(D31/D24,0)</f>
        <v>502851356.67618328</v>
      </c>
      <c r="E42" s="53">
        <f>IFERROR(E31/E24,0)</f>
        <v>425408842.53196961</v>
      </c>
      <c r="F42" s="70">
        <f>CHOOSE(Inputs!$D$4,C42,D42,E42)</f>
        <v>502851356.67618328</v>
      </c>
      <c r="G42" s="15"/>
    </row>
    <row r="43" spans="1:7" ht="15" customHeight="1" x14ac:dyDescent="0.2">
      <c r="A43" s="12" t="s">
        <v>1557</v>
      </c>
      <c r="B43" s="15" t="s">
        <v>171</v>
      </c>
      <c r="C43" s="72">
        <f>C42/Inputs!$E$12</f>
        <v>22950906.806761336</v>
      </c>
      <c r="D43" s="72">
        <f>D42/Inputs!$F$12</f>
        <v>16761711.88920611</v>
      </c>
      <c r="E43" s="72">
        <f>E42/Inputs!$G$12</f>
        <v>14180294.751065653</v>
      </c>
      <c r="F43" s="70">
        <f>CHOOSE(Inputs!$D$4,C43,D43,E43)</f>
        <v>16761711.88920611</v>
      </c>
      <c r="G43" s="15"/>
    </row>
    <row r="44" spans="1:7" ht="15" customHeight="1" x14ac:dyDescent="0.2">
      <c r="A44" s="15" t="s">
        <v>859</v>
      </c>
      <c r="B44" s="15" t="s">
        <v>172</v>
      </c>
      <c r="C44" s="17">
        <f>C43/Inputs!$E$10</f>
        <v>1119.5564295981139</v>
      </c>
      <c r="D44" s="17">
        <f>D43/Inputs!$F$10</f>
        <v>776.00518005583842</v>
      </c>
      <c r="E44" s="17">
        <f>E43/Inputs!$G$10</f>
        <v>630.23532226958457</v>
      </c>
      <c r="F44" s="71">
        <f>CHOOSE(Inputs!$D$4,C44,D44,E44)</f>
        <v>776.00518005583842</v>
      </c>
      <c r="G44" s="15"/>
    </row>
    <row r="45" spans="1:7" ht="15" customHeight="1" x14ac:dyDescent="0.2">
      <c r="A45" s="15" t="s">
        <v>1558</v>
      </c>
      <c r="B45" s="15" t="s">
        <v>300</v>
      </c>
      <c r="C45" s="62">
        <f>C6*C42/C13</f>
        <v>221.52005448957016</v>
      </c>
      <c r="D45" s="62">
        <f>D6*D42/D13</f>
        <v>136.71311846340777</v>
      </c>
      <c r="E45" s="62">
        <f>E6*E42/E13</f>
        <v>100.09111864740636</v>
      </c>
      <c r="F45" s="69">
        <f>CHOOSE(Inputs!$D$4,C45,D45,E45)</f>
        <v>136.71311846340777</v>
      </c>
      <c r="G45" s="15"/>
    </row>
    <row r="46" spans="1:7" ht="15" customHeight="1" x14ac:dyDescent="0.2">
      <c r="A46" s="15" t="s">
        <v>1559</v>
      </c>
      <c r="B46" s="15" t="s">
        <v>272</v>
      </c>
      <c r="C46" s="55">
        <f>1-C42/C13</f>
        <v>-0.4291616418681945</v>
      </c>
      <c r="D46" s="55">
        <f>1-D42/D13</f>
        <v>0.31643440768296116</v>
      </c>
      <c r="E46" s="55">
        <f>1-E42/E13</f>
        <v>0.60748580922585749</v>
      </c>
      <c r="F46" s="65">
        <f>CHOOSE(Inputs!$D$4,C46,D46,E46)</f>
        <v>0.31643440768296116</v>
      </c>
      <c r="G46" s="15"/>
    </row>
    <row r="47" spans="1:7" ht="15" customHeight="1" x14ac:dyDescent="0.2">
      <c r="A47" s="120" t="s">
        <v>1560</v>
      </c>
      <c r="B47" s="121"/>
      <c r="C47" s="121"/>
      <c r="D47" s="121"/>
      <c r="E47" s="121"/>
      <c r="F47" s="121"/>
      <c r="G47" s="121"/>
    </row>
    <row r="48" spans="1:7" ht="15" customHeight="1" x14ac:dyDescent="0.2">
      <c r="A48" s="15" t="s">
        <v>1561</v>
      </c>
      <c r="B48" s="15" t="s">
        <v>171</v>
      </c>
      <c r="C48" s="16">
        <f>CHOOSE(Inputs!$H$4,'CAPEX (Buy)'!$H$40,'CAPEX (Rent)'!$H$43)*Inputs!$E$77</f>
        <v>2062966420.3124998</v>
      </c>
      <c r="D48" s="16">
        <f>CHOOSE(Inputs!$H$4,'CAPEX (Buy)'!$H$40,'CAPEX (Rent)'!$H$43)*Inputs!$F$77</f>
        <v>1793883843.75</v>
      </c>
      <c r="E48" s="16">
        <f>CHOOSE(Inputs!$H$4,'CAPEX (Buy)'!$H$40,'CAPEX (Rent)'!$H$43)*Inputs!$G$77</f>
        <v>1704189651.5625</v>
      </c>
      <c r="F48" s="70">
        <f>CHOOSE(Inputs!$D$4,C48,D48,E48)</f>
        <v>1793883843.75</v>
      </c>
      <c r="G48" s="15"/>
    </row>
    <row r="49" spans="1:19" ht="15" customHeight="1" x14ac:dyDescent="0.2">
      <c r="A49" s="15" t="s">
        <v>1562</v>
      </c>
      <c r="B49" s="15" t="s">
        <v>171</v>
      </c>
      <c r="C49" s="16">
        <f>CHOOSE(Inputs!$H$4,'CAPEX (Buy)'!$H$41,'CAPEX (Rent)'!$H$44)+Inputs!$E$79*C26</f>
        <v>955459924.50000012</v>
      </c>
      <c r="D49" s="16">
        <f>CHOOSE(Inputs!$H$4,'CAPEX (Buy)'!$H$41,'CAPEX (Rent)'!$H$44)+Inputs!$F$79*D26</f>
        <v>844007330.00000012</v>
      </c>
      <c r="E49" s="16">
        <f>CHOOSE(Inputs!$H$4,'CAPEX (Buy)'!$H$41,'CAPEX (Rent)'!$H$44)+Inputs!$G$79*E26</f>
        <v>798510772.50000012</v>
      </c>
      <c r="F49" s="70">
        <f>CHOOSE(Inputs!$D$4,C49,D49,E49)</f>
        <v>844007330.00000012</v>
      </c>
      <c r="G49" s="15"/>
    </row>
    <row r="50" spans="1:19" ht="15" customHeight="1" x14ac:dyDescent="0.2">
      <c r="A50" s="15" t="s">
        <v>1563</v>
      </c>
      <c r="B50" s="15" t="s">
        <v>171</v>
      </c>
      <c r="C50" s="16">
        <f>Inputs!$E$78*(C48+C49)</f>
        <v>452763951.72187501</v>
      </c>
      <c r="D50" s="16">
        <f>Inputs!$F$78*(D48+D49)</f>
        <v>263789117.375</v>
      </c>
      <c r="E50" s="16">
        <f>Inputs!$G$78*(E48+E49)</f>
        <v>187702531.8046875</v>
      </c>
      <c r="F50" s="70">
        <f>CHOOSE(Inputs!$D$4,C50,D50,E50)</f>
        <v>263789117.375</v>
      </c>
      <c r="G50" s="15"/>
    </row>
    <row r="51" spans="1:19" ht="15" customHeight="1" x14ac:dyDescent="0.2">
      <c r="A51" s="15" t="s">
        <v>1564</v>
      </c>
      <c r="B51" s="15" t="s">
        <v>171</v>
      </c>
      <c r="C51" s="16">
        <f>C27*(Inputs!$E$31+Inputs!$E$29+Inputs!$E$30)+C28*Inputs!$E$31</f>
        <v>2110936078.6278586</v>
      </c>
      <c r="D51" s="16">
        <f>D27*(Inputs!$F$31+Inputs!$F$29+Inputs!$F$30)+D28*Inputs!$F$31</f>
        <v>604387500</v>
      </c>
      <c r="E51" s="16">
        <f>E27*(Inputs!$G$31+Inputs!$G$29+Inputs!$G$30)+E28*Inputs!$G$31</f>
        <v>430838906.25</v>
      </c>
      <c r="F51" s="70">
        <f>CHOOSE(Inputs!$D$4,C51,D51,E51)</f>
        <v>604387500</v>
      </c>
      <c r="G51" s="15"/>
    </row>
    <row r="52" spans="1:19" ht="15" customHeight="1" x14ac:dyDescent="0.2">
      <c r="A52" s="15" t="s">
        <v>1565</v>
      </c>
      <c r="B52" s="15" t="s">
        <v>171</v>
      </c>
      <c r="C52" s="16">
        <f>Inputs!$E$80*(C26+C30+C29)</f>
        <v>866844397.75</v>
      </c>
      <c r="D52" s="16">
        <f>Inputs!$F$80*(D26+D30+D29)</f>
        <v>760178338.75</v>
      </c>
      <c r="E52" s="16">
        <f>Inputs!$G$80*(E26+E30+E29)</f>
        <v>470398859.16666663</v>
      </c>
      <c r="F52" s="70">
        <f>CHOOSE(Inputs!$D$4,C52,D52,E52)</f>
        <v>760178338.75</v>
      </c>
      <c r="G52" s="15"/>
    </row>
    <row r="53" spans="1:19" ht="15" customHeight="1" x14ac:dyDescent="0.2">
      <c r="A53" s="12" t="s">
        <v>1566</v>
      </c>
      <c r="B53" s="15" t="s">
        <v>171</v>
      </c>
      <c r="C53" s="59">
        <f>SUM(C48:C52)</f>
        <v>6448970772.9122334</v>
      </c>
      <c r="D53" s="59">
        <f>SUM(D48:D52)</f>
        <v>4266246129.875</v>
      </c>
      <c r="E53" s="59">
        <f>SUM(E48:E52)</f>
        <v>3591640721.283854</v>
      </c>
      <c r="F53" s="70">
        <f>CHOOSE(Inputs!$D$4,C53,D53,E53)</f>
        <v>4266246129.875</v>
      </c>
      <c r="G53" s="15"/>
    </row>
    <row r="54" spans="1:19" ht="15" customHeight="1" x14ac:dyDescent="0.2">
      <c r="A54" s="12" t="s">
        <v>1567</v>
      </c>
      <c r="B54" s="15" t="s">
        <v>172</v>
      </c>
      <c r="C54" s="73">
        <f>C53/Inputs!$E$10</f>
        <v>314583.94014206016</v>
      </c>
      <c r="D54" s="73">
        <f>D53/Inputs!$F$10</f>
        <v>197511.39490162037</v>
      </c>
      <c r="E54" s="73">
        <f>E53/Inputs!$G$10</f>
        <v>159628.47650150463</v>
      </c>
      <c r="F54" s="71">
        <f>CHOOSE(Inputs!$D$4,C54,D54,E54)</f>
        <v>197511.39490162037</v>
      </c>
      <c r="G54" s="15"/>
    </row>
    <row r="55" spans="1:19" ht="15" customHeight="1" x14ac:dyDescent="0.2">
      <c r="A55" s="12" t="s">
        <v>1568</v>
      </c>
      <c r="B55" s="15" t="s">
        <v>172</v>
      </c>
      <c r="C55" s="73">
        <f>C54-Inputs!$E$82</f>
        <v>114583.94014206016</v>
      </c>
      <c r="D55" s="73">
        <f>D54-Inputs!$F$82</f>
        <v>-2488.6050983796304</v>
      </c>
      <c r="E55" s="73">
        <f>E54-Inputs!$G$82</f>
        <v>-40371.523498495371</v>
      </c>
      <c r="F55" s="71">
        <f>CHOOSE(Inputs!$D$4,C55,D55,E55)</f>
        <v>-2488.6050983796304</v>
      </c>
      <c r="G55" s="15"/>
    </row>
    <row r="56" spans="1:19" ht="15" customHeight="1" x14ac:dyDescent="0.2">
      <c r="A56" s="15" t="s">
        <v>1569</v>
      </c>
      <c r="B56" s="15" t="s">
        <v>547</v>
      </c>
      <c r="C56" s="21" t="str">
        <f>IF(C34&gt;0,C53/(C34*12*(1-Inputs!$E$16)),"never")</f>
        <v>never</v>
      </c>
      <c r="D56" s="21">
        <f>IF(D34&gt;0,D53/(D34*12*(1-Inputs!$F$16)),"never")</f>
        <v>3.3816168803871856</v>
      </c>
      <c r="E56" s="21">
        <f>IF(E34&gt;0,E53/(E34*12*(1-Inputs!$G$16)),"never")</f>
        <v>0.93217547164925219</v>
      </c>
      <c r="F56" s="74">
        <f>CHOOSE(Inputs!$D$4,C56,D56,E56)</f>
        <v>3.3816168803871856</v>
      </c>
      <c r="G56" s="15" t="s">
        <v>1570</v>
      </c>
    </row>
    <row r="58" spans="1:19" ht="15" customHeight="1" x14ac:dyDescent="0.2">
      <c r="A58" s="12" t="s">
        <v>1571</v>
      </c>
      <c r="F58" s="20" t="str">
        <f>IF(ABS(F53-CHOOSE(Inputs!$H$4,'CAPEX (Buy)'!$H$37,'CAPEX (Rent)'!$H$40))&lt;1,"OK","MISMATCH")</f>
        <v>OK</v>
      </c>
    </row>
    <row r="59" spans="1:19" ht="15" customHeight="1" x14ac:dyDescent="0.2">
      <c r="A59" s="12" t="s">
        <v>1572</v>
      </c>
      <c r="F59" s="20" t="str">
        <f>IF(ABS(F13-Revenue!$E$23)&lt;1,"OK","MISMATCH")</f>
        <v>OK</v>
      </c>
    </row>
    <row r="62" spans="1:19" ht="15.75" customHeight="1" x14ac:dyDescent="0.2">
      <c r="A62" s="118" t="s">
        <v>1573</v>
      </c>
    </row>
    <row r="63" spans="1:19" ht="27" customHeight="1" x14ac:dyDescent="0.2">
      <c r="A63" s="119" t="s">
        <v>114</v>
      </c>
      <c r="B63" s="195" t="s">
        <v>115</v>
      </c>
      <c r="C63" s="196"/>
      <c r="D63" s="195" t="s">
        <v>116</v>
      </c>
      <c r="E63" s="196"/>
      <c r="F63" s="196"/>
      <c r="G63" s="196"/>
      <c r="H63" s="195" t="s">
        <v>117</v>
      </c>
      <c r="I63" s="196"/>
      <c r="J63" s="196"/>
      <c r="K63" s="196"/>
      <c r="L63" s="196"/>
      <c r="M63" s="196"/>
      <c r="N63" s="196"/>
      <c r="O63" s="196"/>
      <c r="P63" s="196"/>
      <c r="Q63" s="214" t="s">
        <v>22</v>
      </c>
      <c r="R63" s="196"/>
      <c r="S63" s="196"/>
    </row>
    <row r="64" spans="1:19" ht="27" customHeight="1" x14ac:dyDescent="0.2">
      <c r="A64" s="9" t="s">
        <v>1574</v>
      </c>
      <c r="B64" s="202" t="s">
        <v>125</v>
      </c>
      <c r="C64" s="199"/>
      <c r="D64" s="197" t="s">
        <v>1575</v>
      </c>
      <c r="E64" s="198"/>
      <c r="F64" s="198"/>
      <c r="G64" s="199"/>
      <c r="H64" s="197" t="s">
        <v>1576</v>
      </c>
      <c r="I64" s="198"/>
      <c r="J64" s="198"/>
      <c r="K64" s="198"/>
      <c r="L64" s="198"/>
      <c r="M64" s="198"/>
      <c r="N64" s="198"/>
      <c r="O64" s="198"/>
      <c r="P64" s="199"/>
      <c r="Q64" s="200" t="s">
        <v>138</v>
      </c>
      <c r="R64" s="198"/>
      <c r="S64" s="199"/>
    </row>
    <row r="65" spans="1:19" ht="15" customHeight="1" x14ac:dyDescent="0.2">
      <c r="A65" s="9" t="s">
        <v>1577</v>
      </c>
      <c r="B65" s="203">
        <f>Scenarios!F13</f>
        <v>735630000</v>
      </c>
      <c r="C65" s="199"/>
      <c r="D65" s="197" t="s">
        <v>1578</v>
      </c>
      <c r="E65" s="198"/>
      <c r="F65" s="198"/>
      <c r="G65" s="199"/>
      <c r="H65" s="197" t="s">
        <v>1579</v>
      </c>
      <c r="I65" s="198"/>
      <c r="J65" s="198"/>
      <c r="K65" s="198"/>
      <c r="L65" s="198"/>
      <c r="M65" s="198"/>
      <c r="N65" s="198"/>
      <c r="O65" s="198"/>
      <c r="P65" s="199"/>
      <c r="Q65" s="204" t="s">
        <v>27</v>
      </c>
      <c r="R65" s="198"/>
      <c r="S65" s="199"/>
    </row>
    <row r="66" spans="1:19" ht="15" customHeight="1" x14ac:dyDescent="0.2">
      <c r="A66" s="9" t="s">
        <v>1580</v>
      </c>
      <c r="B66" s="203">
        <f>Scenarios!F22</f>
        <v>309676731.4242909</v>
      </c>
      <c r="C66" s="199"/>
      <c r="D66" s="197" t="s">
        <v>1581</v>
      </c>
      <c r="E66" s="198"/>
      <c r="F66" s="198"/>
      <c r="G66" s="199"/>
      <c r="H66" s="197" t="s">
        <v>1582</v>
      </c>
      <c r="I66" s="198"/>
      <c r="J66" s="198"/>
      <c r="K66" s="198"/>
      <c r="L66" s="198"/>
      <c r="M66" s="198"/>
      <c r="N66" s="198"/>
      <c r="O66" s="198"/>
      <c r="P66" s="199"/>
      <c r="Q66" s="204" t="s">
        <v>27</v>
      </c>
      <c r="R66" s="198"/>
      <c r="S66" s="199"/>
    </row>
    <row r="67" spans="1:19" ht="15" customHeight="1" x14ac:dyDescent="0.2">
      <c r="A67" s="9" t="s">
        <v>1583</v>
      </c>
      <c r="B67" s="203">
        <f>Scenarios!F31</f>
        <v>291166998.33333331</v>
      </c>
      <c r="C67" s="199"/>
      <c r="D67" s="197" t="s">
        <v>1584</v>
      </c>
      <c r="E67" s="198"/>
      <c r="F67" s="198"/>
      <c r="G67" s="199"/>
      <c r="H67" s="197" t="s">
        <v>1585</v>
      </c>
      <c r="I67" s="198"/>
      <c r="J67" s="198"/>
      <c r="K67" s="198"/>
      <c r="L67" s="198"/>
      <c r="M67" s="198"/>
      <c r="N67" s="198"/>
      <c r="O67" s="198"/>
      <c r="P67" s="199"/>
      <c r="Q67" s="204" t="s">
        <v>27</v>
      </c>
      <c r="R67" s="198"/>
      <c r="S67" s="199"/>
    </row>
    <row r="68" spans="1:19" ht="15" customHeight="1" x14ac:dyDescent="0.2">
      <c r="A68" s="9" t="s">
        <v>1586</v>
      </c>
      <c r="B68" s="203">
        <f>Scenarios!F43</f>
        <v>16761711.88920611</v>
      </c>
      <c r="C68" s="199"/>
      <c r="D68" s="197" t="s">
        <v>1587</v>
      </c>
      <c r="E68" s="198"/>
      <c r="F68" s="198"/>
      <c r="G68" s="199"/>
      <c r="H68" s="197" t="s">
        <v>1588</v>
      </c>
      <c r="I68" s="198"/>
      <c r="J68" s="198"/>
      <c r="K68" s="198"/>
      <c r="L68" s="198"/>
      <c r="M68" s="198"/>
      <c r="N68" s="198"/>
      <c r="O68" s="198"/>
      <c r="P68" s="199"/>
      <c r="Q68" s="200" t="s">
        <v>138</v>
      </c>
      <c r="R68" s="198"/>
      <c r="S68" s="199"/>
    </row>
    <row r="69" spans="1:19" ht="27" customHeight="1" x14ac:dyDescent="0.2">
      <c r="A69" s="9" t="s">
        <v>1589</v>
      </c>
      <c r="B69" s="206">
        <f>Scenarios!F39</f>
        <v>0.51941665840747508</v>
      </c>
      <c r="C69" s="199"/>
      <c r="D69" s="197" t="s">
        <v>1590</v>
      </c>
      <c r="E69" s="198"/>
      <c r="F69" s="198"/>
      <c r="G69" s="199"/>
      <c r="H69" s="197" t="s">
        <v>1591</v>
      </c>
      <c r="I69" s="198"/>
      <c r="J69" s="198"/>
      <c r="K69" s="198"/>
      <c r="L69" s="198"/>
      <c r="M69" s="198"/>
      <c r="N69" s="198"/>
      <c r="O69" s="198"/>
      <c r="P69" s="199"/>
      <c r="Q69" s="201" t="s">
        <v>257</v>
      </c>
      <c r="R69" s="198"/>
      <c r="S69" s="199"/>
    </row>
    <row r="70" spans="1:19" ht="15" customHeight="1" x14ac:dyDescent="0.2">
      <c r="A70" s="9" t="s">
        <v>1592</v>
      </c>
      <c r="B70" s="207">
        <f>Scenarios!F56</f>
        <v>3.3816168803871856</v>
      </c>
      <c r="C70" s="199"/>
      <c r="D70" s="197" t="s">
        <v>1593</v>
      </c>
      <c r="E70" s="198"/>
      <c r="F70" s="198"/>
      <c r="G70" s="199"/>
      <c r="H70" s="197" t="s">
        <v>1594</v>
      </c>
      <c r="I70" s="198"/>
      <c r="J70" s="198"/>
      <c r="K70" s="198"/>
      <c r="L70" s="198"/>
      <c r="M70" s="198"/>
      <c r="N70" s="198"/>
      <c r="O70" s="198"/>
      <c r="P70" s="199"/>
      <c r="Q70" s="200" t="s">
        <v>138</v>
      </c>
      <c r="R70" s="198"/>
      <c r="S70" s="199"/>
    </row>
  </sheetData>
  <mergeCells count="32">
    <mergeCell ref="Q67:S67"/>
    <mergeCell ref="H64:P64"/>
    <mergeCell ref="Q63:S63"/>
    <mergeCell ref="D68:G68"/>
    <mergeCell ref="B66:C66"/>
    <mergeCell ref="D64:G64"/>
    <mergeCell ref="Q65:S65"/>
    <mergeCell ref="H66:P66"/>
    <mergeCell ref="D63:G63"/>
    <mergeCell ref="H65:P65"/>
    <mergeCell ref="D65:G65"/>
    <mergeCell ref="Q66:S66"/>
    <mergeCell ref="B65:C65"/>
    <mergeCell ref="B64:C64"/>
    <mergeCell ref="H63:P63"/>
    <mergeCell ref="D66:G66"/>
    <mergeCell ref="B63:C63"/>
    <mergeCell ref="H68:P68"/>
    <mergeCell ref="Q64:S64"/>
    <mergeCell ref="H70:P70"/>
    <mergeCell ref="Q69:S69"/>
    <mergeCell ref="D67:G67"/>
    <mergeCell ref="H69:P69"/>
    <mergeCell ref="B70:C70"/>
    <mergeCell ref="D69:G69"/>
    <mergeCell ref="B67:C67"/>
    <mergeCell ref="Q70:S70"/>
    <mergeCell ref="B69:C69"/>
    <mergeCell ref="H67:P67"/>
    <mergeCell ref="D70:G70"/>
    <mergeCell ref="B68:C68"/>
    <mergeCell ref="Q68:S68"/>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J66"/>
  <sheetViews>
    <sheetView showGridLines="0" zoomScale="72" zoomScaleNormal="100" workbookViewId="0">
      <pane xSplit="2" ySplit="4" topLeftCell="D5" activePane="bottomRight" state="frozen"/>
      <selection pane="topRight" activeCell="C1" sqref="C1"/>
      <selection pane="bottomLeft" activeCell="A5" sqref="A5"/>
      <selection pane="bottomRight" activeCell="K48" sqref="K48"/>
    </sheetView>
  </sheetViews>
  <sheetFormatPr baseColWidth="10" defaultColWidth="8.6640625" defaultRowHeight="15" x14ac:dyDescent="0.2"/>
  <cols>
    <col min="1" max="1" width="46" customWidth="1"/>
    <col min="2" max="2" width="33.83203125" bestFit="1" customWidth="1"/>
    <col min="3" max="62" width="13" customWidth="1"/>
  </cols>
  <sheetData>
    <row r="1" spans="1:62" ht="17.25" customHeight="1" x14ac:dyDescent="0.2">
      <c r="A1" s="115" t="s">
        <v>1595</v>
      </c>
    </row>
    <row r="2" spans="1:62" ht="15" customHeight="1" x14ac:dyDescent="0.2">
      <c r="A2" s="11" t="s">
        <v>1596</v>
      </c>
    </row>
    <row r="4" spans="1:62" ht="15" customHeight="1" x14ac:dyDescent="0.2">
      <c r="A4" s="12" t="s">
        <v>1597</v>
      </c>
      <c r="B4" s="15"/>
      <c r="C4" s="75">
        <v>1</v>
      </c>
      <c r="D4" s="75">
        <v>2</v>
      </c>
      <c r="E4" s="75">
        <v>3</v>
      </c>
      <c r="F4" s="75">
        <v>4</v>
      </c>
      <c r="G4" s="75">
        <v>5</v>
      </c>
      <c r="H4" s="75">
        <v>6</v>
      </c>
      <c r="I4" s="75">
        <v>7</v>
      </c>
      <c r="J4" s="75">
        <v>8</v>
      </c>
      <c r="K4" s="75">
        <v>9</v>
      </c>
      <c r="L4" s="75">
        <v>10</v>
      </c>
      <c r="M4" s="75">
        <v>11</v>
      </c>
      <c r="N4" s="75">
        <v>12</v>
      </c>
      <c r="O4" s="75">
        <v>13</v>
      </c>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row>
    <row r="5" spans="1:62" ht="15" customHeight="1" x14ac:dyDescent="0.2">
      <c r="A5" s="15" t="s">
        <v>1598</v>
      </c>
      <c r="B5" s="15"/>
      <c r="C5" s="76">
        <f>EDATE(Inputs!$H$11,C4-1)</f>
        <v>46569</v>
      </c>
      <c r="D5" s="76">
        <f>EDATE(Inputs!$H$11,D4-1)</f>
        <v>46600</v>
      </c>
      <c r="E5" s="76">
        <f>EDATE(Inputs!$H$11,E4-1)</f>
        <v>46631</v>
      </c>
      <c r="F5" s="76">
        <f>EDATE(Inputs!$H$11,F4-1)</f>
        <v>46661</v>
      </c>
      <c r="G5" s="76">
        <f>EDATE(Inputs!$H$11,G4-1)</f>
        <v>46692</v>
      </c>
      <c r="H5" s="76">
        <f>EDATE(Inputs!$H$11,H4-1)</f>
        <v>46722</v>
      </c>
      <c r="I5" s="76">
        <f>EDATE(Inputs!$H$11,I4-1)</f>
        <v>46753</v>
      </c>
      <c r="J5" s="76">
        <f>EDATE(Inputs!$H$11,J4-1)</f>
        <v>46784</v>
      </c>
      <c r="K5" s="76">
        <f>EDATE(Inputs!$H$11,K4-1)</f>
        <v>46813</v>
      </c>
      <c r="L5" s="76">
        <f>EDATE(Inputs!$H$11,L4-1)</f>
        <v>46844</v>
      </c>
      <c r="M5" s="76">
        <f>EDATE(Inputs!$H$11,M4-1)</f>
        <v>46874</v>
      </c>
      <c r="N5" s="76">
        <f>EDATE(Inputs!$H$11,N4-1)</f>
        <v>46905</v>
      </c>
      <c r="O5" s="76">
        <f>EDATE(Inputs!$H$11,O4-1)</f>
        <v>46935</v>
      </c>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row>
    <row r="6" spans="1:62" ht="15" customHeight="1" x14ac:dyDescent="0.2">
      <c r="A6" s="15" t="s">
        <v>1599</v>
      </c>
      <c r="B6" s="15"/>
      <c r="C6" s="62">
        <f t="shared" ref="C6:O6" si="0">INT((C4-1)/12)+1</f>
        <v>1</v>
      </c>
      <c r="D6" s="62">
        <f t="shared" si="0"/>
        <v>1</v>
      </c>
      <c r="E6" s="62">
        <f t="shared" si="0"/>
        <v>1</v>
      </c>
      <c r="F6" s="62">
        <f t="shared" si="0"/>
        <v>1</v>
      </c>
      <c r="G6" s="62">
        <f t="shared" si="0"/>
        <v>1</v>
      </c>
      <c r="H6" s="62">
        <f t="shared" si="0"/>
        <v>1</v>
      </c>
      <c r="I6" s="62">
        <f t="shared" si="0"/>
        <v>1</v>
      </c>
      <c r="J6" s="62">
        <f t="shared" si="0"/>
        <v>1</v>
      </c>
      <c r="K6" s="62">
        <f t="shared" si="0"/>
        <v>1</v>
      </c>
      <c r="L6" s="62">
        <f t="shared" si="0"/>
        <v>1</v>
      </c>
      <c r="M6" s="62">
        <f t="shared" si="0"/>
        <v>1</v>
      </c>
      <c r="N6" s="62">
        <f t="shared" si="0"/>
        <v>1</v>
      </c>
      <c r="O6" s="62">
        <f t="shared" si="0"/>
        <v>2</v>
      </c>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row>
    <row r="7" spans="1:62" ht="15" customHeight="1" x14ac:dyDescent="0.2">
      <c r="A7" s="15" t="s">
        <v>1600</v>
      </c>
      <c r="B7" s="15"/>
      <c r="C7" s="19">
        <f>MIN(1,Inputs!$H$46+(1-Inputs!$H$46)*(C4-1)/MAX(1,Inputs!$H$47-1))</f>
        <v>0.55000000000000004</v>
      </c>
      <c r="D7" s="19">
        <f>MIN(1,Inputs!$H$46+(1-Inputs!$H$46)*(D4-1)/MAX(1,Inputs!$H$47-1))</f>
        <v>0.60625000000000007</v>
      </c>
      <c r="E7" s="19">
        <f>MIN(1,Inputs!$H$46+(1-Inputs!$H$46)*(E4-1)/MAX(1,Inputs!$H$47-1))</f>
        <v>0.66250000000000009</v>
      </c>
      <c r="F7" s="19">
        <f>MIN(1,Inputs!$H$46+(1-Inputs!$H$46)*(F4-1)/MAX(1,Inputs!$H$47-1))</f>
        <v>0.71875</v>
      </c>
      <c r="G7" s="19">
        <f>MIN(1,Inputs!$H$46+(1-Inputs!$H$46)*(G4-1)/MAX(1,Inputs!$H$47-1))</f>
        <v>0.77500000000000002</v>
      </c>
      <c r="H7" s="19">
        <f>MIN(1,Inputs!$H$46+(1-Inputs!$H$46)*(H4-1)/MAX(1,Inputs!$H$47-1))</f>
        <v>0.83125000000000004</v>
      </c>
      <c r="I7" s="19">
        <f>MIN(1,Inputs!$H$46+(1-Inputs!$H$46)*(I4-1)/MAX(1,Inputs!$H$47-1))</f>
        <v>0.88749999999999996</v>
      </c>
      <c r="J7" s="19">
        <f>MIN(1,Inputs!$H$46+(1-Inputs!$H$46)*(J4-1)/MAX(1,Inputs!$H$47-1))</f>
        <v>0.94374999999999998</v>
      </c>
      <c r="K7" s="19">
        <f>MIN(1,Inputs!$H$46+(1-Inputs!$H$46)*(K4-1)/MAX(1,Inputs!$H$47-1))</f>
        <v>1</v>
      </c>
      <c r="L7" s="19">
        <f>MIN(1,Inputs!$H$46+(1-Inputs!$H$46)*(L4-1)/MAX(1,Inputs!$H$47-1))</f>
        <v>1</v>
      </c>
      <c r="M7" s="19">
        <f>MIN(1,Inputs!$H$46+(1-Inputs!$H$46)*(M4-1)/MAX(1,Inputs!$H$47-1))</f>
        <v>1</v>
      </c>
      <c r="N7" s="19">
        <f>MIN(1,Inputs!$H$46+(1-Inputs!$H$46)*(N4-1)/MAX(1,Inputs!$H$47-1))</f>
        <v>1</v>
      </c>
      <c r="O7" s="19">
        <f>MIN(1,Inputs!$H$46+(1-Inputs!$H$46)*(O4-1)/MAX(1,Inputs!$H$47-1))</f>
        <v>1</v>
      </c>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62" ht="15" customHeight="1" x14ac:dyDescent="0.2">
      <c r="A8" s="15" t="s">
        <v>1601</v>
      </c>
      <c r="B8" s="15"/>
      <c r="C8" s="77">
        <f>INDEX(Inputs!$H$92:$H$103,MONTH(C5))</f>
        <v>1</v>
      </c>
      <c r="D8" s="77">
        <f>INDEX(Inputs!$H$92:$H$103,MONTH(D5))</f>
        <v>1</v>
      </c>
      <c r="E8" s="77">
        <f>INDEX(Inputs!$H$92:$H$103,MONTH(E5))</f>
        <v>1</v>
      </c>
      <c r="F8" s="77">
        <f>INDEX(Inputs!$H$92:$H$103,MONTH(F5))</f>
        <v>1</v>
      </c>
      <c r="G8" s="77">
        <f>INDEX(Inputs!$H$92:$H$103,MONTH(G5))</f>
        <v>1</v>
      </c>
      <c r="H8" s="77">
        <f>INDEX(Inputs!$H$92:$H$103,MONTH(H5))</f>
        <v>1.08</v>
      </c>
      <c r="I8" s="77">
        <f>INDEX(Inputs!$H$92:$H$103,MONTH(I5))</f>
        <v>1</v>
      </c>
      <c r="J8" s="77">
        <f>INDEX(Inputs!$H$92:$H$103,MONTH(J5))</f>
        <v>0.92</v>
      </c>
      <c r="K8" s="77">
        <f>INDEX(Inputs!$H$92:$H$103,MONTH(K5))</f>
        <v>0.95</v>
      </c>
      <c r="L8" s="77">
        <f>INDEX(Inputs!$H$92:$H$103,MONTH(L5))</f>
        <v>1</v>
      </c>
      <c r="M8" s="77">
        <f>INDEX(Inputs!$H$92:$H$103,MONTH(M5))</f>
        <v>1</v>
      </c>
      <c r="N8" s="77">
        <f>INDEX(Inputs!$H$92:$H$103,MONTH(N5))</f>
        <v>1</v>
      </c>
      <c r="O8" s="77">
        <f>INDEX(Inputs!$H$92:$H$103,MONTH(O5))</f>
        <v>1</v>
      </c>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77"/>
      <c r="BD8" s="77"/>
      <c r="BE8" s="77"/>
      <c r="BF8" s="77"/>
      <c r="BG8" s="77"/>
      <c r="BH8" s="77"/>
      <c r="BI8" s="77"/>
      <c r="BJ8" s="77"/>
    </row>
    <row r="9" spans="1:62" ht="15" customHeight="1" x14ac:dyDescent="0.2">
      <c r="A9" s="15" t="s">
        <v>1602</v>
      </c>
      <c r="B9" s="15"/>
      <c r="C9" s="55">
        <f t="shared" ref="C9:O9" si="1">C7*C8</f>
        <v>0.55000000000000004</v>
      </c>
      <c r="D9" s="55">
        <f t="shared" si="1"/>
        <v>0.60625000000000007</v>
      </c>
      <c r="E9" s="55">
        <f t="shared" si="1"/>
        <v>0.66250000000000009</v>
      </c>
      <c r="F9" s="55">
        <f t="shared" si="1"/>
        <v>0.71875</v>
      </c>
      <c r="G9" s="55">
        <f t="shared" si="1"/>
        <v>0.77500000000000002</v>
      </c>
      <c r="H9" s="55">
        <f t="shared" si="1"/>
        <v>0.89775000000000016</v>
      </c>
      <c r="I9" s="55">
        <f t="shared" si="1"/>
        <v>0.88749999999999996</v>
      </c>
      <c r="J9" s="55">
        <f t="shared" si="1"/>
        <v>0.86824999999999997</v>
      </c>
      <c r="K9" s="55">
        <f t="shared" si="1"/>
        <v>0.95</v>
      </c>
      <c r="L9" s="55">
        <f t="shared" si="1"/>
        <v>1</v>
      </c>
      <c r="M9" s="55">
        <f t="shared" si="1"/>
        <v>1</v>
      </c>
      <c r="N9" s="55">
        <f t="shared" si="1"/>
        <v>1</v>
      </c>
      <c r="O9" s="55">
        <f t="shared" si="1"/>
        <v>1</v>
      </c>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row>
    <row r="10" spans="1:62" ht="15" customHeight="1" x14ac:dyDescent="0.2">
      <c r="A10" s="15" t="s">
        <v>1603</v>
      </c>
      <c r="B10" s="15"/>
      <c r="C10" s="78">
        <f>(1+Inputs!$H$13)^(C6-1)</f>
        <v>1</v>
      </c>
      <c r="D10" s="78">
        <f>(1+Inputs!$H$13)^(D6-1)</f>
        <v>1</v>
      </c>
      <c r="E10" s="78">
        <f>(1+Inputs!$H$13)^(E6-1)</f>
        <v>1</v>
      </c>
      <c r="F10" s="78">
        <f>(1+Inputs!$H$13)^(F6-1)</f>
        <v>1</v>
      </c>
      <c r="G10" s="78">
        <f>(1+Inputs!$H$13)^(G6-1)</f>
        <v>1</v>
      </c>
      <c r="H10" s="78">
        <f>(1+Inputs!$H$13)^(H6-1)</f>
        <v>1</v>
      </c>
      <c r="I10" s="78">
        <f>(1+Inputs!$H$13)^(I6-1)</f>
        <v>1</v>
      </c>
      <c r="J10" s="78">
        <f>(1+Inputs!$H$13)^(J6-1)</f>
        <v>1</v>
      </c>
      <c r="K10" s="78">
        <f>(1+Inputs!$H$13)^(K6-1)</f>
        <v>1</v>
      </c>
      <c r="L10" s="78">
        <f>(1+Inputs!$H$13)^(L6-1)</f>
        <v>1</v>
      </c>
      <c r="M10" s="78">
        <f>(1+Inputs!$H$13)^(M6-1)</f>
        <v>1</v>
      </c>
      <c r="N10" s="78">
        <f>(1+Inputs!$H$13)^(N6-1)</f>
        <v>1</v>
      </c>
      <c r="O10" s="78">
        <f>(1+Inputs!$H$13)^(O6-1)</f>
        <v>1.04</v>
      </c>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row>
    <row r="11" spans="1:62" ht="15" customHeight="1" x14ac:dyDescent="0.2">
      <c r="A11" s="15" t="s">
        <v>1604</v>
      </c>
      <c r="B11" s="15"/>
      <c r="C11" s="78">
        <f>(1+Inputs!$H$15)^(C6-1)</f>
        <v>1</v>
      </c>
      <c r="D11" s="78">
        <f>(1+Inputs!$H$15)^(D6-1)</f>
        <v>1</v>
      </c>
      <c r="E11" s="78">
        <f>(1+Inputs!$H$15)^(E6-1)</f>
        <v>1</v>
      </c>
      <c r="F11" s="78">
        <f>(1+Inputs!$H$15)^(F6-1)</f>
        <v>1</v>
      </c>
      <c r="G11" s="78">
        <f>(1+Inputs!$H$15)^(G6-1)</f>
        <v>1</v>
      </c>
      <c r="H11" s="78">
        <f>(1+Inputs!$H$15)^(H6-1)</f>
        <v>1</v>
      </c>
      <c r="I11" s="78">
        <f>(1+Inputs!$H$15)^(I6-1)</f>
        <v>1</v>
      </c>
      <c r="J11" s="78">
        <f>(1+Inputs!$H$15)^(J6-1)</f>
        <v>1</v>
      </c>
      <c r="K11" s="78">
        <f>(1+Inputs!$H$15)^(K6-1)</f>
        <v>1</v>
      </c>
      <c r="L11" s="78">
        <f>(1+Inputs!$H$15)^(L6-1)</f>
        <v>1</v>
      </c>
      <c r="M11" s="78">
        <f>(1+Inputs!$H$15)^(M6-1)</f>
        <v>1</v>
      </c>
      <c r="N11" s="78">
        <f>(1+Inputs!$H$15)^(N6-1)</f>
        <v>1</v>
      </c>
      <c r="O11" s="78">
        <f>(1+Inputs!$H$15)^(O6-1)</f>
        <v>1.0620000000000001</v>
      </c>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row>
    <row r="12" spans="1:62" ht="15" customHeight="1" x14ac:dyDescent="0.2">
      <c r="A12" s="15" t="s">
        <v>1605</v>
      </c>
      <c r="B12" s="15"/>
      <c r="C12" s="78">
        <f>(1+Inputs!$H$14)^(C6-1)</f>
        <v>1</v>
      </c>
      <c r="D12" s="78">
        <f>(1+Inputs!$H$14)^(D6-1)</f>
        <v>1</v>
      </c>
      <c r="E12" s="78">
        <f>(1+Inputs!$H$14)^(E6-1)</f>
        <v>1</v>
      </c>
      <c r="F12" s="78">
        <f>(1+Inputs!$H$14)^(F6-1)</f>
        <v>1</v>
      </c>
      <c r="G12" s="78">
        <f>(1+Inputs!$H$14)^(G6-1)</f>
        <v>1</v>
      </c>
      <c r="H12" s="78">
        <f>(1+Inputs!$H$14)^(H6-1)</f>
        <v>1</v>
      </c>
      <c r="I12" s="78">
        <f>(1+Inputs!$H$14)^(I6-1)</f>
        <v>1</v>
      </c>
      <c r="J12" s="78">
        <f>(1+Inputs!$H$14)^(J6-1)</f>
        <v>1</v>
      </c>
      <c r="K12" s="78">
        <f>(1+Inputs!$H$14)^(K6-1)</f>
        <v>1</v>
      </c>
      <c r="L12" s="78">
        <f>(1+Inputs!$H$14)^(L6-1)</f>
        <v>1</v>
      </c>
      <c r="M12" s="78">
        <f>(1+Inputs!$H$14)^(M6-1)</f>
        <v>1</v>
      </c>
      <c r="N12" s="78">
        <f>(1+Inputs!$H$14)^(N6-1)</f>
        <v>1</v>
      </c>
      <c r="O12" s="78">
        <f>(1+Inputs!$H$14)^(O6-1)</f>
        <v>1.0349999999999999</v>
      </c>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row>
    <row r="13" spans="1:62" ht="15" customHeight="1" x14ac:dyDescent="0.2">
      <c r="A13" s="120" t="s">
        <v>1606</v>
      </c>
      <c r="B13" s="121"/>
    </row>
    <row r="14" spans="1:62" ht="15" customHeight="1" x14ac:dyDescent="0.2">
      <c r="A14" s="15" t="s">
        <v>914</v>
      </c>
      <c r="B14" s="15"/>
      <c r="C14" s="16">
        <f>Revenue!$E$19*C9*C10</f>
        <v>341137500</v>
      </c>
      <c r="D14" s="16">
        <f>Revenue!$E$19*D9*D10</f>
        <v>376026562.50000006</v>
      </c>
      <c r="E14" s="16">
        <f>Revenue!$E$19*E9*E10</f>
        <v>410915625.00000006</v>
      </c>
      <c r="F14" s="16">
        <f>Revenue!$E$19*F9*F10</f>
        <v>445804687.5</v>
      </c>
      <c r="G14" s="16">
        <f>Revenue!$E$19*G9*G10</f>
        <v>480693750</v>
      </c>
      <c r="H14" s="16">
        <f>Revenue!$E$19*H9*H10</f>
        <v>556829437.50000012</v>
      </c>
      <c r="I14" s="16">
        <f>Revenue!$E$19*I9*I10</f>
        <v>550471875</v>
      </c>
      <c r="J14" s="16">
        <f>Revenue!$E$19*J9*J10</f>
        <v>538532062.5</v>
      </c>
      <c r="K14" s="16">
        <f>Revenue!$E$19*K9*K10</f>
        <v>589237500</v>
      </c>
      <c r="L14" s="16">
        <f>Revenue!$E$19*L9*L10</f>
        <v>620250000</v>
      </c>
      <c r="M14" s="16">
        <f>Revenue!$E$19*M9*M10</f>
        <v>620250000</v>
      </c>
      <c r="N14" s="16">
        <f>Revenue!$E$19*N9*N10</f>
        <v>620250000</v>
      </c>
      <c r="O14" s="16">
        <f>Revenue!$E$19*O9*O10</f>
        <v>645060000</v>
      </c>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row>
    <row r="15" spans="1:62" ht="15" customHeight="1" x14ac:dyDescent="0.2">
      <c r="A15" s="15" t="s">
        <v>1607</v>
      </c>
      <c r="B15" s="15"/>
      <c r="C15" s="16">
        <f>Revenue!$E$20*C9*C10</f>
        <v>47437500.000000007</v>
      </c>
      <c r="D15" s="16">
        <f>Revenue!$E$20*D9*D10</f>
        <v>52289062.500000007</v>
      </c>
      <c r="E15" s="16">
        <f>Revenue!$E$20*E9*E10</f>
        <v>57140625.000000007</v>
      </c>
      <c r="F15" s="16">
        <f>Revenue!$E$20*F9*F10</f>
        <v>61992187.5</v>
      </c>
      <c r="G15" s="16">
        <f>Revenue!$E$20*G9*G10</f>
        <v>66843750</v>
      </c>
      <c r="H15" s="16">
        <f>Revenue!$E$20*H9*H10</f>
        <v>77430937.500000015</v>
      </c>
      <c r="I15" s="16">
        <f>Revenue!$E$20*I9*I10</f>
        <v>76546875</v>
      </c>
      <c r="J15" s="16">
        <f>Revenue!$E$20*J9*J10</f>
        <v>74886562.5</v>
      </c>
      <c r="K15" s="16">
        <f>Revenue!$E$20*K9*K10</f>
        <v>81937500</v>
      </c>
      <c r="L15" s="16">
        <f>Revenue!$E$20*L9*L10</f>
        <v>86250000</v>
      </c>
      <c r="M15" s="16">
        <f>Revenue!$E$20*M9*M10</f>
        <v>86250000</v>
      </c>
      <c r="N15" s="16">
        <f>Revenue!$E$20*N9*N10</f>
        <v>86250000</v>
      </c>
      <c r="O15" s="16">
        <f>Revenue!$E$20*O9*O10</f>
        <v>89700000</v>
      </c>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row>
    <row r="16" spans="1:62" ht="15" customHeight="1" x14ac:dyDescent="0.2">
      <c r="A16" s="15" t="s">
        <v>916</v>
      </c>
      <c r="B16" s="15"/>
      <c r="C16" s="16">
        <f>Revenue!$E$21*C7*C10</f>
        <v>8250000.0000000009</v>
      </c>
      <c r="D16" s="16">
        <f>Revenue!$E$21*D7*D10</f>
        <v>9093750.0000000019</v>
      </c>
      <c r="E16" s="16">
        <f>Revenue!$E$21*E7*E10</f>
        <v>9937500.0000000019</v>
      </c>
      <c r="F16" s="16">
        <f>Revenue!$E$21*F7*F10</f>
        <v>10781250</v>
      </c>
      <c r="G16" s="16">
        <f>Revenue!$E$21*G7*G10</f>
        <v>11625000</v>
      </c>
      <c r="H16" s="16">
        <f>Revenue!$E$21*H7*H10</f>
        <v>12468750</v>
      </c>
      <c r="I16" s="16">
        <f>Revenue!$E$21*I7*I10</f>
        <v>13312500</v>
      </c>
      <c r="J16" s="16">
        <f>Revenue!$E$21*J7*J10</f>
        <v>14156250</v>
      </c>
      <c r="K16" s="16">
        <f>Revenue!$E$21*K7*K10</f>
        <v>15000000</v>
      </c>
      <c r="L16" s="16">
        <f>Revenue!$E$21*L7*L10</f>
        <v>15000000</v>
      </c>
      <c r="M16" s="16">
        <f>Revenue!$E$21*M7*M10</f>
        <v>15000000</v>
      </c>
      <c r="N16" s="16">
        <f>Revenue!$E$21*N7*N10</f>
        <v>15000000</v>
      </c>
      <c r="O16" s="16">
        <f>Revenue!$E$21*O7*O10</f>
        <v>15600000</v>
      </c>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row>
    <row r="17" spans="1:62" ht="15" customHeight="1" x14ac:dyDescent="0.2">
      <c r="A17" s="15" t="s">
        <v>917</v>
      </c>
      <c r="B17" s="15"/>
      <c r="C17" s="16">
        <f>(C14+C15)*Inputs!$H$45</f>
        <v>7771500</v>
      </c>
      <c r="D17" s="16">
        <f>(D14+D15)*Inputs!$H$45</f>
        <v>8566312.5000000019</v>
      </c>
      <c r="E17" s="16">
        <f>(E14+E15)*Inputs!$H$45</f>
        <v>9361125.0000000019</v>
      </c>
      <c r="F17" s="16">
        <f>(F14+F15)*Inputs!$H$45</f>
        <v>10155937.5</v>
      </c>
      <c r="G17" s="16">
        <f>(G14+G15)*Inputs!$H$45</f>
        <v>10950750</v>
      </c>
      <c r="H17" s="16">
        <f>(H14+H15)*Inputs!$H$45</f>
        <v>12685207.500000002</v>
      </c>
      <c r="I17" s="16">
        <f>(I14+I15)*Inputs!$H$45</f>
        <v>12540375</v>
      </c>
      <c r="J17" s="16">
        <f>(J14+J15)*Inputs!$H$45</f>
        <v>12268372.5</v>
      </c>
      <c r="K17" s="16">
        <f>(K14+K15)*Inputs!$H$45</f>
        <v>13423500</v>
      </c>
      <c r="L17" s="16">
        <f>(L14+L15)*Inputs!$H$45</f>
        <v>14130000</v>
      </c>
      <c r="M17" s="16">
        <f>(M14+M15)*Inputs!$H$45</f>
        <v>14130000</v>
      </c>
      <c r="N17" s="16">
        <f>(N14+N15)*Inputs!$H$45</f>
        <v>14130000</v>
      </c>
      <c r="O17" s="16">
        <f>(O14+O15)*Inputs!$H$45</f>
        <v>14695200</v>
      </c>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row>
    <row r="18" spans="1:62" ht="15" customHeight="1" x14ac:dyDescent="0.2">
      <c r="A18" s="12" t="s">
        <v>1608</v>
      </c>
      <c r="B18" s="15" t="s">
        <v>1608</v>
      </c>
      <c r="C18" s="59">
        <f t="shared" ref="C18:O18" si="2">SUM(C14:C17)</f>
        <v>404596500</v>
      </c>
      <c r="D18" s="59">
        <f t="shared" si="2"/>
        <v>445975687.50000006</v>
      </c>
      <c r="E18" s="59">
        <f t="shared" si="2"/>
        <v>487354875.00000006</v>
      </c>
      <c r="F18" s="59">
        <f t="shared" si="2"/>
        <v>528734062.5</v>
      </c>
      <c r="G18" s="59">
        <f t="shared" si="2"/>
        <v>570113250</v>
      </c>
      <c r="H18" s="59">
        <f t="shared" si="2"/>
        <v>659414332.50000012</v>
      </c>
      <c r="I18" s="59">
        <f t="shared" si="2"/>
        <v>652871625</v>
      </c>
      <c r="J18" s="59">
        <f t="shared" si="2"/>
        <v>639843247.5</v>
      </c>
      <c r="K18" s="59">
        <f t="shared" si="2"/>
        <v>699598500</v>
      </c>
      <c r="L18" s="59">
        <f t="shared" si="2"/>
        <v>735630000</v>
      </c>
      <c r="M18" s="59">
        <f t="shared" si="2"/>
        <v>735630000</v>
      </c>
      <c r="N18" s="59">
        <f t="shared" si="2"/>
        <v>735630000</v>
      </c>
      <c r="O18" s="59">
        <f t="shared" si="2"/>
        <v>765055200</v>
      </c>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row>
    <row r="19" spans="1:62" ht="15" customHeight="1" x14ac:dyDescent="0.2">
      <c r="A19" s="120" t="s">
        <v>1609</v>
      </c>
      <c r="B19" s="121"/>
    </row>
    <row r="20" spans="1:62" ht="15" customHeight="1" x14ac:dyDescent="0.2">
      <c r="A20" s="15" t="s">
        <v>1610</v>
      </c>
      <c r="B20" s="15"/>
      <c r="C20" s="16">
        <f>(C14+C15)*OPEX!$B$35+C16*Inputs!$H$50+C17*Inputs!$H$51</f>
        <v>118355130.53335997</v>
      </c>
      <c r="D20" s="16">
        <f>(D14+D15)*OPEX!$B$35+D16*Inputs!$H$50+D17*Inputs!$H$51</f>
        <v>130459632.51972635</v>
      </c>
      <c r="E20" s="16">
        <f>(E14+E15)*OPEX!$B$35+E16*Inputs!$H$50+E17*Inputs!$H$51</f>
        <v>142564134.50609273</v>
      </c>
      <c r="F20" s="16">
        <f>(F14+F15)*OPEX!$B$35+F16*Inputs!$H$50+F17*Inputs!$H$51</f>
        <v>154668636.49245906</v>
      </c>
      <c r="G20" s="16">
        <f>(G14+G15)*OPEX!$B$35+G16*Inputs!$H$50+G17*Inputs!$H$51</f>
        <v>166773138.47882542</v>
      </c>
      <c r="H20" s="16">
        <f>(H14+H15)*OPEX!$B$35+H16*Inputs!$H$50+H17*Inputs!$H$51</f>
        <v>192838726.70240715</v>
      </c>
      <c r="I20" s="16">
        <f>(I14+I15)*OPEX!$B$35+I16*Inputs!$H$50+I17*Inputs!$H$51</f>
        <v>190982142.45155814</v>
      </c>
      <c r="J20" s="16">
        <f>(J14+J15)*OPEX!$B$35+J16*Inputs!$H$50+J17*Inputs!$H$51</f>
        <v>187236087.88289055</v>
      </c>
      <c r="K20" s="16">
        <f>(K14+K15)*OPEX!$B$35+K16*Inputs!$H$50+K17*Inputs!$H$51</f>
        <v>204694089.10307634</v>
      </c>
      <c r="L20" s="16">
        <f>(L14+L15)*OPEX!$B$35+L16*Inputs!$H$50+L17*Inputs!$H$51</f>
        <v>215191146.42429087</v>
      </c>
      <c r="M20" s="16">
        <f>(M14+M15)*OPEX!$B$35+M16*Inputs!$H$50+M17*Inputs!$H$51</f>
        <v>215191146.42429087</v>
      </c>
      <c r="N20" s="16">
        <f>(N14+N15)*OPEX!$B$35+N16*Inputs!$H$50+N17*Inputs!$H$51</f>
        <v>215191146.42429087</v>
      </c>
      <c r="O20" s="16">
        <f>(O14+O15)*OPEX!$B$35+O16*Inputs!$H$50+O17*Inputs!$H$51</f>
        <v>223798792.28126252</v>
      </c>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row>
    <row r="21" spans="1:62" ht="15" customHeight="1" x14ac:dyDescent="0.2">
      <c r="A21" s="15" t="s">
        <v>1534</v>
      </c>
      <c r="B21" s="15"/>
      <c r="C21" s="16">
        <f>(C14*Inputs!$H$43+C15)*Inputs!$H$52</f>
        <v>7488937.5</v>
      </c>
      <c r="D21" s="16">
        <f>(D14*Inputs!$H$43+D15)*Inputs!$H$52</f>
        <v>8254851.5625000019</v>
      </c>
      <c r="E21" s="16">
        <f>(E14*Inputs!$H$43+E15)*Inputs!$H$52</f>
        <v>9020765.6250000019</v>
      </c>
      <c r="F21" s="16">
        <f>(F14*Inputs!$H$43+F15)*Inputs!$H$52</f>
        <v>9786679.6875</v>
      </c>
      <c r="G21" s="16">
        <f>(G14*Inputs!$H$43+G15)*Inputs!$H$52</f>
        <v>10552593.75</v>
      </c>
      <c r="H21" s="16">
        <f>(H14*Inputs!$H$43+H15)*Inputs!$H$52</f>
        <v>12223988.437500004</v>
      </c>
      <c r="I21" s="16">
        <f>(I14*Inputs!$H$43+I15)*Inputs!$H$52</f>
        <v>12084421.875</v>
      </c>
      <c r="J21" s="16">
        <f>(J14*Inputs!$H$43+J15)*Inputs!$H$52</f>
        <v>11822309.0625</v>
      </c>
      <c r="K21" s="16">
        <f>(K14*Inputs!$H$43+K15)*Inputs!$H$52</f>
        <v>12935437.5</v>
      </c>
      <c r="L21" s="16">
        <f>(L14*Inputs!$H$43+L15)*Inputs!$H$52</f>
        <v>13616250</v>
      </c>
      <c r="M21" s="16">
        <f>(M14*Inputs!$H$43+M15)*Inputs!$H$52</f>
        <v>13616250</v>
      </c>
      <c r="N21" s="16">
        <f>(N14*Inputs!$H$43+N15)*Inputs!$H$52</f>
        <v>13616250</v>
      </c>
      <c r="O21" s="16">
        <f>(O14*Inputs!$H$43+O15)*Inputs!$H$52</f>
        <v>14160900</v>
      </c>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row>
    <row r="22" spans="1:62" ht="15" customHeight="1" x14ac:dyDescent="0.2">
      <c r="A22" s="15" t="s">
        <v>1535</v>
      </c>
      <c r="B22" s="15"/>
      <c r="C22" s="16">
        <f>(C14+C15)*Inputs!$H$53</f>
        <v>5828625</v>
      </c>
      <c r="D22" s="16">
        <f>(D14+D15)*Inputs!$H$53</f>
        <v>6424734.3750000009</v>
      </c>
      <c r="E22" s="16">
        <f>(E14+E15)*Inputs!$H$53</f>
        <v>7020843.7500000009</v>
      </c>
      <c r="F22" s="16">
        <f>(F14+F15)*Inputs!$H$53</f>
        <v>7616953.125</v>
      </c>
      <c r="G22" s="16">
        <f>(G14+G15)*Inputs!$H$53</f>
        <v>8213062.5</v>
      </c>
      <c r="H22" s="16">
        <f>(H14+H15)*Inputs!$H$53</f>
        <v>9513905.6250000019</v>
      </c>
      <c r="I22" s="16">
        <f>(I14+I15)*Inputs!$H$53</f>
        <v>9405281.25</v>
      </c>
      <c r="J22" s="16">
        <f>(J14+J15)*Inputs!$H$53</f>
        <v>9201279.375</v>
      </c>
      <c r="K22" s="16">
        <f>(K14+K15)*Inputs!$H$53</f>
        <v>10067625</v>
      </c>
      <c r="L22" s="16">
        <f>(L14+L15)*Inputs!$H$53</f>
        <v>10597500</v>
      </c>
      <c r="M22" s="16">
        <f>(M14+M15)*Inputs!$H$53</f>
        <v>10597500</v>
      </c>
      <c r="N22" s="16">
        <f>(N14+N15)*Inputs!$H$53</f>
        <v>10597500</v>
      </c>
      <c r="O22" s="16">
        <f>(O14+O15)*Inputs!$H$53</f>
        <v>11021400</v>
      </c>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row>
    <row r="23" spans="1:62" ht="15" customHeight="1" x14ac:dyDescent="0.2">
      <c r="A23" s="15" t="s">
        <v>1611</v>
      </c>
      <c r="B23" s="15"/>
      <c r="C23" s="16">
        <f>C15*Inputs!$H$54*(1+Inputs!$H$18)</f>
        <v>12110793.750000004</v>
      </c>
      <c r="D23" s="16">
        <f>D15*Inputs!$H$54*(1+Inputs!$H$18)</f>
        <v>13349397.656250004</v>
      </c>
      <c r="E23" s="16">
        <f>E15*Inputs!$H$54*(1+Inputs!$H$18)</f>
        <v>14588001.562500004</v>
      </c>
      <c r="F23" s="16">
        <f>F15*Inputs!$H$54*(1+Inputs!$H$18)</f>
        <v>15826605.468750002</v>
      </c>
      <c r="G23" s="16">
        <f>G15*Inputs!$H$54*(1+Inputs!$H$18)</f>
        <v>17065209.375</v>
      </c>
      <c r="H23" s="16">
        <f>H15*Inputs!$H$54*(1+Inputs!$H$18)</f>
        <v>19768118.343750007</v>
      </c>
      <c r="I23" s="16">
        <f>I15*Inputs!$H$54*(1+Inputs!$H$18)</f>
        <v>19542417.1875</v>
      </c>
      <c r="J23" s="16">
        <f>J15*Inputs!$H$54*(1+Inputs!$H$18)</f>
        <v>19118539.40625</v>
      </c>
      <c r="K23" s="16">
        <f>K15*Inputs!$H$54*(1+Inputs!$H$18)</f>
        <v>20918643.75</v>
      </c>
      <c r="L23" s="16">
        <f>L15*Inputs!$H$54*(1+Inputs!$H$18)</f>
        <v>22019625.000000004</v>
      </c>
      <c r="M23" s="16">
        <f>M15*Inputs!$H$54*(1+Inputs!$H$18)</f>
        <v>22019625.000000004</v>
      </c>
      <c r="N23" s="16">
        <f>N15*Inputs!$H$54*(1+Inputs!$H$18)</f>
        <v>22019625.000000004</v>
      </c>
      <c r="O23" s="16">
        <f>O15*Inputs!$H$54*(1+Inputs!$H$18)</f>
        <v>22900410.000000004</v>
      </c>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62" ht="15" customHeight="1" x14ac:dyDescent="0.2">
      <c r="A24" s="15" t="s">
        <v>1537</v>
      </c>
      <c r="B24" s="15"/>
      <c r="C24" s="16">
        <f>(C18-C15)*Inputs!$H$55</f>
        <v>4285908</v>
      </c>
      <c r="D24" s="16">
        <f>(D18-D15)*Inputs!$H$55</f>
        <v>4724239.5000000009</v>
      </c>
      <c r="E24" s="16">
        <f>(E18-E15)*Inputs!$H$55</f>
        <v>5162571.0000000009</v>
      </c>
      <c r="F24" s="16">
        <f>(F18-F15)*Inputs!$H$55</f>
        <v>5600902.5</v>
      </c>
      <c r="G24" s="16">
        <f>(G18-G15)*Inputs!$H$55</f>
        <v>6039234</v>
      </c>
      <c r="H24" s="16">
        <f>(H18-H15)*Inputs!$H$55</f>
        <v>6983800.7400000012</v>
      </c>
      <c r="I24" s="16">
        <f>(I18-I15)*Inputs!$H$55</f>
        <v>6915897</v>
      </c>
      <c r="J24" s="16">
        <f>(J18-J15)*Inputs!$H$55</f>
        <v>6779480.2199999997</v>
      </c>
      <c r="K24" s="16">
        <f>(K18-K15)*Inputs!$H$55</f>
        <v>7411932</v>
      </c>
      <c r="L24" s="16">
        <f>(L18-L15)*Inputs!$H$55</f>
        <v>7792560</v>
      </c>
      <c r="M24" s="16">
        <f>(M18-M15)*Inputs!$H$55</f>
        <v>7792560</v>
      </c>
      <c r="N24" s="16">
        <f>(N18-N15)*Inputs!$H$55</f>
        <v>7792560</v>
      </c>
      <c r="O24" s="16">
        <f>(O18-O15)*Inputs!$H$55</f>
        <v>8104262.4000000004</v>
      </c>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row>
    <row r="25" spans="1:62" ht="15" customHeight="1" x14ac:dyDescent="0.2">
      <c r="A25" s="15" t="s">
        <v>1612</v>
      </c>
      <c r="B25" s="15"/>
      <c r="C25" s="16">
        <f>C18*Inputs!$H$56</f>
        <v>12137895</v>
      </c>
      <c r="D25" s="16">
        <f>D18*Inputs!$H$56</f>
        <v>13379270.625000002</v>
      </c>
      <c r="E25" s="16">
        <f>E18*Inputs!$H$56</f>
        <v>14620646.250000002</v>
      </c>
      <c r="F25" s="16">
        <f>F18*Inputs!$H$56</f>
        <v>15862021.875</v>
      </c>
      <c r="G25" s="16">
        <f>G18*Inputs!$H$56</f>
        <v>17103397.5</v>
      </c>
      <c r="H25" s="16">
        <f>H18*Inputs!$H$56</f>
        <v>19782429.975000001</v>
      </c>
      <c r="I25" s="16">
        <f>I18*Inputs!$H$56</f>
        <v>19586148.75</v>
      </c>
      <c r="J25" s="16">
        <f>J18*Inputs!$H$56</f>
        <v>19195297.425000001</v>
      </c>
      <c r="K25" s="16">
        <f>K18*Inputs!$H$56</f>
        <v>20987955</v>
      </c>
      <c r="L25" s="16">
        <f>L18*Inputs!$H$56</f>
        <v>22068900</v>
      </c>
      <c r="M25" s="16">
        <f>M18*Inputs!$H$56</f>
        <v>22068900</v>
      </c>
      <c r="N25" s="16">
        <f>N18*Inputs!$H$56</f>
        <v>22068900</v>
      </c>
      <c r="O25" s="16">
        <f>O18*Inputs!$H$56</f>
        <v>22951656</v>
      </c>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row>
    <row r="26" spans="1:62" ht="15" customHeight="1" x14ac:dyDescent="0.2">
      <c r="A26" s="15" t="s">
        <v>1613</v>
      </c>
      <c r="B26" s="15"/>
      <c r="C26" s="16">
        <f>C18*Inputs!$H$57</f>
        <v>6068947.5</v>
      </c>
      <c r="D26" s="16">
        <f>D18*Inputs!$H$57</f>
        <v>6689635.3125000009</v>
      </c>
      <c r="E26" s="16">
        <f>E18*Inputs!$H$57</f>
        <v>7310323.1250000009</v>
      </c>
      <c r="F26" s="16">
        <f>F18*Inputs!$H$57</f>
        <v>7931010.9375</v>
      </c>
      <c r="G26" s="16">
        <f>G18*Inputs!$H$57</f>
        <v>8551698.75</v>
      </c>
      <c r="H26" s="16">
        <f>H18*Inputs!$H$57</f>
        <v>9891214.9875000007</v>
      </c>
      <c r="I26" s="16">
        <f>I18*Inputs!$H$57</f>
        <v>9793074.375</v>
      </c>
      <c r="J26" s="16">
        <f>J18*Inputs!$H$57</f>
        <v>9597648.7125000004</v>
      </c>
      <c r="K26" s="16">
        <f>K18*Inputs!$H$57</f>
        <v>10493977.5</v>
      </c>
      <c r="L26" s="16">
        <f>L18*Inputs!$H$57</f>
        <v>11034450</v>
      </c>
      <c r="M26" s="16">
        <f>M18*Inputs!$H$57</f>
        <v>11034450</v>
      </c>
      <c r="N26" s="16">
        <f>N18*Inputs!$H$57</f>
        <v>11034450</v>
      </c>
      <c r="O26" s="16">
        <f>O18*Inputs!$H$57</f>
        <v>11475828</v>
      </c>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row>
    <row r="27" spans="1:62" ht="15" customHeight="1" x14ac:dyDescent="0.2">
      <c r="A27" s="15" t="s">
        <v>1614</v>
      </c>
      <c r="B27" s="15"/>
      <c r="C27" s="16">
        <f>C18*(Inputs!$H$58+Inputs!$H$59)</f>
        <v>4045965</v>
      </c>
      <c r="D27" s="16">
        <f>D18*(Inputs!$H$58+Inputs!$H$59)</f>
        <v>4459756.8750000009</v>
      </c>
      <c r="E27" s="16">
        <f>E18*(Inputs!$H$58+Inputs!$H$59)</f>
        <v>4873548.7500000009</v>
      </c>
      <c r="F27" s="16">
        <f>F18*(Inputs!$H$58+Inputs!$H$59)</f>
        <v>5287340.625</v>
      </c>
      <c r="G27" s="16">
        <f>G18*(Inputs!$H$58+Inputs!$H$59)</f>
        <v>5701132.5</v>
      </c>
      <c r="H27" s="16">
        <f>H18*(Inputs!$H$58+Inputs!$H$59)</f>
        <v>6594143.3250000011</v>
      </c>
      <c r="I27" s="16">
        <f>I18*(Inputs!$H$58+Inputs!$H$59)</f>
        <v>6528716.25</v>
      </c>
      <c r="J27" s="16">
        <f>J18*(Inputs!$H$58+Inputs!$H$59)</f>
        <v>6398432.4750000006</v>
      </c>
      <c r="K27" s="16">
        <f>K18*(Inputs!$H$58+Inputs!$H$59)</f>
        <v>6995985</v>
      </c>
      <c r="L27" s="16">
        <f>L18*(Inputs!$H$58+Inputs!$H$59)</f>
        <v>7356300</v>
      </c>
      <c r="M27" s="16">
        <f>M18*(Inputs!$H$58+Inputs!$H$59)</f>
        <v>7356300</v>
      </c>
      <c r="N27" s="16">
        <f>N18*(Inputs!$H$58+Inputs!$H$59)</f>
        <v>7356300</v>
      </c>
      <c r="O27" s="16">
        <f>O18*(Inputs!$H$58+Inputs!$H$59)</f>
        <v>7650552</v>
      </c>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row>
    <row r="28" spans="1:62" ht="15" customHeight="1" x14ac:dyDescent="0.2">
      <c r="A28" s="12" t="s">
        <v>1615</v>
      </c>
      <c r="B28" s="15"/>
      <c r="C28" s="59">
        <f t="shared" ref="C28:O28" si="3">C18-SUM(C20:C27)</f>
        <v>234274297.71664003</v>
      </c>
      <c r="D28" s="59">
        <f t="shared" si="3"/>
        <v>258234169.07402369</v>
      </c>
      <c r="E28" s="59">
        <f t="shared" si="3"/>
        <v>282194040.43140733</v>
      </c>
      <c r="F28" s="59">
        <f t="shared" si="3"/>
        <v>306153911.78879094</v>
      </c>
      <c r="G28" s="59">
        <f t="shared" si="3"/>
        <v>330113783.14617455</v>
      </c>
      <c r="H28" s="59">
        <f t="shared" si="3"/>
        <v>381818004.36384296</v>
      </c>
      <c r="I28" s="59">
        <f t="shared" si="3"/>
        <v>378033525.86094189</v>
      </c>
      <c r="J28" s="59">
        <f t="shared" si="3"/>
        <v>370494172.94085944</v>
      </c>
      <c r="K28" s="59">
        <f t="shared" si="3"/>
        <v>405092855.14692366</v>
      </c>
      <c r="L28" s="59">
        <f t="shared" si="3"/>
        <v>425953268.5757091</v>
      </c>
      <c r="M28" s="59">
        <f t="shared" si="3"/>
        <v>425953268.5757091</v>
      </c>
      <c r="N28" s="59">
        <f t="shared" si="3"/>
        <v>425953268.5757091</v>
      </c>
      <c r="O28" s="59">
        <f t="shared" si="3"/>
        <v>442991399.31873751</v>
      </c>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row>
    <row r="29" spans="1:62" ht="15" customHeight="1" x14ac:dyDescent="0.2">
      <c r="A29" s="120" t="s">
        <v>1616</v>
      </c>
      <c r="B29" s="121"/>
    </row>
    <row r="30" spans="1:62" ht="15" customHeight="1" x14ac:dyDescent="0.2">
      <c r="A30" s="15" t="s">
        <v>468</v>
      </c>
      <c r="B30" s="15"/>
      <c r="C30" s="16">
        <f>Staffing!$J$15*C11</f>
        <v>166907330</v>
      </c>
      <c r="D30" s="16">
        <f>Staffing!$J$15*D11</f>
        <v>166907330</v>
      </c>
      <c r="E30" s="16">
        <f>Staffing!$J$15*E11</f>
        <v>166907330</v>
      </c>
      <c r="F30" s="16">
        <f>Staffing!$J$15*F11</f>
        <v>166907330</v>
      </c>
      <c r="G30" s="16">
        <f>Staffing!$J$15*G11</f>
        <v>166907330</v>
      </c>
      <c r="H30" s="16">
        <f>Staffing!$J$15*H11</f>
        <v>166907330</v>
      </c>
      <c r="I30" s="16">
        <f>Staffing!$J$15*I11</f>
        <v>166907330</v>
      </c>
      <c r="J30" s="16">
        <f>Staffing!$J$15*J11</f>
        <v>166907330</v>
      </c>
      <c r="K30" s="16">
        <f>Staffing!$J$15*K11</f>
        <v>166907330</v>
      </c>
      <c r="L30" s="16">
        <f>Staffing!$J$15*L11</f>
        <v>166907330</v>
      </c>
      <c r="M30" s="16">
        <f>Staffing!$J$15*M11</f>
        <v>166907330</v>
      </c>
      <c r="N30" s="16">
        <f>Staffing!$J$15*N11</f>
        <v>166907330</v>
      </c>
      <c r="O30" s="16">
        <f>Staffing!$J$15*O11</f>
        <v>177255584.46000001</v>
      </c>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row>
    <row r="31" spans="1:62" ht="15" customHeight="1" x14ac:dyDescent="0.2">
      <c r="A31" s="15" t="s">
        <v>1617</v>
      </c>
      <c r="B31" s="15"/>
      <c r="C31" s="16">
        <f>OPEX!$B$21*(1+Inputs!$H$28)^(C6-1)</f>
        <v>37774218.75</v>
      </c>
      <c r="D31" s="16">
        <f>OPEX!$B$21*(1+Inputs!$H$28)^(D6-1)</f>
        <v>37774218.75</v>
      </c>
      <c r="E31" s="16">
        <f>OPEX!$B$21*(1+Inputs!$H$28)^(E6-1)</f>
        <v>37774218.75</v>
      </c>
      <c r="F31" s="16">
        <f>OPEX!$B$21*(1+Inputs!$H$28)^(F6-1)</f>
        <v>37774218.75</v>
      </c>
      <c r="G31" s="16">
        <f>OPEX!$B$21*(1+Inputs!$H$28)^(G6-1)</f>
        <v>37774218.75</v>
      </c>
      <c r="H31" s="16">
        <f>OPEX!$B$21*(1+Inputs!$H$28)^(H6-1)</f>
        <v>37774218.75</v>
      </c>
      <c r="I31" s="16">
        <f>OPEX!$B$21*(1+Inputs!$H$28)^(I6-1)</f>
        <v>37774218.75</v>
      </c>
      <c r="J31" s="16">
        <f>OPEX!$B$21*(1+Inputs!$H$28)^(J6-1)</f>
        <v>37774218.75</v>
      </c>
      <c r="K31" s="16">
        <f>OPEX!$B$21*(1+Inputs!$H$28)^(K6-1)</f>
        <v>37774218.75</v>
      </c>
      <c r="L31" s="16">
        <f>OPEX!$B$21*(1+Inputs!$H$28)^(L6-1)</f>
        <v>37774218.75</v>
      </c>
      <c r="M31" s="16">
        <f>OPEX!$B$21*(1+Inputs!$H$28)^(M6-1)</f>
        <v>37774218.75</v>
      </c>
      <c r="N31" s="16">
        <f>OPEX!$B$21*(1+Inputs!$H$28)^(N6-1)</f>
        <v>37774218.75</v>
      </c>
      <c r="O31" s="16">
        <f>OPEX!$B$21*(1+Inputs!$H$28)^(O6-1)</f>
        <v>40040671.875</v>
      </c>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row>
    <row r="32" spans="1:62" ht="15" customHeight="1" x14ac:dyDescent="0.2">
      <c r="A32" s="15" t="s">
        <v>1029</v>
      </c>
      <c r="B32" s="15"/>
      <c r="C32" s="16">
        <f>OPEX!$B$22*C12</f>
        <v>0</v>
      </c>
      <c r="D32" s="16">
        <f>OPEX!$B$22*D12</f>
        <v>0</v>
      </c>
      <c r="E32" s="16">
        <f>OPEX!$B$22*E12</f>
        <v>0</v>
      </c>
      <c r="F32" s="16">
        <f>OPEX!$B$22*F12</f>
        <v>0</v>
      </c>
      <c r="G32" s="16">
        <f>OPEX!$B$22*G12</f>
        <v>0</v>
      </c>
      <c r="H32" s="16">
        <f>OPEX!$B$22*H12</f>
        <v>0</v>
      </c>
      <c r="I32" s="16">
        <f>OPEX!$B$22*I12</f>
        <v>0</v>
      </c>
      <c r="J32" s="16">
        <f>OPEX!$B$22*J12</f>
        <v>0</v>
      </c>
      <c r="K32" s="16">
        <f>OPEX!$B$22*K12</f>
        <v>0</v>
      </c>
      <c r="L32" s="16">
        <f>OPEX!$B$22*L12</f>
        <v>0</v>
      </c>
      <c r="M32" s="16">
        <f>OPEX!$B$22*M12</f>
        <v>0</v>
      </c>
      <c r="N32" s="16">
        <f>OPEX!$B$22*N12</f>
        <v>0</v>
      </c>
      <c r="O32" s="16">
        <f>OPEX!$B$22*O12</f>
        <v>0</v>
      </c>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row>
    <row r="33" spans="1:62" ht="15" customHeight="1" x14ac:dyDescent="0.2">
      <c r="A33" s="15" t="s">
        <v>513</v>
      </c>
      <c r="B33" s="15"/>
      <c r="C33" s="16">
        <f>OPEX!$B$18*C12</f>
        <v>19002300</v>
      </c>
      <c r="D33" s="16">
        <f>OPEX!$B$18*D12</f>
        <v>19002300</v>
      </c>
      <c r="E33" s="16">
        <f>OPEX!$B$18*E12</f>
        <v>19002300</v>
      </c>
      <c r="F33" s="16">
        <f>OPEX!$B$18*F12</f>
        <v>19002300</v>
      </c>
      <c r="G33" s="16">
        <f>OPEX!$B$18*G12</f>
        <v>19002300</v>
      </c>
      <c r="H33" s="16">
        <f>OPEX!$B$18*H12</f>
        <v>19002300</v>
      </c>
      <c r="I33" s="16">
        <f>OPEX!$B$18*I12</f>
        <v>19002300</v>
      </c>
      <c r="J33" s="16">
        <f>OPEX!$B$18*J12</f>
        <v>19002300</v>
      </c>
      <c r="K33" s="16">
        <f>OPEX!$B$18*K12</f>
        <v>19002300</v>
      </c>
      <c r="L33" s="16">
        <f>OPEX!$B$18*L12</f>
        <v>19002300</v>
      </c>
      <c r="M33" s="16">
        <f>OPEX!$B$18*M12</f>
        <v>19002300</v>
      </c>
      <c r="N33" s="16">
        <f>OPEX!$B$18*N12</f>
        <v>19002300</v>
      </c>
      <c r="O33" s="16">
        <f>OPEX!$B$18*O12</f>
        <v>19667380.5</v>
      </c>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row>
    <row r="34" spans="1:62" ht="15" customHeight="1" x14ac:dyDescent="0.2">
      <c r="A34" s="15" t="s">
        <v>1618</v>
      </c>
      <c r="B34" s="15"/>
      <c r="C34" s="16">
        <f>OPEX!$B$13*C12+IF(Inputs!$H$4=2,SUMPRODUCT(('CAPEX (Rent)'!$V$8:$V$25&gt;=C$4)*'CAPEX (Rent)'!$U$8:$U$25),0)</f>
        <v>67483149.583333328</v>
      </c>
      <c r="D34" s="16">
        <f>OPEX!$B$13*D12+IF(Inputs!$H$4=2,SUMPRODUCT(('CAPEX (Rent)'!$V$8:$V$25&gt;=D$4)*'CAPEX (Rent)'!$U$8:$U$25),0)</f>
        <v>67483149.583333328</v>
      </c>
      <c r="E34" s="16">
        <f>OPEX!$B$13*E12+IF(Inputs!$H$4=2,SUMPRODUCT(('CAPEX (Rent)'!$V$8:$V$25&gt;=E$4)*'CAPEX (Rent)'!$U$8:$U$25),0)</f>
        <v>67483149.583333328</v>
      </c>
      <c r="F34" s="16">
        <f>OPEX!$B$13*F12+IF(Inputs!$H$4=2,SUMPRODUCT(('CAPEX (Rent)'!$V$8:$V$25&gt;=F$4)*'CAPEX (Rent)'!$U$8:$U$25),0)</f>
        <v>67483149.583333328</v>
      </c>
      <c r="G34" s="16">
        <f>OPEX!$B$13*G12+IF(Inputs!$H$4=2,SUMPRODUCT(('CAPEX (Rent)'!$V$8:$V$25&gt;=G$4)*'CAPEX (Rent)'!$U$8:$U$25),0)</f>
        <v>67483149.583333328</v>
      </c>
      <c r="H34" s="16">
        <f>OPEX!$B$13*H12+IF(Inputs!$H$4=2,SUMPRODUCT(('CAPEX (Rent)'!$V$8:$V$25&gt;=H$4)*'CAPEX (Rent)'!$U$8:$U$25),0)</f>
        <v>67483149.583333328</v>
      </c>
      <c r="I34" s="16">
        <f>OPEX!$B$13*I12+IF(Inputs!$H$4=2,SUMPRODUCT(('CAPEX (Rent)'!$V$8:$V$25&gt;=I$4)*'CAPEX (Rent)'!$U$8:$U$25),0)</f>
        <v>67483149.583333328</v>
      </c>
      <c r="J34" s="16">
        <f>OPEX!$B$13*J12+IF(Inputs!$H$4=2,SUMPRODUCT(('CAPEX (Rent)'!$V$8:$V$25&gt;=J$4)*'CAPEX (Rent)'!$U$8:$U$25),0)</f>
        <v>67483149.583333328</v>
      </c>
      <c r="K34" s="16">
        <f>OPEX!$B$13*K12+IF(Inputs!$H$4=2,SUMPRODUCT(('CAPEX (Rent)'!$V$8:$V$25&gt;=K$4)*'CAPEX (Rent)'!$U$8:$U$25),0)</f>
        <v>67483149.583333328</v>
      </c>
      <c r="L34" s="16">
        <f>OPEX!$B$13*L12+IF(Inputs!$H$4=2,SUMPRODUCT(('CAPEX (Rent)'!$V$8:$V$25&gt;=L$4)*'CAPEX (Rent)'!$U$8:$U$25),0)</f>
        <v>67483149.583333328</v>
      </c>
      <c r="M34" s="16">
        <f>OPEX!$B$13*M12+IF(Inputs!$H$4=2,SUMPRODUCT(('CAPEX (Rent)'!$V$8:$V$25&gt;=M$4)*'CAPEX (Rent)'!$U$8:$U$25),0)</f>
        <v>67483149.583333328</v>
      </c>
      <c r="N34" s="16">
        <f>OPEX!$B$13*N12+IF(Inputs!$H$4=2,SUMPRODUCT(('CAPEX (Rent)'!$V$8:$V$25&gt;=N$4)*'CAPEX (Rent)'!$U$8:$U$25),0)</f>
        <v>67483149.583333328</v>
      </c>
      <c r="O34" s="16">
        <f>OPEX!$B$13*O12+IF(Inputs!$H$4=2,SUMPRODUCT(('CAPEX (Rent)'!$V$8:$V$25&gt;=O$4)*'CAPEX (Rent)'!$U$8:$U$25),0)</f>
        <v>69198149.583333328</v>
      </c>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row>
    <row r="35" spans="1:62" ht="15" customHeight="1" x14ac:dyDescent="0.2">
      <c r="A35" s="12" t="s">
        <v>1619</v>
      </c>
      <c r="B35" s="15" t="s">
        <v>1619</v>
      </c>
      <c r="C35" s="59">
        <f t="shared" ref="C35:O35" si="4">C28-SUM(C30:C34)</f>
        <v>-56892700.616693288</v>
      </c>
      <c r="D35" s="59">
        <f t="shared" si="4"/>
        <v>-32932829.25930962</v>
      </c>
      <c r="E35" s="59">
        <f t="shared" si="4"/>
        <v>-8972957.901925981</v>
      </c>
      <c r="F35" s="59">
        <f t="shared" si="4"/>
        <v>14986913.455457628</v>
      </c>
      <c r="G35" s="59">
        <f t="shared" si="4"/>
        <v>38946784.812841237</v>
      </c>
      <c r="H35" s="59">
        <f t="shared" si="4"/>
        <v>90651006.030509651</v>
      </c>
      <c r="I35" s="59">
        <f t="shared" si="4"/>
        <v>86866527.527608573</v>
      </c>
      <c r="J35" s="59">
        <f t="shared" si="4"/>
        <v>79327174.607526124</v>
      </c>
      <c r="K35" s="59">
        <f t="shared" si="4"/>
        <v>113925856.81359035</v>
      </c>
      <c r="L35" s="59">
        <f t="shared" si="4"/>
        <v>134786270.24237579</v>
      </c>
      <c r="M35" s="59">
        <f t="shared" si="4"/>
        <v>134786270.24237579</v>
      </c>
      <c r="N35" s="59">
        <f t="shared" si="4"/>
        <v>134786270.24237579</v>
      </c>
      <c r="O35" s="59">
        <f t="shared" si="4"/>
        <v>136829612.90040416</v>
      </c>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row>
    <row r="36" spans="1:62" ht="15" customHeight="1" x14ac:dyDescent="0.2">
      <c r="A36" s="15" t="s">
        <v>201</v>
      </c>
      <c r="B36" s="15"/>
      <c r="C36" s="55">
        <f t="shared" ref="C36:O36" si="5">IFERROR(C35/C18,0)</f>
        <v>-0.14061589909130032</v>
      </c>
      <c r="D36" s="55">
        <f t="shared" si="5"/>
        <v>-7.384444978137876E-2</v>
      </c>
      <c r="E36" s="55">
        <f t="shared" si="5"/>
        <v>-1.8411548467481689E-2</v>
      </c>
      <c r="F36" s="55">
        <f t="shared" si="5"/>
        <v>2.8344898727718393E-2</v>
      </c>
      <c r="G36" s="55">
        <f t="shared" si="5"/>
        <v>6.8314119717163627E-2</v>
      </c>
      <c r="H36" s="55">
        <f t="shared" si="5"/>
        <v>0.13747199835167312</v>
      </c>
      <c r="I36" s="55">
        <f t="shared" si="5"/>
        <v>0.1330529987845751</v>
      </c>
      <c r="J36" s="55">
        <f t="shared" si="5"/>
        <v>0.12397907599630661</v>
      </c>
      <c r="K36" s="55">
        <f t="shared" si="5"/>
        <v>0.16284462704478403</v>
      </c>
      <c r="L36" s="55">
        <f t="shared" si="5"/>
        <v>0.18322563006181883</v>
      </c>
      <c r="M36" s="55">
        <f t="shared" si="5"/>
        <v>0.18322563006181883</v>
      </c>
      <c r="N36" s="55">
        <f t="shared" si="5"/>
        <v>0.18322563006181883</v>
      </c>
      <c r="O36" s="55">
        <f t="shared" si="5"/>
        <v>0.17884933387865889</v>
      </c>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row>
    <row r="37" spans="1:62" ht="15" customHeight="1" x14ac:dyDescent="0.2">
      <c r="A37" s="15" t="s">
        <v>1620</v>
      </c>
      <c r="B37" s="15"/>
      <c r="C37" s="16">
        <f>IF(C4&lt;=Inputs!$H$81*12,CHOOSE(Inputs!$H$4,'CAPEX (Buy)'!$H$42,'CAPEX (Rent)'!$H$45)/(Inputs!$H$81*12),0)</f>
        <v>29497325.000000007</v>
      </c>
      <c r="D37" s="16">
        <f>IF(D4&lt;=Inputs!$H$81*12,CHOOSE(Inputs!$H$4,'CAPEX (Buy)'!$H$42,'CAPEX (Rent)'!$H$45)/(Inputs!$H$81*12),0)</f>
        <v>29497325.000000007</v>
      </c>
      <c r="E37" s="16">
        <f>IF(E4&lt;=Inputs!$H$81*12,CHOOSE(Inputs!$H$4,'CAPEX (Buy)'!$H$42,'CAPEX (Rent)'!$H$45)/(Inputs!$H$81*12),0)</f>
        <v>29497325.000000007</v>
      </c>
      <c r="F37" s="16">
        <f>IF(F4&lt;=Inputs!$H$81*12,CHOOSE(Inputs!$H$4,'CAPEX (Buy)'!$H$42,'CAPEX (Rent)'!$H$45)/(Inputs!$H$81*12),0)</f>
        <v>29497325.000000007</v>
      </c>
      <c r="G37" s="16">
        <f>IF(G4&lt;=Inputs!$H$81*12,CHOOSE(Inputs!$H$4,'CAPEX (Buy)'!$H$42,'CAPEX (Rent)'!$H$45)/(Inputs!$H$81*12),0)</f>
        <v>29497325.000000007</v>
      </c>
      <c r="H37" s="16">
        <f>IF(H4&lt;=Inputs!$H$81*12,CHOOSE(Inputs!$H$4,'CAPEX (Buy)'!$H$42,'CAPEX (Rent)'!$H$45)/(Inputs!$H$81*12),0)</f>
        <v>29497325.000000007</v>
      </c>
      <c r="I37" s="16">
        <f>IF(I4&lt;=Inputs!$H$81*12,CHOOSE(Inputs!$H$4,'CAPEX (Buy)'!$H$42,'CAPEX (Rent)'!$H$45)/(Inputs!$H$81*12),0)</f>
        <v>29497325.000000007</v>
      </c>
      <c r="J37" s="16">
        <f>IF(J4&lt;=Inputs!$H$81*12,CHOOSE(Inputs!$H$4,'CAPEX (Buy)'!$H$42,'CAPEX (Rent)'!$H$45)/(Inputs!$H$81*12),0)</f>
        <v>29497325.000000007</v>
      </c>
      <c r="K37" s="16">
        <f>IF(K4&lt;=Inputs!$H$81*12,CHOOSE(Inputs!$H$4,'CAPEX (Buy)'!$H$42,'CAPEX (Rent)'!$H$45)/(Inputs!$H$81*12),0)</f>
        <v>29497325.000000007</v>
      </c>
      <c r="L37" s="16">
        <f>IF(L4&lt;=Inputs!$H$81*12,CHOOSE(Inputs!$H$4,'CAPEX (Buy)'!$H$42,'CAPEX (Rent)'!$H$45)/(Inputs!$H$81*12),0)</f>
        <v>29497325.000000007</v>
      </c>
      <c r="M37" s="16">
        <f>IF(M4&lt;=Inputs!$H$81*12,CHOOSE(Inputs!$H$4,'CAPEX (Buy)'!$H$42,'CAPEX (Rent)'!$H$45)/(Inputs!$H$81*12),0)</f>
        <v>29497325.000000007</v>
      </c>
      <c r="N37" s="16">
        <f>IF(N4&lt;=Inputs!$H$81*12,CHOOSE(Inputs!$H$4,'CAPEX (Buy)'!$H$42,'CAPEX (Rent)'!$H$45)/(Inputs!$H$81*12),0)</f>
        <v>29497325.000000007</v>
      </c>
      <c r="O37" s="16">
        <f>IF(O4&lt;=Inputs!$H$81*12,CHOOSE(Inputs!$H$4,'CAPEX (Buy)'!$H$42,'CAPEX (Rent)'!$H$45)/(Inputs!$H$81*12),0)</f>
        <v>29497325.000000007</v>
      </c>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row>
    <row r="38" spans="1:62" ht="15" customHeight="1" x14ac:dyDescent="0.2">
      <c r="A38" s="15" t="s">
        <v>1621</v>
      </c>
      <c r="B38" s="15"/>
      <c r="C38" s="16">
        <f>IF(AND(Funding!$B$10&gt;0,C4&lt;=Funding!$B$17),IPMT(Funding!$B$16/12,C4,Funding!$B$17,-Funding!$B$10),0)</f>
        <v>0</v>
      </c>
      <c r="D38" s="16">
        <f>IF(AND(Funding!$B$10&gt;0,D4&lt;=Funding!$B$17),IPMT(Funding!$B$16/12,D4,Funding!$B$17,-Funding!$B$10),0)</f>
        <v>0</v>
      </c>
      <c r="E38" s="16">
        <f>IF(AND(Funding!$B$10&gt;0,E4&lt;=Funding!$B$17),IPMT(Funding!$B$16/12,E4,Funding!$B$17,-Funding!$B$10),0)</f>
        <v>0</v>
      </c>
      <c r="F38" s="16">
        <f>IF(AND(Funding!$B$10&gt;0,F4&lt;=Funding!$B$17),IPMT(Funding!$B$16/12,F4,Funding!$B$17,-Funding!$B$10),0)</f>
        <v>0</v>
      </c>
      <c r="G38" s="16">
        <f>IF(AND(Funding!$B$10&gt;0,G4&lt;=Funding!$B$17),IPMT(Funding!$B$16/12,G4,Funding!$B$17,-Funding!$B$10),0)</f>
        <v>0</v>
      </c>
      <c r="H38" s="16">
        <f>IF(AND(Funding!$B$10&gt;0,H4&lt;=Funding!$B$17),IPMT(Funding!$B$16/12,H4,Funding!$B$17,-Funding!$B$10),0)</f>
        <v>0</v>
      </c>
      <c r="I38" s="16">
        <f>IF(AND(Funding!$B$10&gt;0,I4&lt;=Funding!$B$17),IPMT(Funding!$B$16/12,I4,Funding!$B$17,-Funding!$B$10),0)</f>
        <v>0</v>
      </c>
      <c r="J38" s="16">
        <f>IF(AND(Funding!$B$10&gt;0,J4&lt;=Funding!$B$17),IPMT(Funding!$B$16/12,J4,Funding!$B$17,-Funding!$B$10),0)</f>
        <v>0</v>
      </c>
      <c r="K38" s="16">
        <f>IF(AND(Funding!$B$10&gt;0,K4&lt;=Funding!$B$17),IPMT(Funding!$B$16/12,K4,Funding!$B$17,-Funding!$B$10),0)</f>
        <v>0</v>
      </c>
      <c r="L38" s="16">
        <f>IF(AND(Funding!$B$10&gt;0,L4&lt;=Funding!$B$17),IPMT(Funding!$B$16/12,L4,Funding!$B$17,-Funding!$B$10),0)</f>
        <v>0</v>
      </c>
      <c r="M38" s="16">
        <f>IF(AND(Funding!$B$10&gt;0,M4&lt;=Funding!$B$17),IPMT(Funding!$B$16/12,M4,Funding!$B$17,-Funding!$B$10),0)</f>
        <v>0</v>
      </c>
      <c r="N38" s="16">
        <f>IF(AND(Funding!$B$10&gt;0,N4&lt;=Funding!$B$17),IPMT(Funding!$B$16/12,N4,Funding!$B$17,-Funding!$B$10),0)</f>
        <v>0</v>
      </c>
      <c r="O38" s="16">
        <f>IF(AND(Funding!$B$10&gt;0,O4&lt;=Funding!$B$17),IPMT(Funding!$B$16/12,O4,Funding!$B$17,-Funding!$B$10),0)</f>
        <v>0</v>
      </c>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row>
    <row r="39" spans="1:62" ht="15" customHeight="1" x14ac:dyDescent="0.2">
      <c r="A39" s="15" t="s">
        <v>1622</v>
      </c>
      <c r="B39" s="15"/>
      <c r="C39" s="53">
        <f t="shared" ref="C39:O39" si="6">C35-C37-C38</f>
        <v>-86390025.616693288</v>
      </c>
      <c r="D39" s="53">
        <f t="shared" si="6"/>
        <v>-62430154.259309627</v>
      </c>
      <c r="E39" s="53">
        <f t="shared" si="6"/>
        <v>-38470282.901925988</v>
      </c>
      <c r="F39" s="53">
        <f t="shared" si="6"/>
        <v>-14510411.54454238</v>
      </c>
      <c r="G39" s="53">
        <f t="shared" si="6"/>
        <v>9449459.8128412291</v>
      </c>
      <c r="H39" s="53">
        <f t="shared" si="6"/>
        <v>61153681.030509643</v>
      </c>
      <c r="I39" s="53">
        <f t="shared" si="6"/>
        <v>57369202.527608566</v>
      </c>
      <c r="J39" s="53">
        <f t="shared" si="6"/>
        <v>49829849.607526116</v>
      </c>
      <c r="K39" s="53">
        <f t="shared" si="6"/>
        <v>84428531.813590348</v>
      </c>
      <c r="L39" s="53">
        <f t="shared" si="6"/>
        <v>105288945.24237579</v>
      </c>
      <c r="M39" s="53">
        <f t="shared" si="6"/>
        <v>105288945.24237579</v>
      </c>
      <c r="N39" s="53">
        <f t="shared" si="6"/>
        <v>105288945.24237579</v>
      </c>
      <c r="O39" s="53">
        <f t="shared" si="6"/>
        <v>107332287.90040416</v>
      </c>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ht="15" customHeight="1" x14ac:dyDescent="0.2">
      <c r="A40" s="15" t="s">
        <v>1623</v>
      </c>
      <c r="B40" s="15"/>
      <c r="C40" s="53">
        <f>SUM($C39:C39)</f>
        <v>-86390025.616693288</v>
      </c>
      <c r="D40" s="53">
        <f>SUM($C39:D39)</f>
        <v>-148820179.87600291</v>
      </c>
      <c r="E40" s="53">
        <f>SUM($C39:E39)</f>
        <v>-187290462.77792889</v>
      </c>
      <c r="F40" s="53">
        <f>SUM($C39:F39)</f>
        <v>-201800874.32247126</v>
      </c>
      <c r="G40" s="53">
        <f>SUM($C39:G39)</f>
        <v>-192351414.50963002</v>
      </c>
      <c r="H40" s="53">
        <f>SUM($C39:H39)</f>
        <v>-131197733.47912037</v>
      </c>
      <c r="I40" s="53">
        <f>SUM($C39:I39)</f>
        <v>-73828530.9515118</v>
      </c>
      <c r="J40" s="53">
        <f>SUM($C39:J39)</f>
        <v>-23998681.343985684</v>
      </c>
      <c r="K40" s="53">
        <f>SUM($C39:K39)</f>
        <v>60429850.469604664</v>
      </c>
      <c r="L40" s="53">
        <f>SUM($C39:L39)</f>
        <v>165718795.71198046</v>
      </c>
      <c r="M40" s="53">
        <f>SUM($C39:M39)</f>
        <v>271007740.95435625</v>
      </c>
      <c r="N40" s="53">
        <f>SUM($C39:N39)</f>
        <v>376296686.19673204</v>
      </c>
      <c r="O40" s="53">
        <f>SUM($C39:O39)</f>
        <v>483628974.0971362</v>
      </c>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ht="15" customHeight="1" x14ac:dyDescent="0.2">
      <c r="A41" s="15" t="s">
        <v>1624</v>
      </c>
      <c r="B41" s="15"/>
      <c r="C41" s="16">
        <f>MAX(0,C40*Inputs!$H$16-0)</f>
        <v>0</v>
      </c>
      <c r="D41" s="16">
        <f>MAX(0,D40*Inputs!$H$16-SUM($C$41:C$41))</f>
        <v>0</v>
      </c>
      <c r="E41" s="16">
        <f>MAX(0,E40*Inputs!$H$16-SUM($C$41:D$41))</f>
        <v>0</v>
      </c>
      <c r="F41" s="16">
        <f>MAX(0,F40*Inputs!$H$16-SUM($C$41:E$41))</f>
        <v>0</v>
      </c>
      <c r="G41" s="16">
        <f>MAX(0,G40*Inputs!$H$16-SUM($C$41:F$41))</f>
        <v>0</v>
      </c>
      <c r="H41" s="16">
        <f>MAX(0,H40*Inputs!$H$16-SUM($C$41:G$41))</f>
        <v>0</v>
      </c>
      <c r="I41" s="16">
        <f>MAX(0,I40*Inputs!$H$16-SUM($C$41:H$41))</f>
        <v>0</v>
      </c>
      <c r="J41" s="16">
        <f>MAX(0,J40*Inputs!$H$16-SUM($C$41:I$41))</f>
        <v>0</v>
      </c>
      <c r="K41" s="16">
        <f>MAX(0,K40*Inputs!$H$16-SUM($C$41:J$41))</f>
        <v>13294567.103313027</v>
      </c>
      <c r="L41" s="16">
        <f>MAX(0,L40*Inputs!$H$16-SUM($C$41:K$41))</f>
        <v>23163567.953322671</v>
      </c>
      <c r="M41" s="16">
        <f>MAX(0,M40*Inputs!$H$16-SUM($C$41:L$41))</f>
        <v>23163567.953322679</v>
      </c>
      <c r="N41" s="16">
        <f>MAX(0,N40*Inputs!$H$16-SUM($C$41:M$41))</f>
        <v>23163567.953322671</v>
      </c>
      <c r="O41" s="16">
        <f>MAX(0,O40*Inputs!$H$16-SUM($C$41:N$41))</f>
        <v>23613103.338088915</v>
      </c>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row>
    <row r="42" spans="1:62" ht="15" customHeight="1" x14ac:dyDescent="0.2">
      <c r="A42" s="12" t="s">
        <v>1625</v>
      </c>
      <c r="B42" s="15"/>
      <c r="C42" s="59">
        <f t="shared" ref="C42:O42" si="7">C39-C41</f>
        <v>-86390025.616693288</v>
      </c>
      <c r="D42" s="59">
        <f t="shared" si="7"/>
        <v>-62430154.259309627</v>
      </c>
      <c r="E42" s="59">
        <f t="shared" si="7"/>
        <v>-38470282.901925988</v>
      </c>
      <c r="F42" s="59">
        <f t="shared" si="7"/>
        <v>-14510411.54454238</v>
      </c>
      <c r="G42" s="59">
        <f t="shared" si="7"/>
        <v>9449459.8128412291</v>
      </c>
      <c r="H42" s="59">
        <f t="shared" si="7"/>
        <v>61153681.030509643</v>
      </c>
      <c r="I42" s="59">
        <f t="shared" si="7"/>
        <v>57369202.527608566</v>
      </c>
      <c r="J42" s="59">
        <f t="shared" si="7"/>
        <v>49829849.607526116</v>
      </c>
      <c r="K42" s="59">
        <f t="shared" si="7"/>
        <v>71133964.710277319</v>
      </c>
      <c r="L42" s="59">
        <f t="shared" si="7"/>
        <v>82125377.289053112</v>
      </c>
      <c r="M42" s="59">
        <f t="shared" si="7"/>
        <v>82125377.289053112</v>
      </c>
      <c r="N42" s="59">
        <f t="shared" si="7"/>
        <v>82125377.289053112</v>
      </c>
      <c r="O42" s="59">
        <f t="shared" si="7"/>
        <v>83719184.562315241</v>
      </c>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c r="BG42" s="59"/>
      <c r="BH42" s="59"/>
      <c r="BI42" s="59"/>
      <c r="BJ42" s="59"/>
    </row>
    <row r="43" spans="1:62" ht="15" customHeight="1" x14ac:dyDescent="0.2">
      <c r="A43" s="120" t="s">
        <v>1626</v>
      </c>
      <c r="B43" s="121"/>
    </row>
    <row r="44" spans="1:62" ht="15" customHeight="1" x14ac:dyDescent="0.2">
      <c r="A44" s="15" t="s">
        <v>1627</v>
      </c>
      <c r="B44" s="15"/>
      <c r="C44" s="16">
        <f>IF(AND(MOD(C4-1,Inputs!$H$29)=0,C4&gt;1),SUMIFS($C$31:$BJ$31,$C$4:$BJ$4,"&gt;="&amp;C4,$C$4:$BJ$4,"&lt;"&amp;(C4+Inputs!$H$29)),0)</f>
        <v>0</v>
      </c>
      <c r="D44" s="16">
        <f>IF(AND(MOD(D4-1,Inputs!$H$29)=0,D4&gt;1),SUMIFS($C$31:$BJ$31,$C$4:$BJ$4,"&gt;="&amp;D4,$C$4:$BJ$4,"&lt;"&amp;(D4+Inputs!$H$29)),0)</f>
        <v>0</v>
      </c>
      <c r="E44" s="16">
        <f>IF(AND(MOD(E4-1,Inputs!$H$29)=0,E4&gt;1),SUMIFS($C$31:$BJ$31,$C$4:$BJ$4,"&gt;="&amp;E4,$C$4:$BJ$4,"&lt;"&amp;(E4+Inputs!$H$29)),0)</f>
        <v>0</v>
      </c>
      <c r="F44" s="16">
        <f>IF(AND(MOD(F4-1,Inputs!$H$29)=0,F4&gt;1),SUMIFS($C$31:$BJ$31,$C$4:$BJ$4,"&gt;="&amp;F4,$C$4:$BJ$4,"&lt;"&amp;(F4+Inputs!$H$29)),0)</f>
        <v>0</v>
      </c>
      <c r="G44" s="16">
        <f>IF(AND(MOD(G4-1,Inputs!$H$29)=0,G4&gt;1),SUMIFS($C$31:$BJ$31,$C$4:$BJ$4,"&gt;="&amp;G4,$C$4:$BJ$4,"&lt;"&amp;(G4+Inputs!$H$29)),0)</f>
        <v>0</v>
      </c>
      <c r="H44" s="16">
        <f>IF(AND(MOD(H4-1,Inputs!$H$29)=0,H4&gt;1),SUMIFS($C$31:$BJ$31,$C$4:$BJ$4,"&gt;="&amp;H4,$C$4:$BJ$4,"&lt;"&amp;(H4+Inputs!$H$29)),0)</f>
        <v>0</v>
      </c>
      <c r="I44" s="16">
        <f>IF(AND(MOD(I4-1,Inputs!$H$29)=0,I4&gt;1),SUMIFS($C$31:$BJ$31,$C$4:$BJ$4,"&gt;="&amp;I4,$C$4:$BJ$4,"&lt;"&amp;(I4+Inputs!$H$29)),0)</f>
        <v>0</v>
      </c>
      <c r="J44" s="16">
        <f>IF(AND(MOD(J4-1,Inputs!$H$29)=0,J4&gt;1),SUMIFS($C$31:$BJ$31,$C$4:$BJ$4,"&gt;="&amp;J4,$C$4:$BJ$4,"&lt;"&amp;(J4+Inputs!$H$29)),0)</f>
        <v>0</v>
      </c>
      <c r="K44" s="16">
        <f>IF(AND(MOD(K4-1,Inputs!$H$29)=0,K4&gt;1),SUMIFS($C$31:$BJ$31,$C$4:$BJ$4,"&gt;="&amp;K4,$C$4:$BJ$4,"&lt;"&amp;(K4+Inputs!$H$29)),0)</f>
        <v>0</v>
      </c>
      <c r="L44" s="16">
        <f>IF(AND(MOD(L4-1,Inputs!$H$29)=0,L4&gt;1),SUMIFS($C$31:$BJ$31,$C$4:$BJ$4,"&gt;="&amp;L4,$C$4:$BJ$4,"&lt;"&amp;(L4+Inputs!$H$29)),0)</f>
        <v>0</v>
      </c>
      <c r="M44" s="16">
        <f>IF(AND(MOD(M4-1,Inputs!$H$29)=0,M4&gt;1),SUMIFS($C$31:$BJ$31,$C$4:$BJ$4,"&gt;="&amp;M4,$C$4:$BJ$4,"&lt;"&amp;(M4+Inputs!$H$29)),0)</f>
        <v>0</v>
      </c>
      <c r="N44" s="16">
        <f>IF(AND(MOD(N4-1,Inputs!$H$29)=0,N4&gt;1),SUMIFS($C$31:$BJ$31,$C$4:$BJ$4,"&gt;="&amp;N4,$C$4:$BJ$4,"&lt;"&amp;(N4+Inputs!$H$29)),0)</f>
        <v>0</v>
      </c>
      <c r="O44" s="16">
        <f>IF(AND(MOD(O4-1,Inputs!$H$29)=0,O4&gt;1),SUMIFS($C$31:$BJ$31,$C$4:$BJ$4,"&gt;="&amp;O4,$C$4:$BJ$4,"&lt;"&amp;(O4+Inputs!$H$29)),0)</f>
        <v>40040671.875</v>
      </c>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row>
    <row r="45" spans="1:62" ht="15" customHeight="1" x14ac:dyDescent="0.2">
      <c r="A45" s="15" t="s">
        <v>1628</v>
      </c>
      <c r="B45" s="15"/>
      <c r="C45" s="53">
        <f t="shared" ref="C45:O45" si="8">C31-C44</f>
        <v>37774218.75</v>
      </c>
      <c r="D45" s="53">
        <f t="shared" si="8"/>
        <v>37774218.75</v>
      </c>
      <c r="E45" s="53">
        <f t="shared" si="8"/>
        <v>37774218.75</v>
      </c>
      <c r="F45" s="53">
        <f t="shared" si="8"/>
        <v>37774218.75</v>
      </c>
      <c r="G45" s="53">
        <f t="shared" si="8"/>
        <v>37774218.75</v>
      </c>
      <c r="H45" s="53">
        <f t="shared" si="8"/>
        <v>37774218.75</v>
      </c>
      <c r="I45" s="53">
        <f t="shared" si="8"/>
        <v>37774218.75</v>
      </c>
      <c r="J45" s="53">
        <f t="shared" si="8"/>
        <v>37774218.75</v>
      </c>
      <c r="K45" s="53">
        <f t="shared" si="8"/>
        <v>37774218.75</v>
      </c>
      <c r="L45" s="53">
        <f t="shared" si="8"/>
        <v>37774218.75</v>
      </c>
      <c r="M45" s="53">
        <f t="shared" si="8"/>
        <v>37774218.75</v>
      </c>
      <c r="N45" s="53">
        <f t="shared" si="8"/>
        <v>37774218.75</v>
      </c>
      <c r="O45" s="53">
        <f t="shared" si="8"/>
        <v>0</v>
      </c>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ht="15" customHeight="1" x14ac:dyDescent="0.2">
      <c r="A46" s="15" t="s">
        <v>1629</v>
      </c>
      <c r="B46" s="15"/>
      <c r="C46" s="16">
        <f>IF(AND(Funding!$B$10&gt;0,C4&lt;=Funding!$B$17),PPMT(Funding!$B$16/12,C4,Funding!$B$17,-Funding!$B$10),0)</f>
        <v>0</v>
      </c>
      <c r="D46" s="16">
        <f>IF(AND(Funding!$B$10&gt;0,D4&lt;=Funding!$B$17),PPMT(Funding!$B$16/12,D4,Funding!$B$17,-Funding!$B$10),0)</f>
        <v>0</v>
      </c>
      <c r="E46" s="16">
        <f>IF(AND(Funding!$B$10&gt;0,E4&lt;=Funding!$B$17),PPMT(Funding!$B$16/12,E4,Funding!$B$17,-Funding!$B$10),0)</f>
        <v>0</v>
      </c>
      <c r="F46" s="16">
        <f>IF(AND(Funding!$B$10&gt;0,F4&lt;=Funding!$B$17),PPMT(Funding!$B$16/12,F4,Funding!$B$17,-Funding!$B$10),0)</f>
        <v>0</v>
      </c>
      <c r="G46" s="16">
        <f>IF(AND(Funding!$B$10&gt;0,G4&lt;=Funding!$B$17),PPMT(Funding!$B$16/12,G4,Funding!$B$17,-Funding!$B$10),0)</f>
        <v>0</v>
      </c>
      <c r="H46" s="16">
        <f>IF(AND(Funding!$B$10&gt;0,H4&lt;=Funding!$B$17),PPMT(Funding!$B$16/12,H4,Funding!$B$17,-Funding!$B$10),0)</f>
        <v>0</v>
      </c>
      <c r="I46" s="16">
        <f>IF(AND(Funding!$B$10&gt;0,I4&lt;=Funding!$B$17),PPMT(Funding!$B$16/12,I4,Funding!$B$17,-Funding!$B$10),0)</f>
        <v>0</v>
      </c>
      <c r="J46" s="16">
        <f>IF(AND(Funding!$B$10&gt;0,J4&lt;=Funding!$B$17),PPMT(Funding!$B$16/12,J4,Funding!$B$17,-Funding!$B$10),0)</f>
        <v>0</v>
      </c>
      <c r="K46" s="16">
        <f>IF(AND(Funding!$B$10&gt;0,K4&lt;=Funding!$B$17),PPMT(Funding!$B$16/12,K4,Funding!$B$17,-Funding!$B$10),0)</f>
        <v>0</v>
      </c>
      <c r="L46" s="16">
        <f>IF(AND(Funding!$B$10&gt;0,L4&lt;=Funding!$B$17),PPMT(Funding!$B$16/12,L4,Funding!$B$17,-Funding!$B$10),0)</f>
        <v>0</v>
      </c>
      <c r="M46" s="16">
        <f>IF(AND(Funding!$B$10&gt;0,M4&lt;=Funding!$B$17),PPMT(Funding!$B$16/12,M4,Funding!$B$17,-Funding!$B$10),0)</f>
        <v>0</v>
      </c>
      <c r="N46" s="16">
        <f>IF(AND(Funding!$B$10&gt;0,N4&lt;=Funding!$B$17),PPMT(Funding!$B$16/12,N4,Funding!$B$17,-Funding!$B$10),0)</f>
        <v>0</v>
      </c>
      <c r="O46" s="16">
        <f>IF(AND(Funding!$B$10&gt;0,O4&lt;=Funding!$B$17),PPMT(Funding!$B$16/12,O4,Funding!$B$17,-Funding!$B$10),0)</f>
        <v>0</v>
      </c>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row>
    <row r="47" spans="1:62" ht="15" customHeight="1" x14ac:dyDescent="0.2">
      <c r="A47" s="12" t="s">
        <v>1630</v>
      </c>
      <c r="B47" s="15"/>
      <c r="C47" s="59">
        <f t="shared" ref="C47:O47" si="9">C35+C45-C41-C38-C46</f>
        <v>-19118481.866693288</v>
      </c>
      <c r="D47" s="59">
        <f t="shared" si="9"/>
        <v>4841389.4906903803</v>
      </c>
      <c r="E47" s="59">
        <f t="shared" si="9"/>
        <v>28801260.848074019</v>
      </c>
      <c r="F47" s="59">
        <f t="shared" si="9"/>
        <v>52761132.205457628</v>
      </c>
      <c r="G47" s="59">
        <f t="shared" si="9"/>
        <v>76721003.562841237</v>
      </c>
      <c r="H47" s="59">
        <f t="shared" si="9"/>
        <v>128425224.78050965</v>
      </c>
      <c r="I47" s="59">
        <f t="shared" si="9"/>
        <v>124640746.27760857</v>
      </c>
      <c r="J47" s="59">
        <f t="shared" si="9"/>
        <v>117101393.35752612</v>
      </c>
      <c r="K47" s="59">
        <f t="shared" si="9"/>
        <v>138405508.46027732</v>
      </c>
      <c r="L47" s="59">
        <f t="shared" si="9"/>
        <v>149396921.03905311</v>
      </c>
      <c r="M47" s="59">
        <f t="shared" si="9"/>
        <v>149396921.03905311</v>
      </c>
      <c r="N47" s="59">
        <f t="shared" si="9"/>
        <v>149396921.03905311</v>
      </c>
      <c r="O47" s="59">
        <f t="shared" si="9"/>
        <v>113216509.56231524</v>
      </c>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row>
    <row r="48" spans="1:62" ht="15" customHeight="1" x14ac:dyDescent="0.2">
      <c r="A48" s="15" t="s">
        <v>1631</v>
      </c>
      <c r="B48" s="15"/>
      <c r="C48" s="16">
        <f>Funding!$B$13</f>
        <v>813932208.875</v>
      </c>
      <c r="D48" s="53">
        <f t="shared" ref="D48:O48" si="10">C49</f>
        <v>794813727.00830674</v>
      </c>
      <c r="E48" s="53">
        <f t="shared" si="10"/>
        <v>799655116.49899709</v>
      </c>
      <c r="F48" s="53">
        <f t="shared" si="10"/>
        <v>828456377.34707117</v>
      </c>
      <c r="G48" s="53">
        <f t="shared" si="10"/>
        <v>881217509.55252886</v>
      </c>
      <c r="H48" s="53">
        <f t="shared" si="10"/>
        <v>957938513.11537004</v>
      </c>
      <c r="I48" s="53">
        <f t="shared" si="10"/>
        <v>1086363737.8958797</v>
      </c>
      <c r="J48" s="53">
        <f t="shared" si="10"/>
        <v>1211004484.1734884</v>
      </c>
      <c r="K48" s="53">
        <f t="shared" si="10"/>
        <v>1328105877.5310144</v>
      </c>
      <c r="L48" s="53">
        <f t="shared" si="10"/>
        <v>1466511385.9912918</v>
      </c>
      <c r="M48" s="53">
        <f t="shared" si="10"/>
        <v>1615908307.030345</v>
      </c>
      <c r="N48" s="53">
        <f t="shared" si="10"/>
        <v>1765305228.0693982</v>
      </c>
      <c r="O48" s="53">
        <f t="shared" si="10"/>
        <v>1914702149.1084514</v>
      </c>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pans="1:62" ht="15" customHeight="1" x14ac:dyDescent="0.2">
      <c r="A49" s="12" t="s">
        <v>1632</v>
      </c>
      <c r="B49" s="15"/>
      <c r="C49" s="59">
        <f t="shared" ref="C49:O49" si="11">C48+C47</f>
        <v>794813727.00830674</v>
      </c>
      <c r="D49" s="59">
        <f t="shared" si="11"/>
        <v>799655116.49899709</v>
      </c>
      <c r="E49" s="59">
        <f t="shared" si="11"/>
        <v>828456377.34707117</v>
      </c>
      <c r="F49" s="59">
        <f t="shared" si="11"/>
        <v>881217509.55252886</v>
      </c>
      <c r="G49" s="59">
        <f t="shared" si="11"/>
        <v>957938513.11537004</v>
      </c>
      <c r="H49" s="59">
        <f t="shared" si="11"/>
        <v>1086363737.8958797</v>
      </c>
      <c r="I49" s="59">
        <f t="shared" si="11"/>
        <v>1211004484.1734884</v>
      </c>
      <c r="J49" s="59">
        <f t="shared" si="11"/>
        <v>1328105877.5310144</v>
      </c>
      <c r="K49" s="59">
        <f t="shared" si="11"/>
        <v>1466511385.9912918</v>
      </c>
      <c r="L49" s="59">
        <f t="shared" si="11"/>
        <v>1615908307.030345</v>
      </c>
      <c r="M49" s="59">
        <f t="shared" si="11"/>
        <v>1765305228.0693982</v>
      </c>
      <c r="N49" s="59">
        <f t="shared" si="11"/>
        <v>1914702149.1084514</v>
      </c>
      <c r="O49" s="59">
        <f t="shared" si="11"/>
        <v>2027918658.6707666</v>
      </c>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row>
    <row r="50" spans="1:62" ht="15" customHeight="1" x14ac:dyDescent="0.2">
      <c r="A50" s="120" t="s">
        <v>1633</v>
      </c>
      <c r="B50" s="121"/>
    </row>
    <row r="51" spans="1:62" ht="15" customHeight="1" x14ac:dyDescent="0.2">
      <c r="A51" s="15" t="s">
        <v>1634</v>
      </c>
      <c r="B51" s="15"/>
      <c r="C51" s="53">
        <f t="shared" ref="C51:O51" si="12">C35+C45-C41</f>
        <v>-19118481.866693288</v>
      </c>
      <c r="D51" s="53">
        <f t="shared" si="12"/>
        <v>4841389.4906903803</v>
      </c>
      <c r="E51" s="53">
        <f t="shared" si="12"/>
        <v>28801260.848074019</v>
      </c>
      <c r="F51" s="53">
        <f t="shared" si="12"/>
        <v>52761132.205457628</v>
      </c>
      <c r="G51" s="53">
        <f t="shared" si="12"/>
        <v>76721003.562841237</v>
      </c>
      <c r="H51" s="53">
        <f t="shared" si="12"/>
        <v>128425224.78050965</v>
      </c>
      <c r="I51" s="53">
        <f t="shared" si="12"/>
        <v>124640746.27760857</v>
      </c>
      <c r="J51" s="53">
        <f t="shared" si="12"/>
        <v>117101393.35752612</v>
      </c>
      <c r="K51" s="53">
        <f t="shared" si="12"/>
        <v>138405508.46027732</v>
      </c>
      <c r="L51" s="53">
        <f t="shared" si="12"/>
        <v>149396921.03905311</v>
      </c>
      <c r="M51" s="53">
        <f t="shared" si="12"/>
        <v>149396921.03905311</v>
      </c>
      <c r="N51" s="53">
        <f t="shared" si="12"/>
        <v>149396921.03905311</v>
      </c>
      <c r="O51" s="53">
        <f t="shared" si="12"/>
        <v>113216509.56231524</v>
      </c>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ht="15" customHeight="1" x14ac:dyDescent="0.2">
      <c r="A52" s="15" t="s">
        <v>1635</v>
      </c>
      <c r="B52" s="15" t="s">
        <v>1635</v>
      </c>
      <c r="C52" s="16">
        <f>-CHOOSE(Inputs!$H$4,'CAPEX (Buy)'!$H$37,'CAPEX (Rent)'!$H$40)+SUM($C51:C51)</f>
        <v>-4285364611.7416935</v>
      </c>
      <c r="D52" s="16">
        <f>-CHOOSE(Inputs!$H$4,'CAPEX (Buy)'!$H$37,'CAPEX (Rent)'!$H$40)+SUM($C51:D51)</f>
        <v>-4280523222.2510028</v>
      </c>
      <c r="E52" s="16">
        <f>-CHOOSE(Inputs!$H$4,'CAPEX (Buy)'!$H$37,'CAPEX (Rent)'!$H$40)+SUM($C51:E51)</f>
        <v>-4251721961.4029288</v>
      </c>
      <c r="F52" s="16">
        <f>-CHOOSE(Inputs!$H$4,'CAPEX (Buy)'!$H$37,'CAPEX (Rent)'!$H$40)+SUM($C51:F51)</f>
        <v>-4198960829.1974711</v>
      </c>
      <c r="G52" s="16">
        <f>-CHOOSE(Inputs!$H$4,'CAPEX (Buy)'!$H$37,'CAPEX (Rent)'!$H$40)+SUM($C51:G51)</f>
        <v>-4122239825.6346302</v>
      </c>
      <c r="H52" s="16">
        <f>-CHOOSE(Inputs!$H$4,'CAPEX (Buy)'!$H$37,'CAPEX (Rent)'!$H$40)+SUM($C51:H51)</f>
        <v>-3993814600.8541203</v>
      </c>
      <c r="I52" s="16">
        <f>-CHOOSE(Inputs!$H$4,'CAPEX (Buy)'!$H$37,'CAPEX (Rent)'!$H$40)+SUM($C51:I51)</f>
        <v>-3869173854.5765119</v>
      </c>
      <c r="J52" s="16">
        <f>-CHOOSE(Inputs!$H$4,'CAPEX (Buy)'!$H$37,'CAPEX (Rent)'!$H$40)+SUM($C51:J51)</f>
        <v>-3752072461.2189856</v>
      </c>
      <c r="K52" s="16">
        <f>-CHOOSE(Inputs!$H$4,'CAPEX (Buy)'!$H$37,'CAPEX (Rent)'!$H$40)+SUM($C51:K51)</f>
        <v>-3613666952.7587085</v>
      </c>
      <c r="L52" s="16">
        <f>-CHOOSE(Inputs!$H$4,'CAPEX (Buy)'!$H$37,'CAPEX (Rent)'!$H$40)+SUM($C51:L51)</f>
        <v>-3464270031.719655</v>
      </c>
      <c r="M52" s="16">
        <f>-CHOOSE(Inputs!$H$4,'CAPEX (Buy)'!$H$37,'CAPEX (Rent)'!$H$40)+SUM($C51:M51)</f>
        <v>-3314873110.6806021</v>
      </c>
      <c r="N52" s="16">
        <f>-CHOOSE(Inputs!$H$4,'CAPEX (Buy)'!$H$37,'CAPEX (Rent)'!$H$40)+SUM($C51:N51)</f>
        <v>-3165476189.6415491</v>
      </c>
      <c r="O52" s="16">
        <f>-CHOOSE(Inputs!$H$4,'CAPEX (Buy)'!$H$37,'CAPEX (Rent)'!$H$40)+SUM($C51:O51)</f>
        <v>-3052259680.0792341</v>
      </c>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row>
    <row r="53" spans="1:62" ht="15" customHeight="1" x14ac:dyDescent="0.2">
      <c r="A53" s="15" t="s">
        <v>1636</v>
      </c>
      <c r="B53" s="15"/>
      <c r="C53" s="62" t="str">
        <f>IF(C52&gt;=0,C4,"")</f>
        <v/>
      </c>
      <c r="D53" s="62" t="str">
        <f t="shared" ref="D53:AI53" si="13">IF(AND(D52&gt;=0,C52&lt;0),D4,"")</f>
        <v/>
      </c>
      <c r="E53" s="62" t="str">
        <f t="shared" si="13"/>
        <v/>
      </c>
      <c r="F53" s="62" t="str">
        <f t="shared" si="13"/>
        <v/>
      </c>
      <c r="G53" s="62" t="str">
        <f t="shared" si="13"/>
        <v/>
      </c>
      <c r="H53" s="62" t="str">
        <f t="shared" si="13"/>
        <v/>
      </c>
      <c r="I53" s="62" t="str">
        <f t="shared" si="13"/>
        <v/>
      </c>
      <c r="J53" s="62" t="str">
        <f t="shared" si="13"/>
        <v/>
      </c>
      <c r="K53" s="62" t="str">
        <f t="shared" si="13"/>
        <v/>
      </c>
      <c r="L53" s="62" t="str">
        <f t="shared" si="13"/>
        <v/>
      </c>
      <c r="M53" s="62" t="str">
        <f t="shared" si="13"/>
        <v/>
      </c>
      <c r="N53" s="62" t="str">
        <f t="shared" si="13"/>
        <v/>
      </c>
      <c r="O53" s="62" t="str">
        <f t="shared" si="13"/>
        <v/>
      </c>
      <c r="P53" s="62">
        <f t="shared" si="13"/>
        <v>0</v>
      </c>
      <c r="Q53" s="62" t="str">
        <f t="shared" si="13"/>
        <v/>
      </c>
      <c r="R53" s="62" t="str">
        <f t="shared" si="13"/>
        <v/>
      </c>
      <c r="S53" s="62" t="str">
        <f t="shared" si="13"/>
        <v/>
      </c>
      <c r="T53" s="62" t="str">
        <f t="shared" si="13"/>
        <v/>
      </c>
      <c r="U53" s="62" t="str">
        <f t="shared" si="13"/>
        <v/>
      </c>
      <c r="V53" s="62" t="str">
        <f t="shared" si="13"/>
        <v/>
      </c>
      <c r="W53" s="62" t="str">
        <f t="shared" si="13"/>
        <v/>
      </c>
      <c r="X53" s="62" t="str">
        <f t="shared" si="13"/>
        <v/>
      </c>
      <c r="Y53" s="62" t="str">
        <f t="shared" si="13"/>
        <v/>
      </c>
      <c r="Z53" s="62" t="str">
        <f t="shared" si="13"/>
        <v/>
      </c>
      <c r="AA53" s="62" t="str">
        <f t="shared" si="13"/>
        <v/>
      </c>
      <c r="AB53" s="62" t="str">
        <f t="shared" si="13"/>
        <v/>
      </c>
      <c r="AC53" s="62" t="str">
        <f t="shared" si="13"/>
        <v/>
      </c>
      <c r="AD53" s="62" t="str">
        <f t="shared" si="13"/>
        <v/>
      </c>
      <c r="AE53" s="62" t="str">
        <f t="shared" si="13"/>
        <v/>
      </c>
      <c r="AF53" s="62" t="str">
        <f t="shared" si="13"/>
        <v/>
      </c>
      <c r="AG53" s="62" t="str">
        <f t="shared" si="13"/>
        <v/>
      </c>
      <c r="AH53" s="62" t="str">
        <f t="shared" si="13"/>
        <v/>
      </c>
      <c r="AI53" s="62" t="str">
        <f t="shared" si="13"/>
        <v/>
      </c>
      <c r="AJ53" s="62" t="str">
        <f t="shared" ref="AJ53:BC53" si="14">IF(AND(AJ52&gt;=0,AI52&lt;0),AJ4,"")</f>
        <v/>
      </c>
      <c r="AK53" s="62" t="str">
        <f t="shared" si="14"/>
        <v/>
      </c>
      <c r="AL53" s="62" t="str">
        <f t="shared" si="14"/>
        <v/>
      </c>
      <c r="AM53" s="62" t="str">
        <f t="shared" si="14"/>
        <v/>
      </c>
      <c r="AN53" s="62" t="str">
        <f t="shared" si="14"/>
        <v/>
      </c>
      <c r="AO53" s="62" t="str">
        <f t="shared" si="14"/>
        <v/>
      </c>
      <c r="AP53" s="62" t="str">
        <f t="shared" si="14"/>
        <v/>
      </c>
      <c r="AQ53" s="62" t="str">
        <f t="shared" si="14"/>
        <v/>
      </c>
      <c r="AR53" s="62" t="str">
        <f t="shared" si="14"/>
        <v/>
      </c>
      <c r="AS53" s="62" t="str">
        <f t="shared" si="14"/>
        <v/>
      </c>
      <c r="AT53" s="62" t="str">
        <f t="shared" si="14"/>
        <v/>
      </c>
      <c r="AU53" s="62" t="str">
        <f t="shared" si="14"/>
        <v/>
      </c>
      <c r="AV53" s="62" t="str">
        <f t="shared" si="14"/>
        <v/>
      </c>
      <c r="AW53" s="62" t="str">
        <f t="shared" si="14"/>
        <v/>
      </c>
      <c r="AX53" s="62" t="str">
        <f t="shared" si="14"/>
        <v/>
      </c>
      <c r="AY53" s="62" t="str">
        <f t="shared" si="14"/>
        <v/>
      </c>
      <c r="AZ53" s="62" t="str">
        <f t="shared" si="14"/>
        <v/>
      </c>
      <c r="BA53" s="62" t="str">
        <f t="shared" si="14"/>
        <v/>
      </c>
      <c r="BB53" s="62" t="str">
        <f t="shared" si="14"/>
        <v/>
      </c>
      <c r="BC53" s="62" t="str">
        <f t="shared" si="14"/>
        <v/>
      </c>
      <c r="BD53" s="62"/>
      <c r="BE53" s="62"/>
      <c r="BF53" s="62"/>
      <c r="BG53" s="62"/>
      <c r="BH53" s="62"/>
      <c r="BI53" s="62"/>
      <c r="BJ53" s="62"/>
    </row>
    <row r="55" spans="1:62" ht="15" customHeight="1" x14ac:dyDescent="0.2">
      <c r="A55" s="11" t="s">
        <v>1637</v>
      </c>
    </row>
    <row r="58" spans="1:62" ht="15.75" customHeight="1" x14ac:dyDescent="0.2">
      <c r="A58" s="118" t="s">
        <v>1638</v>
      </c>
    </row>
    <row r="59" spans="1:62" ht="27" customHeight="1" x14ac:dyDescent="0.2">
      <c r="A59" s="119" t="s">
        <v>114</v>
      </c>
      <c r="B59" s="195" t="s">
        <v>115</v>
      </c>
      <c r="C59" s="196"/>
      <c r="D59" s="195" t="s">
        <v>116</v>
      </c>
      <c r="E59" s="196"/>
      <c r="F59" s="196"/>
      <c r="G59" s="196"/>
      <c r="H59" s="195" t="s">
        <v>117</v>
      </c>
      <c r="I59" s="196"/>
      <c r="J59" s="196"/>
      <c r="K59" s="196"/>
      <c r="L59" s="196"/>
      <c r="M59" s="196"/>
      <c r="N59" s="196"/>
      <c r="O59" s="196"/>
      <c r="P59" s="196"/>
      <c r="Q59" s="195" t="s">
        <v>22</v>
      </c>
      <c r="R59" s="196"/>
      <c r="S59" s="196"/>
    </row>
    <row r="60" spans="1:62" ht="15" customHeight="1" x14ac:dyDescent="0.2">
      <c r="A60" s="9" t="s">
        <v>1639</v>
      </c>
      <c r="B60" s="206">
        <f>Inputs!H46</f>
        <v>0.55000000000000004</v>
      </c>
      <c r="C60" s="199"/>
      <c r="D60" s="197" t="s">
        <v>1640</v>
      </c>
      <c r="E60" s="198"/>
      <c r="F60" s="198"/>
      <c r="G60" s="199"/>
      <c r="H60" s="197" t="s">
        <v>1641</v>
      </c>
      <c r="I60" s="198"/>
      <c r="J60" s="198"/>
      <c r="K60" s="198"/>
      <c r="L60" s="198"/>
      <c r="M60" s="198"/>
      <c r="N60" s="198"/>
      <c r="O60" s="198"/>
      <c r="P60" s="199"/>
      <c r="Q60" s="205" t="s">
        <v>127</v>
      </c>
      <c r="R60" s="198"/>
      <c r="S60" s="199"/>
    </row>
    <row r="61" spans="1:62" ht="15" customHeight="1" x14ac:dyDescent="0.2">
      <c r="A61" s="9" t="s">
        <v>1642</v>
      </c>
      <c r="B61" s="206">
        <f>Inputs!H93</f>
        <v>0.92</v>
      </c>
      <c r="C61" s="199"/>
      <c r="D61" s="197" t="s">
        <v>1643</v>
      </c>
      <c r="E61" s="198"/>
      <c r="F61" s="198"/>
      <c r="G61" s="199"/>
      <c r="H61" s="197" t="s">
        <v>1644</v>
      </c>
      <c r="I61" s="198"/>
      <c r="J61" s="198"/>
      <c r="K61" s="198"/>
      <c r="L61" s="198"/>
      <c r="M61" s="198"/>
      <c r="N61" s="198"/>
      <c r="O61" s="198"/>
      <c r="P61" s="199"/>
      <c r="Q61" s="204" t="s">
        <v>27</v>
      </c>
      <c r="R61" s="198"/>
      <c r="S61" s="199"/>
    </row>
    <row r="62" spans="1:62" ht="15" customHeight="1" x14ac:dyDescent="0.2">
      <c r="A62" s="9" t="s">
        <v>1645</v>
      </c>
      <c r="B62" s="206">
        <f>Inputs!H13</f>
        <v>0.04</v>
      </c>
      <c r="C62" s="199"/>
      <c r="D62" s="197" t="s">
        <v>1646</v>
      </c>
      <c r="E62" s="198"/>
      <c r="F62" s="198"/>
      <c r="G62" s="199"/>
      <c r="H62" s="197" t="s">
        <v>1647</v>
      </c>
      <c r="I62" s="198"/>
      <c r="J62" s="198"/>
      <c r="K62" s="198"/>
      <c r="L62" s="198"/>
      <c r="M62" s="198"/>
      <c r="N62" s="198"/>
      <c r="O62" s="198"/>
      <c r="P62" s="199"/>
      <c r="Q62" s="201" t="s">
        <v>257</v>
      </c>
      <c r="R62" s="198"/>
      <c r="S62" s="199"/>
    </row>
    <row r="63" spans="1:62" ht="15" customHeight="1" x14ac:dyDescent="0.2">
      <c r="A63" s="9" t="s">
        <v>1648</v>
      </c>
      <c r="B63" s="206">
        <f>Inputs!H28</f>
        <v>0.06</v>
      </c>
      <c r="C63" s="199"/>
      <c r="D63" s="197" t="s">
        <v>1649</v>
      </c>
      <c r="E63" s="198"/>
      <c r="F63" s="198"/>
      <c r="G63" s="199"/>
      <c r="H63" s="197" t="s">
        <v>1650</v>
      </c>
      <c r="I63" s="198"/>
      <c r="J63" s="198"/>
      <c r="K63" s="198"/>
      <c r="L63" s="198"/>
      <c r="M63" s="198"/>
      <c r="N63" s="198"/>
      <c r="O63" s="198"/>
      <c r="P63" s="199"/>
      <c r="Q63" s="204" t="s">
        <v>27</v>
      </c>
      <c r="R63" s="198"/>
      <c r="S63" s="199"/>
    </row>
    <row r="64" spans="1:62" ht="15" customHeight="1" x14ac:dyDescent="0.2">
      <c r="A64" s="9" t="s">
        <v>1620</v>
      </c>
      <c r="B64" s="203">
        <f>Inputs!H81</f>
        <v>5</v>
      </c>
      <c r="C64" s="199"/>
      <c r="D64" s="197" t="s">
        <v>1651</v>
      </c>
      <c r="E64" s="198"/>
      <c r="F64" s="198"/>
      <c r="G64" s="199"/>
      <c r="H64" s="197" t="s">
        <v>1652</v>
      </c>
      <c r="I64" s="198"/>
      <c r="J64" s="198"/>
      <c r="K64" s="198"/>
      <c r="L64" s="198"/>
      <c r="M64" s="198"/>
      <c r="N64" s="198"/>
      <c r="O64" s="198"/>
      <c r="P64" s="199"/>
      <c r="Q64" s="201" t="s">
        <v>257</v>
      </c>
      <c r="R64" s="198"/>
      <c r="S64" s="199"/>
    </row>
    <row r="65" spans="1:19" ht="15" customHeight="1" x14ac:dyDescent="0.2">
      <c r="A65" s="9" t="s">
        <v>1653</v>
      </c>
      <c r="B65" s="206">
        <f>Inputs!H84</f>
        <v>0.105</v>
      </c>
      <c r="C65" s="199"/>
      <c r="D65" s="197" t="s">
        <v>1654</v>
      </c>
      <c r="E65" s="198"/>
      <c r="F65" s="198"/>
      <c r="G65" s="199"/>
      <c r="H65" s="197" t="s">
        <v>1655</v>
      </c>
      <c r="I65" s="198"/>
      <c r="J65" s="198"/>
      <c r="K65" s="198"/>
      <c r="L65" s="198"/>
      <c r="M65" s="198"/>
      <c r="N65" s="198"/>
      <c r="O65" s="198"/>
      <c r="P65" s="199"/>
      <c r="Q65" s="201" t="s">
        <v>257</v>
      </c>
      <c r="R65" s="198"/>
      <c r="S65" s="199"/>
    </row>
    <row r="66" spans="1:19" ht="27" customHeight="1" x14ac:dyDescent="0.2">
      <c r="A66" s="9" t="s">
        <v>1656</v>
      </c>
      <c r="B66" s="206">
        <f>Inputs!H16</f>
        <v>0.22</v>
      </c>
      <c r="C66" s="199"/>
      <c r="D66" s="197" t="s">
        <v>1657</v>
      </c>
      <c r="E66" s="198"/>
      <c r="F66" s="198"/>
      <c r="G66" s="199"/>
      <c r="H66" s="197" t="s">
        <v>1658</v>
      </c>
      <c r="I66" s="198"/>
      <c r="J66" s="198"/>
      <c r="K66" s="198"/>
      <c r="L66" s="198"/>
      <c r="M66" s="198"/>
      <c r="N66" s="198"/>
      <c r="O66" s="198"/>
      <c r="P66" s="199"/>
      <c r="Q66" s="201" t="s">
        <v>131</v>
      </c>
      <c r="R66" s="198"/>
      <c r="S66" s="199"/>
    </row>
  </sheetData>
  <mergeCells count="32">
    <mergeCell ref="B59:C59"/>
    <mergeCell ref="H61:P61"/>
    <mergeCell ref="H59:P59"/>
    <mergeCell ref="B60:C60"/>
    <mergeCell ref="D63:G63"/>
    <mergeCell ref="H65:P65"/>
    <mergeCell ref="Q61:S61"/>
    <mergeCell ref="H62:P62"/>
    <mergeCell ref="D65:G65"/>
    <mergeCell ref="Q64:S64"/>
    <mergeCell ref="B62:C62"/>
    <mergeCell ref="H64:P64"/>
    <mergeCell ref="H60:P60"/>
    <mergeCell ref="Q63:S63"/>
    <mergeCell ref="Q60:S60"/>
    <mergeCell ref="Q59:S59"/>
    <mergeCell ref="D59:G59"/>
    <mergeCell ref="Q65:S65"/>
    <mergeCell ref="D60:G60"/>
    <mergeCell ref="Q66:S66"/>
    <mergeCell ref="B65:C65"/>
    <mergeCell ref="B64:C64"/>
    <mergeCell ref="D61:G61"/>
    <mergeCell ref="H63:P63"/>
    <mergeCell ref="D66:G66"/>
    <mergeCell ref="Q62:S62"/>
    <mergeCell ref="B63:C63"/>
    <mergeCell ref="D62:G62"/>
    <mergeCell ref="B66:C66"/>
    <mergeCell ref="D64:G64"/>
    <mergeCell ref="B61:C61"/>
    <mergeCell ref="H66:P66"/>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40"/>
  <sheetViews>
    <sheetView showGridLines="0" zoomScaleNormal="100" workbookViewId="0">
      <selection activeCell="E6" sqref="E6"/>
    </sheetView>
  </sheetViews>
  <sheetFormatPr baseColWidth="10" defaultColWidth="8.6640625" defaultRowHeight="15" x14ac:dyDescent="0.2"/>
  <cols>
    <col min="1" max="1" width="40" customWidth="1"/>
    <col min="2" max="2" width="4" customWidth="1"/>
    <col min="3" max="8" width="16" customWidth="1"/>
  </cols>
  <sheetData>
    <row r="1" spans="1:8" ht="17.25" customHeight="1" x14ac:dyDescent="0.2">
      <c r="A1" s="115" t="s">
        <v>1659</v>
      </c>
    </row>
    <row r="2" spans="1:8" ht="15" customHeight="1" x14ac:dyDescent="0.2">
      <c r="A2" s="11" t="s">
        <v>1660</v>
      </c>
    </row>
    <row r="4" spans="1:8" ht="15" customHeight="1" x14ac:dyDescent="0.2">
      <c r="A4" s="117" t="s">
        <v>171</v>
      </c>
      <c r="B4" s="117"/>
      <c r="C4" s="117" t="s">
        <v>1661</v>
      </c>
      <c r="D4" s="117" t="s">
        <v>1662</v>
      </c>
      <c r="E4" s="117" t="s">
        <v>1663</v>
      </c>
      <c r="F4" s="117" t="s">
        <v>1664</v>
      </c>
      <c r="G4" s="117" t="s">
        <v>1665</v>
      </c>
      <c r="H4" s="117" t="s">
        <v>1666</v>
      </c>
    </row>
    <row r="5" spans="1:8" ht="15" customHeight="1" x14ac:dyDescent="0.2">
      <c r="A5" s="12" t="s">
        <v>355</v>
      </c>
      <c r="C5" s="16">
        <f>SUMIFS(PnL_Monthly!$C$18:$BJ$18,PnL_Monthly!$C$6:$BJ$6,1)</f>
        <v>7295392080</v>
      </c>
      <c r="D5" s="16">
        <f>SUMIFS(PnL_Monthly!$C$18:$BJ$18,PnL_Monthly!$C$6:$BJ$6,2)</f>
        <v>765055200</v>
      </c>
      <c r="E5" s="16">
        <f>SUMIFS(PnL_Monthly!$C$18:$BJ$18,PnL_Monthly!$C$6:$BJ$6,3)</f>
        <v>0</v>
      </c>
      <c r="F5" s="16">
        <f>SUMIFS(PnL_Monthly!$C$18:$BJ$18,PnL_Monthly!$C$6:$BJ$6,4)</f>
        <v>0</v>
      </c>
      <c r="G5" s="16">
        <f>SUMIFS(PnL_Monthly!$C$18:$BJ$18,PnL_Monthly!$C$6:$BJ$6,5)</f>
        <v>0</v>
      </c>
      <c r="H5" s="53">
        <f t="shared" ref="H5:H11" si="0">SUM(C5:G5)</f>
        <v>8060447280</v>
      </c>
    </row>
    <row r="6" spans="1:8" ht="15" customHeight="1" x14ac:dyDescent="0.2">
      <c r="A6" s="15" t="s">
        <v>1610</v>
      </c>
      <c r="C6" s="16">
        <f>SUMIFS(PnL_Monthly!$C$20:$BJ$20,PnL_Monthly!$C$6:$BJ$6,1)</f>
        <v>2134145157.9432685</v>
      </c>
      <c r="D6" s="16">
        <f>SUMIFS(PnL_Monthly!$C$20:$BJ$20,PnL_Monthly!$C$6:$BJ$6,2)</f>
        <v>223798792.28126252</v>
      </c>
      <c r="E6" s="16">
        <f>SUMIFS(PnL_Monthly!$C$20:$BJ$20,PnL_Monthly!$C$6:$BJ$6,3)</f>
        <v>0</v>
      </c>
      <c r="F6" s="16">
        <f>SUMIFS(PnL_Monthly!$C$20:$BJ$20,PnL_Monthly!$C$6:$BJ$6,4)</f>
        <v>0</v>
      </c>
      <c r="G6" s="16">
        <f>SUMIFS(PnL_Monthly!$C$20:$BJ$20,PnL_Monthly!$C$6:$BJ$6,5)</f>
        <v>0</v>
      </c>
      <c r="H6" s="53">
        <f t="shared" si="0"/>
        <v>2357943950.2245312</v>
      </c>
    </row>
    <row r="7" spans="1:8" ht="15" customHeight="1" x14ac:dyDescent="0.2">
      <c r="A7" s="15" t="s">
        <v>1667</v>
      </c>
      <c r="C7" s="16">
        <f>SUMIFS(PnL_Monthly!$C$28:$BJ$28,PnL_Monthly!$C$6:$BJ$6,1)</f>
        <v>4224268566.1967316</v>
      </c>
      <c r="D7" s="16">
        <f>SUMIFS(PnL_Monthly!$C$28:$BJ$28,PnL_Monthly!$C$6:$BJ$6,2)</f>
        <v>442991399.31873751</v>
      </c>
      <c r="E7" s="16">
        <f>SUMIFS(PnL_Monthly!$C$28:$BJ$28,PnL_Monthly!$C$6:$BJ$6,3)</f>
        <v>0</v>
      </c>
      <c r="F7" s="16">
        <f>SUMIFS(PnL_Monthly!$C$28:$BJ$28,PnL_Monthly!$C$6:$BJ$6,4)</f>
        <v>0</v>
      </c>
      <c r="G7" s="16">
        <f>SUMIFS(PnL_Monthly!$C$28:$BJ$28,PnL_Monthly!$C$6:$BJ$6,5)</f>
        <v>0</v>
      </c>
      <c r="H7" s="53">
        <f t="shared" si="0"/>
        <v>4667259965.5154686</v>
      </c>
    </row>
    <row r="8" spans="1:8" ht="15" customHeight="1" x14ac:dyDescent="0.2">
      <c r="A8" s="15" t="s">
        <v>468</v>
      </c>
      <c r="C8" s="16">
        <f>SUMIFS(PnL_Monthly!$C$30:$BJ$30,PnL_Monthly!$C$6:$BJ$6,1)</f>
        <v>2002887960</v>
      </c>
      <c r="D8" s="16">
        <f>SUMIFS(PnL_Monthly!$C$30:$BJ$30,PnL_Monthly!$C$6:$BJ$6,2)</f>
        <v>177255584.46000001</v>
      </c>
      <c r="E8" s="16">
        <f>SUMIFS(PnL_Monthly!$C$30:$BJ$30,PnL_Monthly!$C$6:$BJ$6,3)</f>
        <v>0</v>
      </c>
      <c r="F8" s="16">
        <f>SUMIFS(PnL_Monthly!$C$30:$BJ$30,PnL_Monthly!$C$6:$BJ$6,4)</f>
        <v>0</v>
      </c>
      <c r="G8" s="16">
        <f>SUMIFS(PnL_Monthly!$C$30:$BJ$30,PnL_Monthly!$C$6:$BJ$6,5)</f>
        <v>0</v>
      </c>
      <c r="H8" s="53">
        <f t="shared" si="0"/>
        <v>2180143544.46</v>
      </c>
    </row>
    <row r="9" spans="1:8" ht="15" customHeight="1" x14ac:dyDescent="0.2">
      <c r="A9" s="15" t="s">
        <v>324</v>
      </c>
      <c r="C9" s="16">
        <f>SUMIFS(PnL_Monthly!$C$31:$BJ$31,PnL_Monthly!$C$6:$BJ$6,1)</f>
        <v>453290625</v>
      </c>
      <c r="D9" s="16">
        <f>SUMIFS(PnL_Monthly!$C$31:$BJ$31,PnL_Monthly!$C$6:$BJ$6,2)</f>
        <v>40040671.875</v>
      </c>
      <c r="E9" s="16">
        <f>SUMIFS(PnL_Monthly!$C$31:$BJ$31,PnL_Monthly!$C$6:$BJ$6,3)</f>
        <v>0</v>
      </c>
      <c r="F9" s="16">
        <f>SUMIFS(PnL_Monthly!$C$31:$BJ$31,PnL_Monthly!$C$6:$BJ$6,4)</f>
        <v>0</v>
      </c>
      <c r="G9" s="16">
        <f>SUMIFS(PnL_Monthly!$C$31:$BJ$31,PnL_Monthly!$C$6:$BJ$6,5)</f>
        <v>0</v>
      </c>
      <c r="H9" s="53">
        <f t="shared" si="0"/>
        <v>493331296.875</v>
      </c>
    </row>
    <row r="10" spans="1:8" ht="15" customHeight="1" x14ac:dyDescent="0.2">
      <c r="A10" s="15" t="s">
        <v>1668</v>
      </c>
      <c r="C10" s="16">
        <f>SUMIFS(PnL_Monthly!$C$33:$BJ$33,PnL_Monthly!$C$6:$BJ$6,1)+SUMIFS(PnL_Monthly!$C$34:$BJ$34,PnL_Monthly!$C$6:$BJ$6,1)+SUMIFS(PnL_Monthly!$C$32:$BJ$32,PnL_Monthly!$C$6:$BJ$6,1)</f>
        <v>1037825395.0000001</v>
      </c>
      <c r="D10" s="16">
        <f>SUMIFS(PnL_Monthly!$C$33:$BJ$33,PnL_Monthly!$C$6:$BJ$6,2)+SUMIFS(PnL_Monthly!$C$34:$BJ$34,PnL_Monthly!$C$6:$BJ$6,2)+SUMIFS(PnL_Monthly!$C$32:$BJ$32,PnL_Monthly!$C$6:$BJ$6,2)</f>
        <v>88865530.083333328</v>
      </c>
      <c r="E10" s="16">
        <f>SUMIFS(PnL_Monthly!$C$33:$BJ$33,PnL_Monthly!$C$6:$BJ$6,3)+SUMIFS(PnL_Monthly!$C$34:$BJ$34,PnL_Monthly!$C$6:$BJ$6,3)+SUMIFS(PnL_Monthly!$C$32:$BJ$32,PnL_Monthly!$C$6:$BJ$6,3)</f>
        <v>0</v>
      </c>
      <c r="F10" s="16">
        <f>SUMIFS(PnL_Monthly!$C$33:$BJ$33,PnL_Monthly!$C$6:$BJ$6,4)+SUMIFS(PnL_Monthly!$C$34:$BJ$34,PnL_Monthly!$C$6:$BJ$6,4)+SUMIFS(PnL_Monthly!$C$32:$BJ$32,PnL_Monthly!$C$6:$BJ$6,4)</f>
        <v>0</v>
      </c>
      <c r="G10" s="16">
        <f>SUMIFS(PnL_Monthly!$C$33:$BJ$33,PnL_Monthly!$C$6:$BJ$6,5)+SUMIFS(PnL_Monthly!$C$34:$BJ$34,PnL_Monthly!$C$6:$BJ$6,5)+SUMIFS(PnL_Monthly!$C$32:$BJ$32,PnL_Monthly!$C$6:$BJ$6,5)</f>
        <v>0</v>
      </c>
      <c r="H10" s="53">
        <f t="shared" si="0"/>
        <v>1126690925.0833335</v>
      </c>
    </row>
    <row r="11" spans="1:8" ht="15" customHeight="1" x14ac:dyDescent="0.2">
      <c r="A11" s="12" t="s">
        <v>1619</v>
      </c>
      <c r="C11" s="16">
        <f>SUMIFS(PnL_Monthly!$C$35:$BJ$35,PnL_Monthly!$C$6:$BJ$6,1)</f>
        <v>730264586.19673204</v>
      </c>
      <c r="D11" s="16">
        <f>SUMIFS(PnL_Monthly!$C$35:$BJ$35,PnL_Monthly!$C$6:$BJ$6,2)</f>
        <v>136829612.90040416</v>
      </c>
      <c r="E11" s="16">
        <f>SUMIFS(PnL_Monthly!$C$35:$BJ$35,PnL_Monthly!$C$6:$BJ$6,3)</f>
        <v>0</v>
      </c>
      <c r="F11" s="16">
        <f>SUMIFS(PnL_Monthly!$C$35:$BJ$35,PnL_Monthly!$C$6:$BJ$6,4)</f>
        <v>0</v>
      </c>
      <c r="G11" s="16">
        <f>SUMIFS(PnL_Monthly!$C$35:$BJ$35,PnL_Monthly!$C$6:$BJ$6,5)</f>
        <v>0</v>
      </c>
      <c r="H11" s="53">
        <f t="shared" si="0"/>
        <v>867094199.09713626</v>
      </c>
    </row>
    <row r="12" spans="1:8" ht="15" customHeight="1" x14ac:dyDescent="0.2">
      <c r="A12" s="15" t="s">
        <v>201</v>
      </c>
      <c r="C12" s="55">
        <f>IFERROR(C11/C5,0)</f>
        <v>0.10009942963843173</v>
      </c>
      <c r="D12" s="55">
        <f>IFERROR(D11/D5,0)</f>
        <v>0.17884933387865889</v>
      </c>
      <c r="E12" s="55">
        <f>IFERROR(E11/E5,0)</f>
        <v>0</v>
      </c>
      <c r="F12" s="55">
        <f>IFERROR(F11/F5,0)</f>
        <v>0</v>
      </c>
      <c r="G12" s="55">
        <f>IFERROR(G11/G5,0)</f>
        <v>0</v>
      </c>
    </row>
    <row r="13" spans="1:8" ht="15" customHeight="1" x14ac:dyDescent="0.2">
      <c r="A13" s="15" t="s">
        <v>1620</v>
      </c>
      <c r="C13" s="16">
        <f>SUMIFS(PnL_Monthly!$C$37:$BJ$37,PnL_Monthly!$C$6:$BJ$6,1)</f>
        <v>353967900.00000006</v>
      </c>
      <c r="D13" s="16">
        <f>SUMIFS(PnL_Monthly!$C$37:$BJ$37,PnL_Monthly!$C$6:$BJ$6,2)</f>
        <v>29497325.000000007</v>
      </c>
      <c r="E13" s="16">
        <f>SUMIFS(PnL_Monthly!$C$37:$BJ$37,PnL_Monthly!$C$6:$BJ$6,3)</f>
        <v>0</v>
      </c>
      <c r="F13" s="16">
        <f>SUMIFS(PnL_Monthly!$C$37:$BJ$37,PnL_Monthly!$C$6:$BJ$6,4)</f>
        <v>0</v>
      </c>
      <c r="G13" s="16">
        <f>SUMIFS(PnL_Monthly!$C$37:$BJ$37,PnL_Monthly!$C$6:$BJ$6,5)</f>
        <v>0</v>
      </c>
      <c r="H13" s="53">
        <f t="shared" ref="H13:H18" si="1">SUM(C13:G13)</f>
        <v>383465225.00000006</v>
      </c>
    </row>
    <row r="14" spans="1:8" ht="15" customHeight="1" x14ac:dyDescent="0.2">
      <c r="A14" s="15" t="s">
        <v>1621</v>
      </c>
      <c r="C14" s="16">
        <f>SUMIFS(PnL_Monthly!$C$38:$BJ$38,PnL_Monthly!$C$6:$BJ$6,1)</f>
        <v>0</v>
      </c>
      <c r="D14" s="16">
        <f>SUMIFS(PnL_Monthly!$C$38:$BJ$38,PnL_Monthly!$C$6:$BJ$6,2)</f>
        <v>0</v>
      </c>
      <c r="E14" s="16">
        <f>SUMIFS(PnL_Monthly!$C$38:$BJ$38,PnL_Monthly!$C$6:$BJ$6,3)</f>
        <v>0</v>
      </c>
      <c r="F14" s="16">
        <f>SUMIFS(PnL_Monthly!$C$38:$BJ$38,PnL_Monthly!$C$6:$BJ$6,4)</f>
        <v>0</v>
      </c>
      <c r="G14" s="16">
        <f>SUMIFS(PnL_Monthly!$C$38:$BJ$38,PnL_Monthly!$C$6:$BJ$6,5)</f>
        <v>0</v>
      </c>
      <c r="H14" s="53">
        <f t="shared" si="1"/>
        <v>0</v>
      </c>
    </row>
    <row r="15" spans="1:8" ht="15" customHeight="1" x14ac:dyDescent="0.2">
      <c r="A15" s="15" t="s">
        <v>284</v>
      </c>
      <c r="C15" s="16">
        <f>SUMIFS(PnL_Monthly!$C$41:$BJ$41,PnL_Monthly!$C$6:$BJ$6,1)</f>
        <v>82785270.96328105</v>
      </c>
      <c r="D15" s="16">
        <f>SUMIFS(PnL_Monthly!$C$41:$BJ$41,PnL_Monthly!$C$6:$BJ$6,2)</f>
        <v>23613103.338088915</v>
      </c>
      <c r="E15" s="16">
        <f>SUMIFS(PnL_Monthly!$C$41:$BJ$41,PnL_Monthly!$C$6:$BJ$6,3)</f>
        <v>0</v>
      </c>
      <c r="F15" s="16">
        <f>SUMIFS(PnL_Monthly!$C$41:$BJ$41,PnL_Monthly!$C$6:$BJ$6,4)</f>
        <v>0</v>
      </c>
      <c r="G15" s="16">
        <f>SUMIFS(PnL_Monthly!$C$41:$BJ$41,PnL_Monthly!$C$6:$BJ$6,5)</f>
        <v>0</v>
      </c>
      <c r="H15" s="53">
        <f t="shared" si="1"/>
        <v>106398374.30136997</v>
      </c>
    </row>
    <row r="16" spans="1:8" ht="15" customHeight="1" x14ac:dyDescent="0.2">
      <c r="A16" s="12" t="s">
        <v>1669</v>
      </c>
      <c r="C16" s="16">
        <f>SUMIFS(PnL_Monthly!$C$42:$BJ$42,PnL_Monthly!$C$6:$BJ$6,1)</f>
        <v>293511415.23345101</v>
      </c>
      <c r="D16" s="16">
        <f>SUMIFS(PnL_Monthly!$C$42:$BJ$42,PnL_Monthly!$C$6:$BJ$6,2)</f>
        <v>83719184.562315241</v>
      </c>
      <c r="E16" s="16">
        <f>SUMIFS(PnL_Monthly!$C$42:$BJ$42,PnL_Monthly!$C$6:$BJ$6,3)</f>
        <v>0</v>
      </c>
      <c r="F16" s="16">
        <f>SUMIFS(PnL_Monthly!$C$42:$BJ$42,PnL_Monthly!$C$6:$BJ$6,4)</f>
        <v>0</v>
      </c>
      <c r="G16" s="16">
        <f>SUMIFS(PnL_Monthly!$C$42:$BJ$42,PnL_Monthly!$C$6:$BJ$6,5)</f>
        <v>0</v>
      </c>
      <c r="H16" s="53">
        <f t="shared" si="1"/>
        <v>377230599.79576623</v>
      </c>
    </row>
    <row r="17" spans="1:8" ht="15" customHeight="1" x14ac:dyDescent="0.2">
      <c r="A17" s="15" t="s">
        <v>1670</v>
      </c>
      <c r="C17" s="16">
        <f>SUMIFS(PnL_Monthly!$C$51:$BJ$51,PnL_Monthly!$C$6:$BJ$6,1)</f>
        <v>1100769940.2334509</v>
      </c>
      <c r="D17" s="16">
        <f>SUMIFS(PnL_Monthly!$C$51:$BJ$51,PnL_Monthly!$C$6:$BJ$6,2)</f>
        <v>113216509.56231524</v>
      </c>
      <c r="E17" s="16">
        <f>SUMIFS(PnL_Monthly!$C$51:$BJ$51,PnL_Monthly!$C$6:$BJ$6,3)</f>
        <v>0</v>
      </c>
      <c r="F17" s="16">
        <f>SUMIFS(PnL_Monthly!$C$51:$BJ$51,PnL_Monthly!$C$6:$BJ$6,4)</f>
        <v>0</v>
      </c>
      <c r="G17" s="16">
        <f>SUMIFS(PnL_Monthly!$C$51:$BJ$51,PnL_Monthly!$C$6:$BJ$6,5)</f>
        <v>0</v>
      </c>
      <c r="H17" s="53">
        <f t="shared" si="1"/>
        <v>1213986449.7957661</v>
      </c>
    </row>
    <row r="18" spans="1:8" ht="15" customHeight="1" x14ac:dyDescent="0.2">
      <c r="A18" s="15" t="s">
        <v>1671</v>
      </c>
      <c r="C18" s="16">
        <f>SUMIFS(PnL_Monthly!$C$47:$BJ$47,PnL_Monthly!$C$6:$BJ$6,1)</f>
        <v>1100769940.2334509</v>
      </c>
      <c r="D18" s="16">
        <f>SUMIFS(PnL_Monthly!$C$47:$BJ$47,PnL_Monthly!$C$6:$BJ$6,2)</f>
        <v>113216509.56231524</v>
      </c>
      <c r="E18" s="16">
        <f>SUMIFS(PnL_Monthly!$C$47:$BJ$47,PnL_Monthly!$C$6:$BJ$6,3)</f>
        <v>0</v>
      </c>
      <c r="F18" s="16">
        <f>SUMIFS(PnL_Monthly!$C$47:$BJ$47,PnL_Monthly!$C$6:$BJ$6,4)</f>
        <v>0</v>
      </c>
      <c r="G18" s="16">
        <f>SUMIFS(PnL_Monthly!$C$47:$BJ$47,PnL_Monthly!$C$6:$BJ$6,5)</f>
        <v>0</v>
      </c>
      <c r="H18" s="53">
        <f t="shared" si="1"/>
        <v>1213986449.7957661</v>
      </c>
    </row>
    <row r="19" spans="1:8" ht="15" customHeight="1" x14ac:dyDescent="0.2">
      <c r="A19" s="15" t="s">
        <v>1672</v>
      </c>
      <c r="C19" s="16">
        <f>INDEX(PnL_Monthly!$C$49:$BJ$49,1*12)</f>
        <v>1914702149.1084514</v>
      </c>
      <c r="D19" s="16">
        <f>INDEX(PnL_Monthly!$C$49:$BJ$49,2*12)</f>
        <v>0</v>
      </c>
      <c r="E19" s="16">
        <f>INDEX(PnL_Monthly!$C$49:$BJ$49,3*12)</f>
        <v>0</v>
      </c>
      <c r="F19" s="16">
        <f>INDEX(PnL_Monthly!$C$49:$BJ$49,4*12)</f>
        <v>0</v>
      </c>
      <c r="G19" s="16">
        <f>INDEX(PnL_Monthly!$C$49:$BJ$49,5*12)</f>
        <v>0</v>
      </c>
    </row>
    <row r="21" spans="1:8" ht="15" customHeight="1" x14ac:dyDescent="0.2">
      <c r="A21" s="15" t="s">
        <v>1673</v>
      </c>
      <c r="C21" s="17">
        <f>C5/Inputs!$H$10</f>
        <v>337749.63333333336</v>
      </c>
      <c r="D21" s="17">
        <f>D5/Inputs!$H$10</f>
        <v>35419.222222222219</v>
      </c>
      <c r="E21" s="17">
        <f>E5/Inputs!$H$10</f>
        <v>0</v>
      </c>
      <c r="F21" s="17">
        <f>F5/Inputs!$H$10</f>
        <v>0</v>
      </c>
      <c r="G21" s="17">
        <f>G5/Inputs!$H$10</f>
        <v>0</v>
      </c>
    </row>
    <row r="22" spans="1:8" ht="15" customHeight="1" x14ac:dyDescent="0.2">
      <c r="A22" s="15" t="s">
        <v>1674</v>
      </c>
      <c r="C22" s="17">
        <f>C11/Inputs!$H$10</f>
        <v>33808.545657256116</v>
      </c>
      <c r="D22" s="17">
        <f>D11/Inputs!$H$10</f>
        <v>6334.704300944637</v>
      </c>
      <c r="E22" s="17">
        <f>E11/Inputs!$H$10</f>
        <v>0</v>
      </c>
      <c r="F22" s="17">
        <f>F11/Inputs!$H$10</f>
        <v>0</v>
      </c>
      <c r="G22" s="17">
        <f>G11/Inputs!$H$10</f>
        <v>0</v>
      </c>
    </row>
    <row r="23" spans="1:8" ht="15" customHeight="1" x14ac:dyDescent="0.2">
      <c r="A23" s="15" t="s">
        <v>1675</v>
      </c>
      <c r="C23" s="55">
        <f>IFERROR(C6/C5,0)</f>
        <v>0.29253330520698601</v>
      </c>
      <c r="D23" s="55">
        <f>IFERROR(D6/D5,0)</f>
        <v>0.29252633310807186</v>
      </c>
      <c r="E23" s="55">
        <f>IFERROR(E6/E5,0)</f>
        <v>0</v>
      </c>
      <c r="F23" s="55">
        <f>IFERROR(F6/F5,0)</f>
        <v>0</v>
      </c>
      <c r="G23" s="55">
        <f>IFERROR(G6/G5,0)</f>
        <v>0</v>
      </c>
    </row>
    <row r="24" spans="1:8" ht="15" customHeight="1" x14ac:dyDescent="0.2">
      <c r="A24" s="15" t="s">
        <v>1676</v>
      </c>
      <c r="C24" s="55">
        <f>IFERROR(C8/C5,0)</f>
        <v>0.27454151031729057</v>
      </c>
      <c r="D24" s="55">
        <f>IFERROR(D8/D5,0)</f>
        <v>0.23168992833458293</v>
      </c>
      <c r="E24" s="55">
        <f>IFERROR(E8/E5,0)</f>
        <v>0</v>
      </c>
      <c r="F24" s="55">
        <f>IFERROR(F8/F5,0)</f>
        <v>0</v>
      </c>
      <c r="G24" s="55">
        <f>IFERROR(G8/G5,0)</f>
        <v>0</v>
      </c>
    </row>
    <row r="25" spans="1:8" ht="15" customHeight="1" x14ac:dyDescent="0.2">
      <c r="A25" s="15" t="s">
        <v>1677</v>
      </c>
      <c r="C25" s="55">
        <f>IFERROR(C9/C5,0)</f>
        <v>6.2133826397442922E-2</v>
      </c>
      <c r="D25" s="55">
        <f>IFERROR(D9/D5,0)</f>
        <v>5.2336971077381084E-2</v>
      </c>
      <c r="E25" s="55">
        <f>IFERROR(E9/E5,0)</f>
        <v>0</v>
      </c>
      <c r="F25" s="55">
        <f>IFERROR(F9/F5,0)</f>
        <v>0</v>
      </c>
      <c r="G25" s="55">
        <f>IFERROR(G9/G5,0)</f>
        <v>0</v>
      </c>
    </row>
    <row r="27" spans="1:8" ht="15" customHeight="1" x14ac:dyDescent="0.2">
      <c r="A27" s="12" t="s">
        <v>1678</v>
      </c>
    </row>
    <row r="28" spans="1:8" ht="15" customHeight="1" x14ac:dyDescent="0.2">
      <c r="A28" s="15" t="s">
        <v>1679</v>
      </c>
      <c r="C28" s="16">
        <f>-CHOOSE(Inputs!$H$4,'CAPEX (Buy)'!$H$37,'CAPEX (Rent)'!$H$40)</f>
        <v>-4266246129.875</v>
      </c>
    </row>
    <row r="29" spans="1:8" ht="15" customHeight="1" x14ac:dyDescent="0.2">
      <c r="A29" s="15" t="s">
        <v>1680</v>
      </c>
      <c r="C29" s="53">
        <f>C17</f>
        <v>1100769940.2334509</v>
      </c>
      <c r="D29" s="53">
        <f>D17</f>
        <v>113216509.56231524</v>
      </c>
      <c r="E29" s="53">
        <f>E17</f>
        <v>0</v>
      </c>
      <c r="F29" s="53">
        <f>F17</f>
        <v>0</v>
      </c>
      <c r="G29" s="16">
        <f>G17+CHOOSE(Inputs!$H$4,'CAPEX (Buy)'!$H$35,'CAPEX (Rent)'!$H$38)+Inputs!$H$90*G11</f>
        <v>75548437.5</v>
      </c>
    </row>
    <row r="30" spans="1:8" ht="15" customHeight="1" x14ac:dyDescent="0.2">
      <c r="A30" s="15" t="s">
        <v>1681</v>
      </c>
      <c r="C30" s="55">
        <f>IFERROR(IRR(C32:H32),"n/a")</f>
        <v>-0.4690948611220801</v>
      </c>
    </row>
    <row r="31" spans="1:8" ht="15" customHeight="1" x14ac:dyDescent="0.2">
      <c r="A31" s="15" t="s">
        <v>1682</v>
      </c>
      <c r="C31" s="16">
        <f>C28+NPV(Inputs!$H$89,C29:G29)</f>
        <v>-3185886005.2459583</v>
      </c>
      <c r="D31" s="17">
        <f>C31/Inputs!$H$10</f>
        <v>-147494.72246509066</v>
      </c>
    </row>
    <row r="32" spans="1:8" ht="15" customHeight="1" x14ac:dyDescent="0.2">
      <c r="A32" s="15" t="s">
        <v>1683</v>
      </c>
      <c r="C32" s="53">
        <f>C28</f>
        <v>-4266246129.875</v>
      </c>
      <c r="D32" s="53">
        <f>C29</f>
        <v>1100769940.2334509</v>
      </c>
      <c r="E32" s="53">
        <f>D29</f>
        <v>113216509.56231524</v>
      </c>
      <c r="F32" s="53">
        <f>E29</f>
        <v>0</v>
      </c>
      <c r="G32" s="53">
        <f>F29</f>
        <v>0</v>
      </c>
      <c r="H32" s="53">
        <f>G29</f>
        <v>75548437.5</v>
      </c>
    </row>
    <row r="35" spans="1:19" ht="15.75" customHeight="1" x14ac:dyDescent="0.2">
      <c r="A35" s="118" t="s">
        <v>1684</v>
      </c>
    </row>
    <row r="36" spans="1:19" ht="27" customHeight="1" x14ac:dyDescent="0.2">
      <c r="A36" s="119" t="s">
        <v>114</v>
      </c>
      <c r="B36" s="195" t="s">
        <v>115</v>
      </c>
      <c r="C36" s="196"/>
      <c r="D36" s="195" t="s">
        <v>116</v>
      </c>
      <c r="E36" s="196"/>
      <c r="F36" s="196"/>
      <c r="G36" s="196"/>
      <c r="H36" s="195" t="s">
        <v>117</v>
      </c>
      <c r="I36" s="196"/>
      <c r="J36" s="196"/>
      <c r="K36" s="196"/>
      <c r="L36" s="196"/>
      <c r="M36" s="196"/>
      <c r="N36" s="196"/>
      <c r="O36" s="196"/>
      <c r="P36" s="196"/>
      <c r="Q36" s="195" t="s">
        <v>22</v>
      </c>
      <c r="R36" s="196"/>
      <c r="S36" s="196"/>
    </row>
    <row r="37" spans="1:19" ht="15" customHeight="1" x14ac:dyDescent="0.2">
      <c r="A37" s="9" t="s">
        <v>1685</v>
      </c>
      <c r="B37" s="203">
        <f>Annual!C11</f>
        <v>730264586.19673204</v>
      </c>
      <c r="C37" s="199"/>
      <c r="D37" s="197" t="s">
        <v>1686</v>
      </c>
      <c r="E37" s="198"/>
      <c r="F37" s="198"/>
      <c r="G37" s="199"/>
      <c r="H37" s="197" t="s">
        <v>1687</v>
      </c>
      <c r="I37" s="198"/>
      <c r="J37" s="198"/>
      <c r="K37" s="198"/>
      <c r="L37" s="198"/>
      <c r="M37" s="198"/>
      <c r="N37" s="198"/>
      <c r="O37" s="198"/>
      <c r="P37" s="199"/>
      <c r="Q37" s="200" t="s">
        <v>138</v>
      </c>
      <c r="R37" s="198"/>
      <c r="S37" s="199"/>
    </row>
    <row r="38" spans="1:19" ht="15" customHeight="1" x14ac:dyDescent="0.2">
      <c r="A38" s="9" t="s">
        <v>1688</v>
      </c>
      <c r="B38" s="206">
        <f>Inputs!H89</f>
        <v>0.15</v>
      </c>
      <c r="C38" s="199"/>
      <c r="D38" s="197" t="s">
        <v>1689</v>
      </c>
      <c r="E38" s="198"/>
      <c r="F38" s="198"/>
      <c r="G38" s="199"/>
      <c r="H38" s="197" t="s">
        <v>1690</v>
      </c>
      <c r="I38" s="198"/>
      <c r="J38" s="198"/>
      <c r="K38" s="198"/>
      <c r="L38" s="198"/>
      <c r="M38" s="198"/>
      <c r="N38" s="198"/>
      <c r="O38" s="198"/>
      <c r="P38" s="199"/>
      <c r="Q38" s="201" t="s">
        <v>257</v>
      </c>
      <c r="R38" s="198"/>
      <c r="S38" s="199"/>
    </row>
    <row r="39" spans="1:19" ht="15" customHeight="1" x14ac:dyDescent="0.2">
      <c r="A39" s="9" t="s">
        <v>1691</v>
      </c>
      <c r="B39" s="203">
        <f>Inputs!H90</f>
        <v>2</v>
      </c>
      <c r="C39" s="199"/>
      <c r="D39" s="197" t="s">
        <v>125</v>
      </c>
      <c r="E39" s="198"/>
      <c r="F39" s="198"/>
      <c r="G39" s="199"/>
      <c r="H39" s="197" t="s">
        <v>1692</v>
      </c>
      <c r="I39" s="198"/>
      <c r="J39" s="198"/>
      <c r="K39" s="198"/>
      <c r="L39" s="198"/>
      <c r="M39" s="198"/>
      <c r="N39" s="198"/>
      <c r="O39" s="198"/>
      <c r="P39" s="199"/>
      <c r="Q39" s="205" t="s">
        <v>127</v>
      </c>
      <c r="R39" s="198"/>
      <c r="S39" s="199"/>
    </row>
    <row r="40" spans="1:19" ht="15" customHeight="1" x14ac:dyDescent="0.2">
      <c r="A40" s="9" t="s">
        <v>1693</v>
      </c>
      <c r="B40" s="202" t="s">
        <v>125</v>
      </c>
      <c r="C40" s="199"/>
      <c r="D40" s="197" t="s">
        <v>1694</v>
      </c>
      <c r="E40" s="198"/>
      <c r="F40" s="198"/>
      <c r="G40" s="199"/>
      <c r="H40" s="197" t="s">
        <v>1695</v>
      </c>
      <c r="I40" s="198"/>
      <c r="J40" s="198"/>
      <c r="K40" s="198"/>
      <c r="L40" s="198"/>
      <c r="M40" s="198"/>
      <c r="N40" s="198"/>
      <c r="O40" s="198"/>
      <c r="P40" s="199"/>
      <c r="Q40" s="201" t="s">
        <v>257</v>
      </c>
      <c r="R40" s="198"/>
      <c r="S40" s="199"/>
    </row>
  </sheetData>
  <mergeCells count="20">
    <mergeCell ref="D39:G39"/>
    <mergeCell ref="H36:P36"/>
    <mergeCell ref="Q40:S40"/>
    <mergeCell ref="D38:G38"/>
    <mergeCell ref="B39:C39"/>
    <mergeCell ref="H37:P37"/>
    <mergeCell ref="Q36:S36"/>
    <mergeCell ref="D40:G40"/>
    <mergeCell ref="B38:C38"/>
    <mergeCell ref="D36:G36"/>
    <mergeCell ref="B37:C37"/>
    <mergeCell ref="B40:C40"/>
    <mergeCell ref="H38:P38"/>
    <mergeCell ref="Q37:S37"/>
    <mergeCell ref="B36:C36"/>
    <mergeCell ref="H40:P40"/>
    <mergeCell ref="Q39:S39"/>
    <mergeCell ref="D37:G37"/>
    <mergeCell ref="H39:P39"/>
    <mergeCell ref="Q38:S38"/>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75"/>
  <sheetViews>
    <sheetView showGridLines="0" zoomScaleNormal="100" workbookViewId="0">
      <selection activeCell="B5" sqref="B5"/>
    </sheetView>
  </sheetViews>
  <sheetFormatPr baseColWidth="10" defaultColWidth="8.6640625" defaultRowHeight="15" x14ac:dyDescent="0.2"/>
  <cols>
    <col min="1" max="1" width="36" customWidth="1"/>
    <col min="2" max="2" width="14" customWidth="1"/>
    <col min="3" max="9" width="16" customWidth="1"/>
  </cols>
  <sheetData>
    <row r="1" spans="1:9" ht="17.25" customHeight="1" x14ac:dyDescent="0.2">
      <c r="A1" s="115" t="s">
        <v>1696</v>
      </c>
    </row>
    <row r="2" spans="1:9" ht="15" customHeight="1" x14ac:dyDescent="0.2">
      <c r="A2" s="11" t="s">
        <v>1697</v>
      </c>
    </row>
    <row r="4" spans="1:9" ht="15" customHeight="1" x14ac:dyDescent="0.2">
      <c r="A4" s="12" t="s">
        <v>1698</v>
      </c>
      <c r="D4" s="12" t="s">
        <v>1699</v>
      </c>
      <c r="E4" s="44">
        <v>0.2</v>
      </c>
    </row>
    <row r="5" spans="1:9" ht="15" customHeight="1" x14ac:dyDescent="0.2">
      <c r="A5" s="15" t="s">
        <v>1700</v>
      </c>
      <c r="B5" s="16">
        <f>Scenarios!$F$13</f>
        <v>735630000</v>
      </c>
    </row>
    <row r="6" spans="1:9" ht="15" customHeight="1" x14ac:dyDescent="0.2">
      <c r="A6" s="15" t="s">
        <v>422</v>
      </c>
      <c r="B6" s="16">
        <f>Scenarios!$F$16</f>
        <v>215191146.42429087</v>
      </c>
    </row>
    <row r="7" spans="1:9" ht="15" customHeight="1" x14ac:dyDescent="0.2">
      <c r="A7" s="15" t="s">
        <v>1701</v>
      </c>
      <c r="B7" s="16">
        <f>Scenarios!$F$19</f>
        <v>22019625.000000004</v>
      </c>
    </row>
    <row r="8" spans="1:9" ht="15" customHeight="1" x14ac:dyDescent="0.2">
      <c r="A8" s="15" t="s">
        <v>1702</v>
      </c>
      <c r="B8" s="16">
        <f>Scenarios!$F$22-Scenarios!$F$16-Scenarios!$F$19</f>
        <v>72465960.00000003</v>
      </c>
    </row>
    <row r="9" spans="1:9" ht="15" customHeight="1" x14ac:dyDescent="0.2">
      <c r="A9" s="15" t="s">
        <v>468</v>
      </c>
      <c r="B9" s="16">
        <f>Scenarios!$F$26</f>
        <v>166907330</v>
      </c>
    </row>
    <row r="10" spans="1:9" ht="15" customHeight="1" x14ac:dyDescent="0.2">
      <c r="A10" s="15" t="s">
        <v>1703</v>
      </c>
      <c r="B10" s="16">
        <f>Scenarios!$F$27+Scenarios!$F$28</f>
        <v>37774218.75</v>
      </c>
    </row>
    <row r="11" spans="1:9" ht="15" customHeight="1" x14ac:dyDescent="0.2">
      <c r="A11" s="15" t="s">
        <v>1704</v>
      </c>
      <c r="B11" s="16">
        <f>Scenarios!$F$29+Scenarios!$F$30</f>
        <v>86485449.583333328</v>
      </c>
    </row>
    <row r="12" spans="1:9" ht="15" customHeight="1" x14ac:dyDescent="0.2">
      <c r="A12" s="15" t="s">
        <v>1567</v>
      </c>
      <c r="B12" s="16">
        <f>Scenarios!$F$53</f>
        <v>4266246129.875</v>
      </c>
    </row>
    <row r="13" spans="1:9" ht="15" customHeight="1" x14ac:dyDescent="0.2">
      <c r="A13" s="15" t="s">
        <v>1705</v>
      </c>
      <c r="B13" s="59">
        <f>B5-B6-B7-B8-B9-B10-B11</f>
        <v>134786270.24237579</v>
      </c>
    </row>
    <row r="16" spans="1:9" ht="15" customHeight="1" x14ac:dyDescent="0.2">
      <c r="A16" s="117" t="s">
        <v>1016</v>
      </c>
      <c r="B16" s="117" t="s">
        <v>1706</v>
      </c>
      <c r="C16" s="117" t="s">
        <v>1707</v>
      </c>
      <c r="D16" s="117" t="s">
        <v>1708</v>
      </c>
      <c r="E16" s="117" t="s">
        <v>1709</v>
      </c>
      <c r="F16" s="117" t="s">
        <v>1710</v>
      </c>
      <c r="G16" s="117" t="s">
        <v>1711</v>
      </c>
      <c r="H16" s="117" t="s">
        <v>1712</v>
      </c>
      <c r="I16" s="117" t="s">
        <v>1713</v>
      </c>
    </row>
    <row r="17" spans="1:9" ht="15" customHeight="1" x14ac:dyDescent="0.2">
      <c r="A17" s="15" t="s">
        <v>1714</v>
      </c>
      <c r="B17" s="55">
        <f t="shared" ref="B17:B23" si="0">1-$E$4</f>
        <v>0.8</v>
      </c>
      <c r="C17" s="55">
        <f t="shared" ref="C17:C23" si="1">1+$E$4</f>
        <v>1.2</v>
      </c>
      <c r="D17" s="53">
        <f>$B$5*B17*1-$B$6*B17*1-$B$7*B17*1*1-$B$8*B17*1-$B$9*1-$B$10*1-$B$11*1</f>
        <v>49595616.527234003</v>
      </c>
      <c r="E17" s="53">
        <f>$B$5*C17*1-$B$6*C17*1-$B$7*C17*1*1-$B$8*C17*1-$B$9*1-$B$10*1-$B$11*1</f>
        <v>219976923.95751768</v>
      </c>
      <c r="F17" s="53">
        <f t="shared" ref="F17:G23" si="2">D17-$B$13</f>
        <v>-85190653.715141788</v>
      </c>
      <c r="G17" s="53">
        <f t="shared" si="2"/>
        <v>85190653.715141892</v>
      </c>
      <c r="H17" s="53">
        <f t="shared" ref="H17:H23" si="3">ABS(E17-D17)</f>
        <v>170381307.43028367</v>
      </c>
      <c r="I17" s="53">
        <f t="shared" ref="I17:I23" si="4">H17+ROW()/1000</f>
        <v>170381307.44728366</v>
      </c>
    </row>
    <row r="18" spans="1:9" ht="15" customHeight="1" x14ac:dyDescent="0.2">
      <c r="A18" s="15" t="s">
        <v>1715</v>
      </c>
      <c r="B18" s="55">
        <f t="shared" si="0"/>
        <v>0.8</v>
      </c>
      <c r="C18" s="55">
        <f t="shared" si="1"/>
        <v>1.2</v>
      </c>
      <c r="D18" s="53">
        <f>$B$5*1*B18-$B$6*1*1-$B$7*1*B18*1-$B$8*1*B18-$B$9*1-$B$10*1-$B$11*1</f>
        <v>6557387.2423757762</v>
      </c>
      <c r="E18" s="53">
        <f>$B$5*1*C18-$B$6*1*1-$B$7*1*C18*1-$B$8*1*C18-$B$9*1-$B$10*1-$B$11*1</f>
        <v>263015153.24237579</v>
      </c>
      <c r="F18" s="53">
        <f t="shared" si="2"/>
        <v>-128228883.00000001</v>
      </c>
      <c r="G18" s="53">
        <f t="shared" si="2"/>
        <v>128228883</v>
      </c>
      <c r="H18" s="53">
        <f t="shared" si="3"/>
        <v>256457766</v>
      </c>
      <c r="I18" s="53">
        <f t="shared" si="4"/>
        <v>256457766.01800001</v>
      </c>
    </row>
    <row r="19" spans="1:9" ht="15" customHeight="1" x14ac:dyDescent="0.2">
      <c r="A19" s="15" t="s">
        <v>1716</v>
      </c>
      <c r="B19" s="55">
        <f t="shared" si="0"/>
        <v>0.8</v>
      </c>
      <c r="C19" s="55">
        <f t="shared" si="1"/>
        <v>1.2</v>
      </c>
      <c r="D19" s="53">
        <f>$B$5*1*1-$B$6*1*B19-$B$7*1*1*1-$B$8*1*1-$B$9*1-$B$10*1-$B$11*1</f>
        <v>177824499.52723402</v>
      </c>
      <c r="E19" s="53">
        <f>$B$5*1*1-$B$6*1*C19-$B$7*1*1*1-$B$8*1*1-$B$9*1-$B$10*1-$B$11*1</f>
        <v>91748040.957517669</v>
      </c>
      <c r="F19" s="53">
        <f t="shared" si="2"/>
        <v>43038229.284858227</v>
      </c>
      <c r="G19" s="53">
        <f t="shared" si="2"/>
        <v>-43038229.284858122</v>
      </c>
      <c r="H19" s="53">
        <f t="shared" si="3"/>
        <v>86076458.569716349</v>
      </c>
      <c r="I19" s="53">
        <f t="shared" si="4"/>
        <v>86076458.588716343</v>
      </c>
    </row>
    <row r="20" spans="1:9" ht="15" customHeight="1" x14ac:dyDescent="0.2">
      <c r="A20" s="15" t="s">
        <v>1701</v>
      </c>
      <c r="B20" s="55">
        <f t="shared" si="0"/>
        <v>0.8</v>
      </c>
      <c r="C20" s="55">
        <f t="shared" si="1"/>
        <v>1.2</v>
      </c>
      <c r="D20" s="53">
        <f>$B$5*1*1-$B$6*1*1-$B$7*1*1*B20-$B$8*1*1-$B$9*1-$B$10*1-$B$11*1</f>
        <v>139190195.24237579</v>
      </c>
      <c r="E20" s="53">
        <f>$B$5*1*1-$B$6*1*1-$B$7*1*1*C20-$B$8*1*1-$B$9*1-$B$10*1-$B$11*1</f>
        <v>130382345.24237578</v>
      </c>
      <c r="F20" s="53">
        <f t="shared" si="2"/>
        <v>4403925</v>
      </c>
      <c r="G20" s="53">
        <f t="shared" si="2"/>
        <v>-4403925.0000000149</v>
      </c>
      <c r="H20" s="53">
        <f t="shared" si="3"/>
        <v>8807850.0000000149</v>
      </c>
      <c r="I20" s="53">
        <f t="shared" si="4"/>
        <v>8807850.0200000145</v>
      </c>
    </row>
    <row r="21" spans="1:9" ht="15" customHeight="1" x14ac:dyDescent="0.2">
      <c r="A21" s="15" t="s">
        <v>1717</v>
      </c>
      <c r="B21" s="55">
        <f t="shared" si="0"/>
        <v>0.8</v>
      </c>
      <c r="C21" s="55">
        <f t="shared" si="1"/>
        <v>1.2</v>
      </c>
      <c r="D21" s="53">
        <f>$B$5*1*1-$B$6*1*1-$B$7*1*1*1-$B$8*1*1-$B$9*B21-$B$10*1-$B$11*1</f>
        <v>168167736.24237579</v>
      </c>
      <c r="E21" s="53">
        <f>$B$5*1*1-$B$6*1*1-$B$7*1*1*1-$B$8*1*1-$B$9*C21-$B$10*1-$B$11*1</f>
        <v>101404804.24237578</v>
      </c>
      <c r="F21" s="53">
        <f t="shared" si="2"/>
        <v>33381466</v>
      </c>
      <c r="G21" s="53">
        <f t="shared" si="2"/>
        <v>-33381466.000000015</v>
      </c>
      <c r="H21" s="53">
        <f t="shared" si="3"/>
        <v>66762932.000000015</v>
      </c>
      <c r="I21" s="53">
        <f t="shared" si="4"/>
        <v>66762932.021000013</v>
      </c>
    </row>
    <row r="22" spans="1:9" ht="15" customHeight="1" x14ac:dyDescent="0.2">
      <c r="A22" s="15" t="s">
        <v>1703</v>
      </c>
      <c r="B22" s="55">
        <f t="shared" si="0"/>
        <v>0.8</v>
      </c>
      <c r="C22" s="55">
        <f t="shared" si="1"/>
        <v>1.2</v>
      </c>
      <c r="D22" s="53">
        <f>$B$5*1*1-$B$6*1*1-$B$7*1*1*1-$B$8*1*1-$B$9*1-$B$10*B22-$B$11*1</f>
        <v>142341113.99237579</v>
      </c>
      <c r="E22" s="53">
        <f>$B$5*1*1-$B$6*1*1-$B$7*1*1*1-$B$8*1*1-$B$9*1-$B$10*C22-$B$11*1</f>
        <v>127231426.49237578</v>
      </c>
      <c r="F22" s="53">
        <f t="shared" si="2"/>
        <v>7554843.75</v>
      </c>
      <c r="G22" s="53">
        <f t="shared" si="2"/>
        <v>-7554843.7500000149</v>
      </c>
      <c r="H22" s="53">
        <f t="shared" si="3"/>
        <v>15109687.500000015</v>
      </c>
      <c r="I22" s="53">
        <f t="shared" si="4"/>
        <v>15109687.522000015</v>
      </c>
    </row>
    <row r="23" spans="1:9" ht="15" customHeight="1" x14ac:dyDescent="0.2">
      <c r="A23" s="15" t="s">
        <v>1718</v>
      </c>
      <c r="B23" s="55">
        <f t="shared" si="0"/>
        <v>0.8</v>
      </c>
      <c r="C23" s="55">
        <f t="shared" si="1"/>
        <v>1.2</v>
      </c>
      <c r="D23" s="53">
        <f>$B$5*1*1-$B$6*1*1-$B$7*1*1*1-$B$8*1*1-$B$9*1-$B$10*1-$B$11*B23</f>
        <v>152083360.15904242</v>
      </c>
      <c r="E23" s="53">
        <f>$B$5*1*1-$B$6*1*1-$B$7*1*1*1-$B$8*1*1-$B$9*1-$B$10*1-$B$11*C23</f>
        <v>117489180.32570912</v>
      </c>
      <c r="F23" s="53">
        <f t="shared" si="2"/>
        <v>17297089.916666627</v>
      </c>
      <c r="G23" s="53">
        <f t="shared" si="2"/>
        <v>-17297089.916666672</v>
      </c>
      <c r="H23" s="53">
        <f t="shared" si="3"/>
        <v>34594179.833333299</v>
      </c>
      <c r="I23" s="53">
        <f t="shared" si="4"/>
        <v>34594179.8563333</v>
      </c>
    </row>
    <row r="26" spans="1:9" ht="15" customHeight="1" x14ac:dyDescent="0.2">
      <c r="A26" s="123" t="s">
        <v>1719</v>
      </c>
    </row>
    <row r="27" spans="1:9" ht="23.25" customHeight="1" x14ac:dyDescent="0.2">
      <c r="A27" s="117" t="s">
        <v>1016</v>
      </c>
      <c r="B27" s="117" t="s">
        <v>1720</v>
      </c>
      <c r="C27" s="117" t="s">
        <v>1721</v>
      </c>
      <c r="D27" s="117" t="s">
        <v>1722</v>
      </c>
    </row>
    <row r="28" spans="1:9" ht="15" customHeight="1" x14ac:dyDescent="0.2">
      <c r="A28" s="15" t="str">
        <f>INDEX($A$17:$A$23,MATCH(LARGE($I$17:$I$23,1),$I$17:$I$23,0))</f>
        <v>Average spend / menu prices</v>
      </c>
      <c r="B28" s="53">
        <f>INDEX($F$17:$F$23,MATCH(LARGE($I$17:$I$23,1),$I$17:$I$23,0))</f>
        <v>-128228883.00000001</v>
      </c>
      <c r="C28" s="53">
        <f>INDEX($G$17:$G$23,MATCH(LARGE($I$17:$I$23,1),$I$17:$I$23,0))</f>
        <v>128228883</v>
      </c>
      <c r="D28" s="53">
        <f t="shared" ref="D28:D34" si="5">ABS(C28-B28)</f>
        <v>256457766</v>
      </c>
    </row>
    <row r="29" spans="1:9" ht="15" customHeight="1" x14ac:dyDescent="0.2">
      <c r="A29" s="15" t="str">
        <f>INDEX($A$17:$A$23,MATCH(LARGE($I$17:$I$23,2),$I$17:$I$23,0))</f>
        <v>Guest volume (all channels)</v>
      </c>
      <c r="B29" s="53">
        <f>INDEX($F$17:$F$23,MATCH(LARGE($I$17:$I$23,2),$I$17:$I$23,0))</f>
        <v>-85190653.715141788</v>
      </c>
      <c r="C29" s="53">
        <f>INDEX($G$17:$G$23,MATCH(LARGE($I$17:$I$23,2),$I$17:$I$23,0))</f>
        <v>85190653.715141892</v>
      </c>
      <c r="D29" s="53">
        <f t="shared" si="5"/>
        <v>170381307.43028367</v>
      </c>
    </row>
    <row r="30" spans="1:9" ht="15" customHeight="1" x14ac:dyDescent="0.2">
      <c r="A30" s="15" t="str">
        <f>INDEX($A$17:$A$23,MATCH(LARGE($I$17:$I$23,3),$I$17:$I$23,0))</f>
        <v>Food &amp; beverage cost %</v>
      </c>
      <c r="B30" s="53">
        <f>INDEX($F$17:$F$23,MATCH(LARGE($I$17:$I$23,3),$I$17:$I$23,0))</f>
        <v>43038229.284858227</v>
      </c>
      <c r="C30" s="53">
        <f>INDEX($G$17:$G$23,MATCH(LARGE($I$17:$I$23,3),$I$17:$I$23,0))</f>
        <v>-43038229.284858122</v>
      </c>
      <c r="D30" s="53">
        <f t="shared" si="5"/>
        <v>86076458.569716349</v>
      </c>
    </row>
    <row r="31" spans="1:9" ht="15" customHeight="1" x14ac:dyDescent="0.2">
      <c r="A31" s="15" t="str">
        <f>INDEX($A$17:$A$23,MATCH(LARGE($I$17:$I$23,4),$I$17:$I$23,0))</f>
        <v>Staff cost</v>
      </c>
      <c r="B31" s="53">
        <f>INDEX($F$17:$F$23,MATCH(LARGE($I$17:$I$23,4),$I$17:$I$23,0))</f>
        <v>33381466</v>
      </c>
      <c r="C31" s="53">
        <f>INDEX($G$17:$G$23,MATCH(LARGE($I$17:$I$23,4),$I$17:$I$23,0))</f>
        <v>-33381466.000000015</v>
      </c>
      <c r="D31" s="53">
        <f t="shared" si="5"/>
        <v>66762932.000000015</v>
      </c>
    </row>
    <row r="32" spans="1:9" ht="15" customHeight="1" x14ac:dyDescent="0.2">
      <c r="A32" s="15" t="str">
        <f>INDEX($A$17:$A$23,MATCH(LARGE($I$17:$I$23,5),$I$17:$I$23,0))</f>
        <v>Other fixed costs</v>
      </c>
      <c r="B32" s="53">
        <f>INDEX($F$17:$F$23,MATCH(LARGE($I$17:$I$23,5),$I$17:$I$23,0))</f>
        <v>17297089.916666627</v>
      </c>
      <c r="C32" s="53">
        <f>INDEX($G$17:$G$23,MATCH(LARGE($I$17:$I$23,5),$I$17:$I$23,0))</f>
        <v>-17297089.916666672</v>
      </c>
      <c r="D32" s="53">
        <f t="shared" si="5"/>
        <v>34594179.833333299</v>
      </c>
    </row>
    <row r="33" spans="1:8" ht="15" customHeight="1" x14ac:dyDescent="0.2">
      <c r="A33" s="15" t="str">
        <f>INDEX($A$17:$A$23,MATCH(LARGE($I$17:$I$23,6),$I$17:$I$23,0))</f>
        <v>Rent + service charge</v>
      </c>
      <c r="B33" s="53">
        <f>INDEX($F$17:$F$23,MATCH(LARGE($I$17:$I$23,6),$I$17:$I$23,0))</f>
        <v>7554843.75</v>
      </c>
      <c r="C33" s="53">
        <f>INDEX($G$17:$G$23,MATCH(LARGE($I$17:$I$23,6),$I$17:$I$23,0))</f>
        <v>-7554843.7500000149</v>
      </c>
      <c r="D33" s="53">
        <f t="shared" si="5"/>
        <v>15109687.500000015</v>
      </c>
    </row>
    <row r="34" spans="1:8" ht="15" customHeight="1" x14ac:dyDescent="0.2">
      <c r="A34" s="15" t="str">
        <f>INDEX($A$17:$A$23,MATCH(LARGE($I$17:$I$23,7),$I$17:$I$23,0))</f>
        <v>Delivery commission</v>
      </c>
      <c r="B34" s="53">
        <f>INDEX($F$17:$F$23,MATCH(LARGE($I$17:$I$23,7),$I$17:$I$23,0))</f>
        <v>4403925</v>
      </c>
      <c r="C34" s="53">
        <f>INDEX($G$17:$G$23,MATCH(LARGE($I$17:$I$23,7),$I$17:$I$23,0))</f>
        <v>-4403925.0000000149</v>
      </c>
      <c r="D34" s="53">
        <f t="shared" si="5"/>
        <v>8807850.0000000149</v>
      </c>
    </row>
    <row r="38" spans="1:8" ht="15" customHeight="1" x14ac:dyDescent="0.2">
      <c r="A38" s="12" t="s">
        <v>1723</v>
      </c>
    </row>
    <row r="39" spans="1:8" ht="15" customHeight="1" x14ac:dyDescent="0.2">
      <c r="B39" s="32">
        <v>0.85</v>
      </c>
      <c r="C39" s="32">
        <v>0.9</v>
      </c>
      <c r="D39" s="32">
        <v>0.95</v>
      </c>
      <c r="E39" s="32">
        <v>1</v>
      </c>
      <c r="F39" s="32">
        <v>1.05</v>
      </c>
      <c r="G39" s="32">
        <v>1.1000000000000001</v>
      </c>
      <c r="H39" s="32">
        <v>1.1499999999999999</v>
      </c>
    </row>
    <row r="40" spans="1:8" ht="15" customHeight="1" x14ac:dyDescent="0.2">
      <c r="A40" s="32">
        <v>0.7</v>
      </c>
      <c r="B40" s="53">
        <f t="shared" ref="B40:H46" si="6">$B$5*$A40*B$39-$B$6*$A40*1-$B$7*$A40*B$39*1-$B$8*$A40*B$39-$B$9*1-$B$10*1-$B$11*1</f>
        <v>-60319873.905337021</v>
      </c>
      <c r="C40" s="53">
        <f t="shared" si="6"/>
        <v>-37879819.380337015</v>
      </c>
      <c r="D40" s="53">
        <f t="shared" si="6"/>
        <v>-15439764.855337039</v>
      </c>
      <c r="E40" s="53">
        <f t="shared" si="6"/>
        <v>7000289.6696629971</v>
      </c>
      <c r="F40" s="53">
        <f t="shared" si="6"/>
        <v>29440344.194663092</v>
      </c>
      <c r="G40" s="53">
        <f t="shared" si="6"/>
        <v>51880398.719663069</v>
      </c>
      <c r="H40" s="53">
        <f t="shared" si="6"/>
        <v>74320453.244662985</v>
      </c>
    </row>
    <row r="41" spans="1:8" ht="15" customHeight="1" x14ac:dyDescent="0.2">
      <c r="A41" s="32">
        <v>0.8</v>
      </c>
      <c r="B41" s="53">
        <f t="shared" si="6"/>
        <v>-27341713.272766009</v>
      </c>
      <c r="C41" s="53">
        <f t="shared" si="6"/>
        <v>-1695936.6727660447</v>
      </c>
      <c r="D41" s="53">
        <f t="shared" si="6"/>
        <v>23949839.927233979</v>
      </c>
      <c r="E41" s="53">
        <f t="shared" si="6"/>
        <v>49595616.527234003</v>
      </c>
      <c r="F41" s="53">
        <f t="shared" si="6"/>
        <v>75241393.127233967</v>
      </c>
      <c r="G41" s="53">
        <f t="shared" si="6"/>
        <v>100887169.72723399</v>
      </c>
      <c r="H41" s="53">
        <f t="shared" si="6"/>
        <v>126532946.32723396</v>
      </c>
    </row>
    <row r="42" spans="1:8" ht="15" customHeight="1" x14ac:dyDescent="0.2">
      <c r="A42" s="32">
        <v>0.9</v>
      </c>
      <c r="B42" s="53">
        <f t="shared" si="6"/>
        <v>5636447.3598048538</v>
      </c>
      <c r="C42" s="53">
        <f t="shared" si="6"/>
        <v>34487946.034804866</v>
      </c>
      <c r="D42" s="53">
        <f t="shared" si="6"/>
        <v>63339444.709804878</v>
      </c>
      <c r="E42" s="53">
        <f t="shared" si="6"/>
        <v>92190943.38480489</v>
      </c>
      <c r="F42" s="53">
        <f t="shared" si="6"/>
        <v>121042442.05980484</v>
      </c>
      <c r="G42" s="53">
        <f t="shared" si="6"/>
        <v>149893940.73480487</v>
      </c>
      <c r="H42" s="53">
        <f t="shared" si="6"/>
        <v>178745439.40980488</v>
      </c>
    </row>
    <row r="43" spans="1:8" ht="15" customHeight="1" x14ac:dyDescent="0.2">
      <c r="A43" s="32">
        <v>1</v>
      </c>
      <c r="B43" s="53">
        <f t="shared" si="6"/>
        <v>38614607.992375776</v>
      </c>
      <c r="C43" s="53">
        <f t="shared" si="6"/>
        <v>70671828.742375776</v>
      </c>
      <c r="D43" s="53">
        <f t="shared" si="6"/>
        <v>102729049.49237578</v>
      </c>
      <c r="E43" s="53">
        <f t="shared" si="6"/>
        <v>134786270.24237579</v>
      </c>
      <c r="F43" s="53">
        <f t="shared" si="6"/>
        <v>166843490.99237579</v>
      </c>
      <c r="G43" s="53">
        <f t="shared" si="6"/>
        <v>198900711.74237585</v>
      </c>
      <c r="H43" s="53">
        <f t="shared" si="6"/>
        <v>230957932.49237567</v>
      </c>
    </row>
    <row r="44" spans="1:8" ht="15" customHeight="1" x14ac:dyDescent="0.2">
      <c r="A44" s="32">
        <v>1.1000000000000001</v>
      </c>
      <c r="B44" s="53">
        <f t="shared" si="6"/>
        <v>71592768.624946758</v>
      </c>
      <c r="C44" s="53">
        <f t="shared" si="6"/>
        <v>106855711.44994675</v>
      </c>
      <c r="D44" s="53">
        <f t="shared" si="6"/>
        <v>142118654.27494675</v>
      </c>
      <c r="E44" s="53">
        <f t="shared" si="6"/>
        <v>177381597.09994674</v>
      </c>
      <c r="F44" s="53">
        <f t="shared" si="6"/>
        <v>212644539.92494673</v>
      </c>
      <c r="G44" s="53">
        <f t="shared" si="6"/>
        <v>247907482.74994689</v>
      </c>
      <c r="H44" s="53">
        <f t="shared" si="6"/>
        <v>283170425.5749467</v>
      </c>
    </row>
    <row r="45" spans="1:8" ht="15" customHeight="1" x14ac:dyDescent="0.2">
      <c r="A45" s="32">
        <v>1.2</v>
      </c>
      <c r="B45" s="53">
        <f t="shared" si="6"/>
        <v>104570929.25751762</v>
      </c>
      <c r="C45" s="53">
        <f t="shared" si="6"/>
        <v>143039594.15751767</v>
      </c>
      <c r="D45" s="53">
        <f t="shared" si="6"/>
        <v>181508259.05751765</v>
      </c>
      <c r="E45" s="53">
        <f t="shared" si="6"/>
        <v>219976923.95751768</v>
      </c>
      <c r="F45" s="53">
        <f t="shared" si="6"/>
        <v>258445588.85751766</v>
      </c>
      <c r="G45" s="53">
        <f t="shared" si="6"/>
        <v>296914253.75751776</v>
      </c>
      <c r="H45" s="53">
        <f t="shared" si="6"/>
        <v>335382918.65751749</v>
      </c>
    </row>
    <row r="46" spans="1:8" ht="15" customHeight="1" x14ac:dyDescent="0.2">
      <c r="A46" s="32">
        <v>1.3</v>
      </c>
      <c r="B46" s="53">
        <f t="shared" si="6"/>
        <v>137549089.8900885</v>
      </c>
      <c r="C46" s="53">
        <f t="shared" si="6"/>
        <v>179223476.86508852</v>
      </c>
      <c r="D46" s="53">
        <f t="shared" si="6"/>
        <v>220897863.84008855</v>
      </c>
      <c r="E46" s="53">
        <f t="shared" si="6"/>
        <v>262572250.81508857</v>
      </c>
      <c r="F46" s="53">
        <f t="shared" si="6"/>
        <v>304246637.79008847</v>
      </c>
      <c r="G46" s="53">
        <f t="shared" si="6"/>
        <v>345921024.76508862</v>
      </c>
      <c r="H46" s="53">
        <f t="shared" si="6"/>
        <v>387595411.74008852</v>
      </c>
    </row>
    <row r="48" spans="1:8" ht="15" customHeight="1" x14ac:dyDescent="0.2">
      <c r="A48" s="12" t="s">
        <v>1724</v>
      </c>
    </row>
    <row r="49" spans="1:8" ht="15" customHeight="1" x14ac:dyDescent="0.2">
      <c r="B49" s="32">
        <v>0.6</v>
      </c>
      <c r="C49" s="32">
        <v>0.8</v>
      </c>
      <c r="D49" s="32">
        <v>1</v>
      </c>
      <c r="E49" s="32">
        <v>1.2</v>
      </c>
      <c r="F49" s="32">
        <v>1.4</v>
      </c>
      <c r="G49" s="32">
        <v>1.6</v>
      </c>
      <c r="H49" s="32">
        <v>2</v>
      </c>
    </row>
    <row r="50" spans="1:8" ht="15" customHeight="1" x14ac:dyDescent="0.2">
      <c r="A50" s="32">
        <v>0.7</v>
      </c>
      <c r="B50" s="53">
        <f t="shared" ref="B50:H56" si="7">$B$5*$A50*1-$B$6*$A50*1-$B$7*$A50*1*1-$B$8*$A50*1-$B$9*1-$B$10*B$49-$B$11*1</f>
        <v>22109977.169662997</v>
      </c>
      <c r="C50" s="53">
        <f t="shared" si="7"/>
        <v>14555133.419662997</v>
      </c>
      <c r="D50" s="53">
        <f t="shared" si="7"/>
        <v>7000289.6696629971</v>
      </c>
      <c r="E50" s="53">
        <f t="shared" si="7"/>
        <v>-554554.08033700287</v>
      </c>
      <c r="F50" s="53">
        <f t="shared" si="7"/>
        <v>-8109397.8303370029</v>
      </c>
      <c r="G50" s="53">
        <f t="shared" si="7"/>
        <v>-15664241.580337003</v>
      </c>
      <c r="H50" s="53">
        <f t="shared" si="7"/>
        <v>-30773929.080337003</v>
      </c>
    </row>
    <row r="51" spans="1:8" ht="15" customHeight="1" x14ac:dyDescent="0.2">
      <c r="A51" s="32">
        <v>0.8</v>
      </c>
      <c r="B51" s="53">
        <f t="shared" si="7"/>
        <v>64705304.027234003</v>
      </c>
      <c r="C51" s="53">
        <f t="shared" si="7"/>
        <v>57150460.277234003</v>
      </c>
      <c r="D51" s="53">
        <f t="shared" si="7"/>
        <v>49595616.527234003</v>
      </c>
      <c r="E51" s="53">
        <f t="shared" si="7"/>
        <v>42040772.777234003</v>
      </c>
      <c r="F51" s="53">
        <f t="shared" si="7"/>
        <v>34485929.027234003</v>
      </c>
      <c r="G51" s="53">
        <f t="shared" si="7"/>
        <v>26931085.277234003</v>
      </c>
      <c r="H51" s="53">
        <f t="shared" si="7"/>
        <v>11821397.777234003</v>
      </c>
    </row>
    <row r="52" spans="1:8" ht="15" customHeight="1" x14ac:dyDescent="0.2">
      <c r="A52" s="32">
        <v>0.9</v>
      </c>
      <c r="B52" s="53">
        <f t="shared" si="7"/>
        <v>107300630.88480489</v>
      </c>
      <c r="C52" s="53">
        <f t="shared" si="7"/>
        <v>99745787.13480489</v>
      </c>
      <c r="D52" s="53">
        <f t="shared" si="7"/>
        <v>92190943.38480489</v>
      </c>
      <c r="E52" s="53">
        <f t="shared" si="7"/>
        <v>84636099.63480489</v>
      </c>
      <c r="F52" s="53">
        <f t="shared" si="7"/>
        <v>77081255.88480489</v>
      </c>
      <c r="G52" s="53">
        <f t="shared" si="7"/>
        <v>69526412.13480489</v>
      </c>
      <c r="H52" s="53">
        <f t="shared" si="7"/>
        <v>54416724.63480489</v>
      </c>
    </row>
    <row r="53" spans="1:8" ht="15" customHeight="1" x14ac:dyDescent="0.2">
      <c r="A53" s="32">
        <v>1</v>
      </c>
      <c r="B53" s="53">
        <f t="shared" si="7"/>
        <v>149895957.74237579</v>
      </c>
      <c r="C53" s="53">
        <f t="shared" si="7"/>
        <v>142341113.99237579</v>
      </c>
      <c r="D53" s="53">
        <f t="shared" si="7"/>
        <v>134786270.24237579</v>
      </c>
      <c r="E53" s="53">
        <f t="shared" si="7"/>
        <v>127231426.49237578</v>
      </c>
      <c r="F53" s="53">
        <f t="shared" si="7"/>
        <v>119676582.74237578</v>
      </c>
      <c r="G53" s="53">
        <f t="shared" si="7"/>
        <v>112121738.99237578</v>
      </c>
      <c r="H53" s="53">
        <f t="shared" si="7"/>
        <v>97012051.492375776</v>
      </c>
    </row>
    <row r="54" spans="1:8" ht="15" customHeight="1" x14ac:dyDescent="0.2">
      <c r="A54" s="32">
        <v>1.1000000000000001</v>
      </c>
      <c r="B54" s="53">
        <f t="shared" si="7"/>
        <v>192491284.59994674</v>
      </c>
      <c r="C54" s="53">
        <f t="shared" si="7"/>
        <v>184936440.84994674</v>
      </c>
      <c r="D54" s="53">
        <f t="shared" si="7"/>
        <v>177381597.09994674</v>
      </c>
      <c r="E54" s="53">
        <f t="shared" si="7"/>
        <v>169826753.34994674</v>
      </c>
      <c r="F54" s="53">
        <f t="shared" si="7"/>
        <v>162271909.59994674</v>
      </c>
      <c r="G54" s="53">
        <f t="shared" si="7"/>
        <v>154717065.84994674</v>
      </c>
      <c r="H54" s="53">
        <f t="shared" si="7"/>
        <v>139607378.34994674</v>
      </c>
    </row>
    <row r="55" spans="1:8" ht="15" customHeight="1" x14ac:dyDescent="0.2">
      <c r="A55" s="32">
        <v>1.2</v>
      </c>
      <c r="B55" s="53">
        <f t="shared" si="7"/>
        <v>235086611.45751768</v>
      </c>
      <c r="C55" s="53">
        <f t="shared" si="7"/>
        <v>227531767.70751768</v>
      </c>
      <c r="D55" s="53">
        <f t="shared" si="7"/>
        <v>219976923.95751768</v>
      </c>
      <c r="E55" s="53">
        <f t="shared" si="7"/>
        <v>212422080.20751768</v>
      </c>
      <c r="F55" s="53">
        <f t="shared" si="7"/>
        <v>204867236.45751768</v>
      </c>
      <c r="G55" s="53">
        <f t="shared" si="7"/>
        <v>197312392.70751768</v>
      </c>
      <c r="H55" s="53">
        <f t="shared" si="7"/>
        <v>182202705.20751768</v>
      </c>
    </row>
    <row r="56" spans="1:8" ht="15" customHeight="1" x14ac:dyDescent="0.2">
      <c r="A56" s="32">
        <v>1.3</v>
      </c>
      <c r="B56" s="53">
        <f t="shared" si="7"/>
        <v>277681938.31508857</v>
      </c>
      <c r="C56" s="53">
        <f t="shared" si="7"/>
        <v>270127094.56508857</v>
      </c>
      <c r="D56" s="53">
        <f t="shared" si="7"/>
        <v>262572250.81508857</v>
      </c>
      <c r="E56" s="53">
        <f t="shared" si="7"/>
        <v>255017407.06508857</v>
      </c>
      <c r="F56" s="53">
        <f t="shared" si="7"/>
        <v>247462563.31508857</v>
      </c>
      <c r="G56" s="53">
        <f t="shared" si="7"/>
        <v>239907719.56508857</v>
      </c>
      <c r="H56" s="53">
        <f t="shared" si="7"/>
        <v>224798032.06508857</v>
      </c>
    </row>
    <row r="58" spans="1:8" ht="15" customHeight="1" x14ac:dyDescent="0.2">
      <c r="A58" s="12" t="s">
        <v>1725</v>
      </c>
    </row>
    <row r="59" spans="1:8" ht="15" customHeight="1" x14ac:dyDescent="0.2">
      <c r="B59" s="32">
        <v>0.6</v>
      </c>
      <c r="C59" s="32">
        <v>0.8</v>
      </c>
      <c r="D59" s="32">
        <v>1</v>
      </c>
      <c r="E59" s="32">
        <v>1.2</v>
      </c>
      <c r="F59" s="32">
        <v>1.4</v>
      </c>
    </row>
    <row r="60" spans="1:8" ht="15" customHeight="1" x14ac:dyDescent="0.2">
      <c r="A60" s="32">
        <v>0.8</v>
      </c>
      <c r="B60" s="21">
        <f>IF($B$13*B$59&gt;0,$B$12*$A60/($B$13*B$59*12*(1-Inputs!$H$16)),"never")</f>
        <v>4.5088225071829147</v>
      </c>
      <c r="C60" s="21">
        <f>IF($B$13*C$59&gt;0,$B$12*$A60/($B$13*C$59*12*(1-Inputs!$H$16)),"never")</f>
        <v>3.3816168803871856</v>
      </c>
      <c r="D60" s="21">
        <f>IF($B$13*D$59&gt;0,$B$12*$A60/($B$13*D$59*12*(1-Inputs!$H$16)),"never")</f>
        <v>2.7052935043097488</v>
      </c>
      <c r="E60" s="21">
        <f>IF($B$13*E$59&gt;0,$B$12*$A60/($B$13*E$59*12*(1-Inputs!$H$16)),"never")</f>
        <v>2.2544112535914573</v>
      </c>
      <c r="F60" s="21">
        <f>IF($B$13*F$59&gt;0,$B$12*$A60/($B$13*F$59*12*(1-Inputs!$H$16)),"never")</f>
        <v>1.9323525030783923</v>
      </c>
    </row>
    <row r="61" spans="1:8" ht="15" customHeight="1" x14ac:dyDescent="0.2">
      <c r="A61" s="32">
        <v>0.9</v>
      </c>
      <c r="B61" s="21">
        <f>IF($B$13*B$59&gt;0,$B$12*$A61/($B$13*B$59*12*(1-Inputs!$H$16)),"never")</f>
        <v>5.0724253205807797</v>
      </c>
      <c r="C61" s="21">
        <f>IF($B$13*C$59&gt;0,$B$12*$A61/($B$13*C$59*12*(1-Inputs!$H$16)),"never")</f>
        <v>3.8043189904355841</v>
      </c>
      <c r="D61" s="21">
        <f>IF($B$13*D$59&gt;0,$B$12*$A61/($B$13*D$59*12*(1-Inputs!$H$16)),"never")</f>
        <v>3.0434551923484672</v>
      </c>
      <c r="E61" s="21">
        <f>IF($B$13*E$59&gt;0,$B$12*$A61/($B$13*E$59*12*(1-Inputs!$H$16)),"never")</f>
        <v>2.5362126602903898</v>
      </c>
      <c r="F61" s="21">
        <f>IF($B$13*F$59&gt;0,$B$12*$A61/($B$13*F$59*12*(1-Inputs!$H$16)),"never")</f>
        <v>2.1738965659631915</v>
      </c>
    </row>
    <row r="62" spans="1:8" ht="15" customHeight="1" x14ac:dyDescent="0.2">
      <c r="A62" s="32">
        <v>1</v>
      </c>
      <c r="B62" s="21">
        <f>IF($B$13*B$59&gt;0,$B$12*$A62/($B$13*B$59*12*(1-Inputs!$H$16)),"never")</f>
        <v>5.6360281339786438</v>
      </c>
      <c r="C62" s="21">
        <f>IF($B$13*C$59&gt;0,$B$12*$A62/($B$13*C$59*12*(1-Inputs!$H$16)),"never")</f>
        <v>4.2270211004839817</v>
      </c>
      <c r="D62" s="21">
        <f>IF($B$13*D$59&gt;0,$B$12*$A62/($B$13*D$59*12*(1-Inputs!$H$16)),"never")</f>
        <v>3.3816168803871856</v>
      </c>
      <c r="E62" s="21">
        <f>IF($B$13*E$59&gt;0,$B$12*$A62/($B$13*E$59*12*(1-Inputs!$H$16)),"never")</f>
        <v>2.8180140669893219</v>
      </c>
      <c r="F62" s="21">
        <f>IF($B$13*F$59&gt;0,$B$12*$A62/($B$13*F$59*12*(1-Inputs!$H$16)),"never")</f>
        <v>2.4154406288479904</v>
      </c>
    </row>
    <row r="63" spans="1:8" ht="15" customHeight="1" x14ac:dyDescent="0.2">
      <c r="A63" s="32">
        <v>1.1499999999999999</v>
      </c>
      <c r="B63" s="21">
        <f>IF($B$13*B$59&gt;0,$B$12*$A63/($B$13*B$59*12*(1-Inputs!$H$16)),"never")</f>
        <v>6.4814323540754399</v>
      </c>
      <c r="C63" s="21">
        <f>IF($B$13*C$59&gt;0,$B$12*$A63/($B$13*C$59*12*(1-Inputs!$H$16)),"never")</f>
        <v>4.8610742655565788</v>
      </c>
      <c r="D63" s="21">
        <f>IF($B$13*D$59&gt;0,$B$12*$A63/($B$13*D$59*12*(1-Inputs!$H$16)),"never")</f>
        <v>3.8888594124452633</v>
      </c>
      <c r="E63" s="21">
        <f>IF($B$13*E$59&gt;0,$B$12*$A63/($B$13*E$59*12*(1-Inputs!$H$16)),"never")</f>
        <v>3.24071617703772</v>
      </c>
      <c r="F63" s="21">
        <f>IF($B$13*F$59&gt;0,$B$12*$A63/($B$13*F$59*12*(1-Inputs!$H$16)),"never")</f>
        <v>2.7777567231751887</v>
      </c>
    </row>
    <row r="64" spans="1:8" ht="15" customHeight="1" x14ac:dyDescent="0.2">
      <c r="A64" s="32">
        <v>1.3</v>
      </c>
      <c r="B64" s="21">
        <f>IF($B$13*B$59&gt;0,$B$12*$A64/($B$13*B$59*12*(1-Inputs!$H$16)),"never")</f>
        <v>7.326836574172237</v>
      </c>
      <c r="C64" s="21">
        <f>IF($B$13*C$59&gt;0,$B$12*$A64/($B$13*C$59*12*(1-Inputs!$H$16)),"never")</f>
        <v>5.4951274306291769</v>
      </c>
      <c r="D64" s="21">
        <f>IF($B$13*D$59&gt;0,$B$12*$A64/($B$13*D$59*12*(1-Inputs!$H$16)),"never")</f>
        <v>4.396101944503342</v>
      </c>
      <c r="E64" s="21">
        <f>IF($B$13*E$59&gt;0,$B$12*$A64/($B$13*E$59*12*(1-Inputs!$H$16)),"never")</f>
        <v>3.6634182870861185</v>
      </c>
      <c r="F64" s="21">
        <f>IF($B$13*F$59&gt;0,$B$12*$A64/($B$13*F$59*12*(1-Inputs!$H$16)),"never")</f>
        <v>3.1400728175023875</v>
      </c>
    </row>
    <row r="66" spans="1:19" ht="15" customHeight="1" x14ac:dyDescent="0.2">
      <c r="A66" s="11" t="s">
        <v>1726</v>
      </c>
    </row>
    <row r="70" spans="1:19" ht="15.75" customHeight="1" x14ac:dyDescent="0.2">
      <c r="A70" s="118" t="s">
        <v>1727</v>
      </c>
    </row>
    <row r="71" spans="1:19" ht="27" customHeight="1" x14ac:dyDescent="0.2">
      <c r="A71" s="119" t="s">
        <v>114</v>
      </c>
      <c r="B71" s="195" t="s">
        <v>115</v>
      </c>
      <c r="C71" s="196"/>
      <c r="D71" s="195" t="s">
        <v>116</v>
      </c>
      <c r="E71" s="196"/>
      <c r="F71" s="196"/>
      <c r="G71" s="196"/>
      <c r="H71" s="195" t="s">
        <v>117</v>
      </c>
      <c r="I71" s="196"/>
      <c r="J71" s="196"/>
      <c r="K71" s="196"/>
      <c r="L71" s="196"/>
      <c r="M71" s="196"/>
      <c r="N71" s="196"/>
      <c r="O71" s="196"/>
      <c r="P71" s="196"/>
      <c r="Q71" s="195" t="s">
        <v>22</v>
      </c>
      <c r="R71" s="196"/>
      <c r="S71" s="196"/>
    </row>
    <row r="72" spans="1:19" ht="27" customHeight="1" x14ac:dyDescent="0.2">
      <c r="A72" s="9" t="s">
        <v>1728</v>
      </c>
      <c r="B72" s="206">
        <f>Sensitivity!E4</f>
        <v>0.2</v>
      </c>
      <c r="C72" s="199"/>
      <c r="D72" s="197" t="s">
        <v>125</v>
      </c>
      <c r="E72" s="198"/>
      <c r="F72" s="198"/>
      <c r="G72" s="199"/>
      <c r="H72" s="197" t="s">
        <v>1729</v>
      </c>
      <c r="I72" s="198"/>
      <c r="J72" s="198"/>
      <c r="K72" s="198"/>
      <c r="L72" s="198"/>
      <c r="M72" s="198"/>
      <c r="N72" s="198"/>
      <c r="O72" s="198"/>
      <c r="P72" s="199"/>
      <c r="Q72" s="200" t="s">
        <v>234</v>
      </c>
      <c r="R72" s="198"/>
      <c r="S72" s="199"/>
    </row>
    <row r="73" spans="1:19" ht="15" customHeight="1" x14ac:dyDescent="0.2">
      <c r="A73" s="9" t="s">
        <v>1730</v>
      </c>
      <c r="B73" s="203">
        <f>Sensitivity!B12</f>
        <v>4266246129.875</v>
      </c>
      <c r="C73" s="199"/>
      <c r="D73" s="197" t="s">
        <v>1731</v>
      </c>
      <c r="E73" s="198"/>
      <c r="F73" s="198"/>
      <c r="G73" s="199"/>
      <c r="H73" s="197" t="s">
        <v>1732</v>
      </c>
      <c r="I73" s="198"/>
      <c r="J73" s="198"/>
      <c r="K73" s="198"/>
      <c r="L73" s="198"/>
      <c r="M73" s="198"/>
      <c r="N73" s="198"/>
      <c r="O73" s="198"/>
      <c r="P73" s="199"/>
      <c r="Q73" s="200" t="s">
        <v>138</v>
      </c>
      <c r="R73" s="198"/>
      <c r="S73" s="199"/>
    </row>
    <row r="74" spans="1:19" ht="15" customHeight="1" x14ac:dyDescent="0.2">
      <c r="A74" s="9" t="s">
        <v>1733</v>
      </c>
      <c r="B74" s="202" t="s">
        <v>125</v>
      </c>
      <c r="C74" s="199"/>
      <c r="D74" s="197" t="s">
        <v>125</v>
      </c>
      <c r="E74" s="198"/>
      <c r="F74" s="198"/>
      <c r="G74" s="199"/>
      <c r="H74" s="197" t="s">
        <v>1734</v>
      </c>
      <c r="I74" s="198"/>
      <c r="J74" s="198"/>
      <c r="K74" s="198"/>
      <c r="L74" s="198"/>
      <c r="M74" s="198"/>
      <c r="N74" s="198"/>
      <c r="O74" s="198"/>
      <c r="P74" s="199"/>
      <c r="Q74" s="200" t="s">
        <v>234</v>
      </c>
      <c r="R74" s="198"/>
      <c r="S74" s="199"/>
    </row>
    <row r="75" spans="1:19" ht="15" customHeight="1" x14ac:dyDescent="0.2">
      <c r="A75" s="9" t="s">
        <v>1474</v>
      </c>
      <c r="B75" s="202" t="s">
        <v>125</v>
      </c>
      <c r="C75" s="199"/>
      <c r="D75" s="197" t="s">
        <v>1735</v>
      </c>
      <c r="E75" s="198"/>
      <c r="F75" s="198"/>
      <c r="G75" s="199"/>
      <c r="H75" s="197" t="s">
        <v>1736</v>
      </c>
      <c r="I75" s="198"/>
      <c r="J75" s="198"/>
      <c r="K75" s="198"/>
      <c r="L75" s="198"/>
      <c r="M75" s="198"/>
      <c r="N75" s="198"/>
      <c r="O75" s="198"/>
      <c r="P75" s="199"/>
      <c r="Q75" s="200" t="s">
        <v>138</v>
      </c>
      <c r="R75" s="198"/>
      <c r="S75" s="199"/>
    </row>
  </sheetData>
  <mergeCells count="20">
    <mergeCell ref="D74:G74"/>
    <mergeCell ref="D73:G73"/>
    <mergeCell ref="B71:C71"/>
    <mergeCell ref="H72:P72"/>
    <mergeCell ref="H75:P75"/>
    <mergeCell ref="Q74:S74"/>
    <mergeCell ref="B73:C73"/>
    <mergeCell ref="H71:P71"/>
    <mergeCell ref="Q75:S75"/>
    <mergeCell ref="B74:C74"/>
    <mergeCell ref="D75:G75"/>
    <mergeCell ref="Q71:S71"/>
    <mergeCell ref="D72:G72"/>
    <mergeCell ref="H74:P74"/>
    <mergeCell ref="Q73:S73"/>
    <mergeCell ref="B75:C75"/>
    <mergeCell ref="H73:P73"/>
    <mergeCell ref="Q72:S72"/>
    <mergeCell ref="D71:G71"/>
    <mergeCell ref="B72:C72"/>
  </mergeCells>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Q1039"/>
  <sheetViews>
    <sheetView showGridLines="0" tabSelected="1" zoomScale="76" zoomScaleNormal="100" workbookViewId="0">
      <pane ySplit="39" topLeftCell="A243" activePane="bottomLeft" state="frozen"/>
      <selection pane="bottomLeft" activeCell="B18" sqref="B18"/>
    </sheetView>
  </sheetViews>
  <sheetFormatPr baseColWidth="10" defaultColWidth="8.6640625" defaultRowHeight="15" x14ac:dyDescent="0.2"/>
  <cols>
    <col min="1" max="1" width="34" customWidth="1"/>
    <col min="2" max="4" width="12" customWidth="1"/>
    <col min="5" max="5" width="4" customWidth="1"/>
    <col min="6" max="6" width="12" customWidth="1"/>
    <col min="7" max="9" width="16" customWidth="1"/>
    <col min="10" max="10" width="11.6640625" bestFit="1" customWidth="1"/>
    <col min="11" max="17" width="8.83203125" bestFit="1" customWidth="1"/>
  </cols>
  <sheetData>
    <row r="1" spans="1:43" ht="17.25" customHeight="1" x14ac:dyDescent="0.2">
      <c r="A1" s="115" t="s">
        <v>1737</v>
      </c>
    </row>
    <row r="2" spans="1:43" ht="15" customHeight="1" x14ac:dyDescent="0.2">
      <c r="A2" s="11" t="s">
        <v>1738</v>
      </c>
      <c r="V2" s="118" t="s">
        <v>1739</v>
      </c>
    </row>
    <row r="3" spans="1:43" ht="27" customHeight="1" x14ac:dyDescent="0.2">
      <c r="A3" t="s">
        <v>165</v>
      </c>
      <c r="V3" s="195" t="s">
        <v>114</v>
      </c>
      <c r="W3" s="196"/>
      <c r="X3" s="196"/>
      <c r="Y3" s="196"/>
      <c r="Z3" s="195" t="s">
        <v>115</v>
      </c>
      <c r="AA3" s="196"/>
      <c r="AB3" s="195" t="s">
        <v>116</v>
      </c>
      <c r="AC3" s="196"/>
      <c r="AD3" s="196"/>
      <c r="AE3" s="196"/>
      <c r="AF3" s="195" t="s">
        <v>117</v>
      </c>
      <c r="AG3" s="196"/>
      <c r="AH3" s="196"/>
      <c r="AI3" s="196"/>
      <c r="AJ3" s="196"/>
      <c r="AK3" s="196"/>
      <c r="AL3" s="196"/>
      <c r="AM3" s="196"/>
      <c r="AN3" s="196"/>
      <c r="AO3" s="195" t="s">
        <v>22</v>
      </c>
      <c r="AP3" s="196"/>
      <c r="AQ3" s="196"/>
    </row>
    <row r="4" spans="1:43" ht="15" customHeight="1" x14ac:dyDescent="0.2">
      <c r="A4" s="12" t="s">
        <v>1740</v>
      </c>
      <c r="V4" s="197" t="s">
        <v>1741</v>
      </c>
      <c r="W4" s="198"/>
      <c r="X4" s="198"/>
      <c r="Y4" s="199"/>
      <c r="Z4" s="203">
        <f>MonteCarlo!B5</f>
        <v>735630000</v>
      </c>
      <c r="AA4" s="199"/>
      <c r="AB4" s="197" t="s">
        <v>1742</v>
      </c>
      <c r="AC4" s="198"/>
      <c r="AD4" s="198"/>
      <c r="AE4" s="199"/>
      <c r="AF4" s="197" t="s">
        <v>1743</v>
      </c>
      <c r="AG4" s="198"/>
      <c r="AH4" s="198"/>
      <c r="AI4" s="198"/>
      <c r="AJ4" s="198"/>
      <c r="AK4" s="198"/>
      <c r="AL4" s="198"/>
      <c r="AM4" s="198"/>
      <c r="AN4" s="199"/>
      <c r="AO4" s="200" t="s">
        <v>138</v>
      </c>
      <c r="AP4" s="198"/>
      <c r="AQ4" s="199"/>
    </row>
    <row r="5" spans="1:43" ht="15" customHeight="1" x14ac:dyDescent="0.2">
      <c r="A5" s="15" t="s">
        <v>355</v>
      </c>
      <c r="B5" s="16">
        <f>Scenarios!$D$13</f>
        <v>735630000</v>
      </c>
      <c r="V5" s="197" t="s">
        <v>1744</v>
      </c>
      <c r="W5" s="198"/>
      <c r="X5" s="198"/>
      <c r="Y5" s="199"/>
      <c r="Z5" s="202" t="s">
        <v>125</v>
      </c>
      <c r="AA5" s="199"/>
      <c r="AB5" s="197" t="s">
        <v>1745</v>
      </c>
      <c r="AC5" s="198"/>
      <c r="AD5" s="198"/>
      <c r="AE5" s="199"/>
      <c r="AF5" s="197" t="s">
        <v>1746</v>
      </c>
      <c r="AG5" s="198"/>
      <c r="AH5" s="198"/>
      <c r="AI5" s="198"/>
      <c r="AJ5" s="198"/>
      <c r="AK5" s="198"/>
      <c r="AL5" s="198"/>
      <c r="AM5" s="198"/>
      <c r="AN5" s="199"/>
      <c r="AO5" s="201" t="s">
        <v>257</v>
      </c>
      <c r="AP5" s="198"/>
      <c r="AQ5" s="199"/>
    </row>
    <row r="6" spans="1:43" ht="27" customHeight="1" x14ac:dyDescent="0.2">
      <c r="A6" s="15" t="s">
        <v>422</v>
      </c>
      <c r="B6" s="16">
        <f>Scenarios!$D$16</f>
        <v>215191146.42429087</v>
      </c>
      <c r="V6" s="197" t="s">
        <v>1747</v>
      </c>
      <c r="W6" s="198"/>
      <c r="X6" s="198"/>
      <c r="Y6" s="199"/>
      <c r="Z6" s="202" t="s">
        <v>125</v>
      </c>
      <c r="AA6" s="199"/>
      <c r="AB6" s="197" t="s">
        <v>1748</v>
      </c>
      <c r="AC6" s="198"/>
      <c r="AD6" s="198"/>
      <c r="AE6" s="199"/>
      <c r="AF6" s="197" t="s">
        <v>1749</v>
      </c>
      <c r="AG6" s="198"/>
      <c r="AH6" s="198"/>
      <c r="AI6" s="198"/>
      <c r="AJ6" s="198"/>
      <c r="AK6" s="198"/>
      <c r="AL6" s="198"/>
      <c r="AM6" s="198"/>
      <c r="AN6" s="199"/>
      <c r="AO6" s="201" t="s">
        <v>131</v>
      </c>
      <c r="AP6" s="198"/>
      <c r="AQ6" s="199"/>
    </row>
    <row r="7" spans="1:43" ht="15" customHeight="1" x14ac:dyDescent="0.2">
      <c r="A7" s="15" t="s">
        <v>1701</v>
      </c>
      <c r="B7" s="16">
        <f>Scenarios!$D$19</f>
        <v>22019625.000000004</v>
      </c>
      <c r="V7" s="197" t="s">
        <v>1750</v>
      </c>
      <c r="W7" s="198"/>
      <c r="X7" s="198"/>
      <c r="Y7" s="199"/>
      <c r="Z7" s="203">
        <f>MonteCarlo!B33</f>
        <v>1</v>
      </c>
      <c r="AA7" s="199"/>
      <c r="AB7" s="197" t="s">
        <v>125</v>
      </c>
      <c r="AC7" s="198"/>
      <c r="AD7" s="198"/>
      <c r="AE7" s="199"/>
      <c r="AF7" s="197" t="s">
        <v>1751</v>
      </c>
      <c r="AG7" s="198"/>
      <c r="AH7" s="198"/>
      <c r="AI7" s="198"/>
      <c r="AJ7" s="198"/>
      <c r="AK7" s="198"/>
      <c r="AL7" s="198"/>
      <c r="AM7" s="198"/>
      <c r="AN7" s="199"/>
      <c r="AO7" s="200" t="s">
        <v>234</v>
      </c>
      <c r="AP7" s="198"/>
      <c r="AQ7" s="199"/>
    </row>
    <row r="8" spans="1:43" ht="15" customHeight="1" x14ac:dyDescent="0.2">
      <c r="A8" s="15" t="s">
        <v>1752</v>
      </c>
      <c r="B8" s="16">
        <f>Scenarios!$D$22-Scenarios!$D$16-Scenarios!$D$19</f>
        <v>72465960.00000003</v>
      </c>
    </row>
    <row r="9" spans="1:43" ht="15" customHeight="1" x14ac:dyDescent="0.2">
      <c r="A9" s="15" t="s">
        <v>468</v>
      </c>
      <c r="B9" s="16">
        <f>Scenarios!$D$26</f>
        <v>166907330</v>
      </c>
    </row>
    <row r="10" spans="1:43" ht="15" customHeight="1" x14ac:dyDescent="0.2">
      <c r="A10" s="15" t="s">
        <v>1753</v>
      </c>
      <c r="B10" s="16">
        <f>Scenarios!$D$27+Scenarios!$D$28</f>
        <v>37774218.75</v>
      </c>
    </row>
    <row r="11" spans="1:43" ht="15" customHeight="1" x14ac:dyDescent="0.2">
      <c r="A11" s="15" t="s">
        <v>1754</v>
      </c>
      <c r="B11" s="16">
        <f>Scenarios!$D$29+Scenarios!$D$30</f>
        <v>86485449.583333328</v>
      </c>
    </row>
    <row r="12" spans="1:43" ht="15" customHeight="1" x14ac:dyDescent="0.2">
      <c r="A12" s="15" t="s">
        <v>1755</v>
      </c>
      <c r="B12" s="16">
        <f>Scenarios!$D$53</f>
        <v>4266246129.875</v>
      </c>
    </row>
    <row r="14" spans="1:43" ht="15" customHeight="1" x14ac:dyDescent="0.2">
      <c r="A14" s="12" t="s">
        <v>1756</v>
      </c>
    </row>
    <row r="15" spans="1:43" ht="15" customHeight="1" x14ac:dyDescent="0.2">
      <c r="A15" s="117" t="s">
        <v>1016</v>
      </c>
      <c r="B15" s="117" t="s">
        <v>1757</v>
      </c>
      <c r="C15" s="117" t="s">
        <v>1758</v>
      </c>
      <c r="D15" s="117" t="s">
        <v>1759</v>
      </c>
      <c r="H15" s="14" t="s">
        <v>1760</v>
      </c>
      <c r="I15" s="14" t="s">
        <v>1761</v>
      </c>
    </row>
    <row r="16" spans="1:43" ht="15" customHeight="1" x14ac:dyDescent="0.2">
      <c r="A16" s="15" t="s">
        <v>1762</v>
      </c>
      <c r="B16" s="79">
        <f t="shared" ref="B16:B21" si="0">MIN(H16,I16,1)</f>
        <v>0.77500000000000002</v>
      </c>
      <c r="C16" s="80">
        <v>1</v>
      </c>
      <c r="D16" s="79">
        <f t="shared" ref="D16:D21" si="1">MAX(H16,I16,1)</f>
        <v>1.2749999999999999</v>
      </c>
      <c r="H16" s="78">
        <f>Scenarios!$C$6/Scenarios!$D$6</f>
        <v>0.77500000000000002</v>
      </c>
      <c r="I16" s="78">
        <f>Scenarios!$E$6/Scenarios!$D$6</f>
        <v>1.2749999999999999</v>
      </c>
    </row>
    <row r="17" spans="1:9" ht="15" customHeight="1" x14ac:dyDescent="0.2">
      <c r="A17" s="15" t="s">
        <v>1763</v>
      </c>
      <c r="B17" s="79">
        <f t="shared" si="0"/>
        <v>0.89870109607208326</v>
      </c>
      <c r="C17" s="80">
        <v>1</v>
      </c>
      <c r="D17" s="79">
        <f t="shared" si="1"/>
        <v>1.1209901130948148</v>
      </c>
      <c r="H17" s="78">
        <f>Scenarios!$C$8/Scenarios!$D$8</f>
        <v>0.89870109607208326</v>
      </c>
      <c r="I17" s="78">
        <f>Scenarios!$E$8/Scenarios!$D$8</f>
        <v>1.1209901130948148</v>
      </c>
    </row>
    <row r="18" spans="1:9" ht="15" customHeight="1" x14ac:dyDescent="0.2">
      <c r="A18" s="15" t="s">
        <v>1764</v>
      </c>
      <c r="B18" s="79">
        <f t="shared" si="0"/>
        <v>0.93893295306357372</v>
      </c>
      <c r="C18" s="80">
        <v>1</v>
      </c>
      <c r="D18" s="79">
        <f t="shared" si="1"/>
        <v>1.0903871089147039</v>
      </c>
      <c r="H18" s="78">
        <f>(Scenarios!$C$16/Scenarios!$C$13)/(Scenarios!$D$16/Scenarios!$D$13)</f>
        <v>1.0903871089147039</v>
      </c>
      <c r="I18" s="78">
        <f>(Scenarios!$E$16/Scenarios!$E$13)/(Scenarios!$D$16/Scenarios!$D$13)</f>
        <v>0.93893295306357372</v>
      </c>
    </row>
    <row r="19" spans="1:9" ht="15" customHeight="1" x14ac:dyDescent="0.2">
      <c r="A19" s="15" t="s">
        <v>1717</v>
      </c>
      <c r="B19" s="79">
        <f t="shared" si="0"/>
        <v>0.96988568446933998</v>
      </c>
      <c r="C19" s="80">
        <v>1</v>
      </c>
      <c r="D19" s="79">
        <f t="shared" si="1"/>
        <v>1.1118342316062453</v>
      </c>
      <c r="H19" s="78">
        <f>Scenarios!$C$26/Scenarios!$D$26</f>
        <v>1.1118342316062453</v>
      </c>
      <c r="I19" s="78">
        <f>Scenarios!$E$26/Scenarios!$D$26</f>
        <v>0.96988568446933998</v>
      </c>
    </row>
    <row r="20" spans="1:9" ht="15" customHeight="1" x14ac:dyDescent="0.2">
      <c r="A20" s="15" t="s">
        <v>1753</v>
      </c>
      <c r="B20" s="79">
        <f t="shared" si="0"/>
        <v>0.81468812877263586</v>
      </c>
      <c r="C20" s="80">
        <v>1</v>
      </c>
      <c r="D20" s="79">
        <f t="shared" si="1"/>
        <v>1.8627661479898101</v>
      </c>
      <c r="H20" s="78">
        <f>(Scenarios!$C$27+Scenarios!$C$28)/(Scenarios!$D$27+Scenarios!$D$28)</f>
        <v>1.8627661479898101</v>
      </c>
      <c r="I20" s="78">
        <f>(Scenarios!$E$27+Scenarios!$E$28)/(Scenarios!$D$27+Scenarios!$D$28)</f>
        <v>0.81468812877263586</v>
      </c>
    </row>
    <row r="21" spans="1:9" ht="15" customHeight="1" x14ac:dyDescent="0.2">
      <c r="A21" s="15" t="s">
        <v>1755</v>
      </c>
      <c r="B21" s="79">
        <f t="shared" si="0"/>
        <v>0.84187377191692603</v>
      </c>
      <c r="C21" s="80">
        <v>1</v>
      </c>
      <c r="D21" s="79">
        <f t="shared" si="1"/>
        <v>1.5116265158150139</v>
      </c>
      <c r="H21" s="78">
        <f>Scenarios!$C$53/Scenarios!$D$53</f>
        <v>1.5116265158150139</v>
      </c>
      <c r="I21" s="78">
        <f>Scenarios!$E$53/Scenarios!$D$53</f>
        <v>0.84187377191692603</v>
      </c>
    </row>
    <row r="23" spans="1:9" ht="15" customHeight="1" x14ac:dyDescent="0.2">
      <c r="A23" s="12" t="s">
        <v>1765</v>
      </c>
      <c r="D23" s="12" t="s">
        <v>1766</v>
      </c>
    </row>
    <row r="24" spans="1:9" ht="15" customHeight="1" x14ac:dyDescent="0.2">
      <c r="A24" s="15" t="s">
        <v>1767</v>
      </c>
      <c r="B24" s="60">
        <f ca="1">AVERAGE(J40:J1039)</f>
        <v>134289587.186802</v>
      </c>
      <c r="D24" s="14" t="s">
        <v>1768</v>
      </c>
      <c r="E24" s="14"/>
      <c r="F24" s="14" t="s">
        <v>1769</v>
      </c>
      <c r="G24" s="14" t="s">
        <v>1770</v>
      </c>
      <c r="H24" s="53">
        <f ca="1">(MAX(J40:J1039)-MIN(J40:J1039))/12</f>
        <v>30443625.133127164</v>
      </c>
    </row>
    <row r="25" spans="1:9" ht="15" customHeight="1" x14ac:dyDescent="0.2">
      <c r="A25" s="15" t="s">
        <v>1771</v>
      </c>
      <c r="B25" s="60">
        <f ca="1">PERCENTILE(J40:J1039,0.1)</f>
        <v>36607408.473307438</v>
      </c>
      <c r="D25" s="81">
        <f ca="1">MIN($J$40:$J$1039)+$H$24*1</f>
        <v>5049453.1467380337</v>
      </c>
      <c r="F25" s="62">
        <f ca="1">COUNTIFS($J$40:$J$1039,"&lt;="&amp;D25)</f>
        <v>24</v>
      </c>
    </row>
    <row r="26" spans="1:9" ht="15" customHeight="1" x14ac:dyDescent="0.2">
      <c r="A26" s="15" t="s">
        <v>1772</v>
      </c>
      <c r="B26" s="60">
        <f ca="1">PERCENTILE(J40:J1039,0.5)</f>
        <v>126927816.60050854</v>
      </c>
      <c r="D26" s="81">
        <f ca="1">MIN($J$40:$J$1039)+$H$24*2</f>
        <v>35493078.279865198</v>
      </c>
      <c r="F26" s="62">
        <f t="shared" ref="F26:F36" ca="1" si="2">COUNTIFS($J$40:$J$1039,"&gt;"&amp;D25,$J$40:$J$1039,"&lt;="&amp;D26)</f>
        <v>73</v>
      </c>
    </row>
    <row r="27" spans="1:9" ht="15" customHeight="1" x14ac:dyDescent="0.2">
      <c r="A27" s="15" t="s">
        <v>1773</v>
      </c>
      <c r="B27" s="60">
        <f ca="1">PERCENTILE(J40:J1039,0.9)</f>
        <v>239284598.33954662</v>
      </c>
      <c r="D27" s="81">
        <f ca="1">MIN($J$40:$J$1039)+$H$24*3</f>
        <v>65936703.412992358</v>
      </c>
      <c r="F27" s="62">
        <f t="shared" ca="1" si="2"/>
        <v>102</v>
      </c>
    </row>
    <row r="28" spans="1:9" ht="15" customHeight="1" x14ac:dyDescent="0.2">
      <c r="A28" s="15" t="s">
        <v>1774</v>
      </c>
      <c r="B28" s="82">
        <f ca="1">COUNTIF(J40:J1039,"&lt;0")/1000</f>
        <v>1.4E-2</v>
      </c>
      <c r="D28" s="81">
        <f ca="1">MIN($J$40:$J$1039)+$H$24*4</f>
        <v>96380328.546119526</v>
      </c>
      <c r="F28" s="62">
        <f t="shared" ca="1" si="2"/>
        <v>132</v>
      </c>
    </row>
    <row r="29" spans="1:9" ht="15" customHeight="1" x14ac:dyDescent="0.2">
      <c r="A29" s="15" t="s">
        <v>1775</v>
      </c>
      <c r="B29" s="82">
        <f ca="1">COUNTIF(K40:K1039,"&lt;=3")/1000</f>
        <v>0.33</v>
      </c>
      <c r="D29" s="81">
        <f ca="1">MIN($J$40:$J$1039)+$H$24*5</f>
        <v>126823953.67924669</v>
      </c>
      <c r="F29" s="62">
        <f t="shared" ca="1" si="2"/>
        <v>166</v>
      </c>
    </row>
    <row r="30" spans="1:9" ht="15" customHeight="1" x14ac:dyDescent="0.2">
      <c r="A30" s="15" t="s">
        <v>1776</v>
      </c>
      <c r="B30" s="82">
        <f ca="1">COUNTIF(K40:K1039,"&lt;=5")/1000</f>
        <v>0.63</v>
      </c>
      <c r="D30" s="81">
        <f ca="1">MIN($J$40:$J$1039)+$H$24*6</f>
        <v>157267578.81237385</v>
      </c>
      <c r="F30" s="62">
        <f t="shared" ca="1" si="2"/>
        <v>131</v>
      </c>
    </row>
    <row r="31" spans="1:9" ht="15" customHeight="1" x14ac:dyDescent="0.2">
      <c r="A31" s="15" t="s">
        <v>1777</v>
      </c>
      <c r="B31" s="83">
        <f ca="1">MEDIAN(K40:K1039)</f>
        <v>3.948251628990735</v>
      </c>
      <c r="D31" s="81">
        <f ca="1">MIN($J$40:$J$1039)+$H$24*7</f>
        <v>187711203.94550103</v>
      </c>
      <c r="F31" s="62">
        <f t="shared" ca="1" si="2"/>
        <v>121</v>
      </c>
    </row>
    <row r="32" spans="1:9" ht="15" customHeight="1" x14ac:dyDescent="0.2">
      <c r="D32" s="81">
        <f ca="1">MIN($J$40:$J$1039)+$H$24*8</f>
        <v>218154829.07862818</v>
      </c>
      <c r="F32" s="62">
        <f t="shared" ca="1" si="2"/>
        <v>102</v>
      </c>
    </row>
    <row r="33" spans="1:17" ht="15" customHeight="1" x14ac:dyDescent="0.2">
      <c r="A33" s="15" t="s">
        <v>1778</v>
      </c>
      <c r="B33" s="23">
        <v>1</v>
      </c>
      <c r="D33" s="81">
        <f ca="1">MIN($J$40:$J$1039)+$H$24*9</f>
        <v>248598454.21175537</v>
      </c>
      <c r="F33" s="62">
        <f t="shared" ca="1" si="2"/>
        <v>64</v>
      </c>
    </row>
    <row r="34" spans="1:17" ht="15" customHeight="1" x14ac:dyDescent="0.2">
      <c r="A34" s="11" t="s">
        <v>1779</v>
      </c>
      <c r="D34" s="81">
        <f ca="1">MIN($J$40:$J$1039)+$H$24*10</f>
        <v>279042079.34488249</v>
      </c>
      <c r="F34" s="62">
        <f t="shared" ca="1" si="2"/>
        <v>54</v>
      </c>
    </row>
    <row r="35" spans="1:17" ht="15" customHeight="1" x14ac:dyDescent="0.2">
      <c r="D35" s="81">
        <f ca="1">MIN($J$40:$J$1039)+$H$24*11</f>
        <v>309485704.4780097</v>
      </c>
      <c r="F35" s="62">
        <f t="shared" ca="1" si="2"/>
        <v>23</v>
      </c>
    </row>
    <row r="36" spans="1:17" ht="15" customHeight="1" x14ac:dyDescent="0.2">
      <c r="D36" s="81">
        <f ca="1">MIN($J$40:$J$1039)+$H$24*12</f>
        <v>339929329.61113679</v>
      </c>
      <c r="F36" s="62">
        <f t="shared" ca="1" si="2"/>
        <v>8</v>
      </c>
    </row>
    <row r="39" spans="1:17" ht="23.25" customHeight="1" x14ac:dyDescent="0.2">
      <c r="A39" s="117" t="s">
        <v>1780</v>
      </c>
      <c r="B39" s="117" t="s">
        <v>1781</v>
      </c>
      <c r="C39" s="117" t="s">
        <v>1782</v>
      </c>
      <c r="D39" s="117" t="s">
        <v>1783</v>
      </c>
      <c r="E39" s="117"/>
      <c r="F39" s="117" t="s">
        <v>1784</v>
      </c>
      <c r="G39" s="117" t="s">
        <v>1785</v>
      </c>
      <c r="H39" s="117" t="s">
        <v>1786</v>
      </c>
      <c r="I39" s="117"/>
      <c r="J39" s="117" t="s">
        <v>1787</v>
      </c>
      <c r="K39" s="117" t="s">
        <v>1788</v>
      </c>
      <c r="L39" s="117" t="s">
        <v>1789</v>
      </c>
      <c r="M39" s="117" t="s">
        <v>1790</v>
      </c>
      <c r="N39" s="117" t="s">
        <v>1791</v>
      </c>
      <c r="O39" s="117" t="s">
        <v>1792</v>
      </c>
      <c r="P39" s="117" t="s">
        <v>1793</v>
      </c>
      <c r="Q39" s="117" t="s">
        <v>1794</v>
      </c>
    </row>
    <row r="40" spans="1:17" ht="15" customHeight="1" x14ac:dyDescent="0.2">
      <c r="A40" s="15">
        <v>1</v>
      </c>
      <c r="B40" s="84">
        <f t="shared" ref="B40:D59" ca="1" si="3">RAND()</f>
        <v>0.55815536754901596</v>
      </c>
      <c r="C40" s="84">
        <f t="shared" ca="1" si="3"/>
        <v>0.30051482670526408</v>
      </c>
      <c r="D40" s="84">
        <f t="shared" ca="1" si="3"/>
        <v>0.65671623539397983</v>
      </c>
      <c r="F40" s="84">
        <f t="shared" ref="F40:H59" ca="1" si="4">RAND()</f>
        <v>0.69882137495382979</v>
      </c>
      <c r="G40" s="84">
        <f t="shared" ca="1" si="4"/>
        <v>0.32637863018767577</v>
      </c>
      <c r="H40" s="84">
        <f t="shared" ca="1" si="4"/>
        <v>0.70190200575739115</v>
      </c>
      <c r="J40" s="85">
        <f t="shared" ref="J40:J103" ca="1" si="5">$B$5*L40*M40-$B$6*L40*N40-$B$7*L40*M40-$B$8*L40*M40-$B$9*O40-$B$10*P40-$B$11</f>
        <v>139766259.9656775</v>
      </c>
      <c r="K40" s="86">
        <f ca="1">IF(J40&gt;0,MIN(99,$B$12*Q40/(J40*12*(1-Inputs!$H$16))),99)</f>
        <v>3.8873342083458655</v>
      </c>
      <c r="L40" s="84">
        <f t="shared" ref="L40:L103" ca="1" si="6">IF($D$16=$B$16,$C$16,IF(B40&lt;($C$16-$B$16)/($D$16-$B$16),$B$16+SQRT(B40*($D$16-$B$16)*($C$16-$B$16)),$D$16-SQRT((1-B40)*($D$16-$B$16)*($D$16-$C$16))))</f>
        <v>1.0285174712844534</v>
      </c>
      <c r="M40" s="84">
        <f t="shared" ref="M40:M103" ca="1" si="7">IF($D$17=$B$17,$C$17,IF(IF($B$33=1,B40,C40)&lt;($C$17-$B$17)/($D$17-$B$17),$B$17+SQRT(IF($B$33=1,B40,C40)*($D$17-$B$17)*($C$17-$B$17)),$D$17-SQRT((1-IF($B$33=1,B40,C40))*($D$17-$B$17)*($D$17-$C$17))))</f>
        <v>1.0119795116484094</v>
      </c>
      <c r="N40" s="84">
        <f t="shared" ref="N40:N103" ca="1" si="8">IF($D$18=$B$18,$C$18,IF(D40&lt;($C$18-$B$18)/($D$18-$B$18),$B$18+SQRT(D40*($D$18-$B$18)*($C$18-$B$18)),$D$18-SQRT((1-D40)*($D$18-$B$18)*($D$18-$C$18))))</f>
        <v>1.0218350540825056</v>
      </c>
      <c r="O40" s="84">
        <f t="shared" ref="O40:O103" ca="1" si="9">IF($D$19=$B$19,$C$19,IF(F40&lt;($C$19-$B$19)/($D$19-$B$19),$B$19+SQRT(F40*($D$19-$B$19)*($C$19-$B$19)),$D$19-SQRT((1-F40)*($D$19-$B$19)*($D$19-$C$19))))</f>
        <v>1.0426885713236438</v>
      </c>
      <c r="P40" s="84">
        <f t="shared" ref="P40:P103" ca="1" si="10">IF($D$20=$B$20,$C$20,IF(G40&lt;($C$20-$B$20)/($D$20-$B$20),$B$20+SQRT(G40*($D$20-$B$20)*($C$20-$B$20)),$D$20-SQRT((1-G40)*($D$20-$B$20)*($D$20-$C$20))))</f>
        <v>1.0823050100976825</v>
      </c>
      <c r="Q40" s="84">
        <f t="shared" ref="Q40:Q103" ca="1" si="11">IF($D$21=$B$21,$C$21,IF(H40&lt;($C$21-$B$21)/($D$21-$B$21),$B$21+SQRT(H40*($D$21-$B$21)*($C$21-$B$21)),$D$21-SQRT((1-H40)*($D$21-$B$21)*($D$21-$C$21))))</f>
        <v>1.1920217108656661</v>
      </c>
    </row>
    <row r="41" spans="1:17" ht="15" customHeight="1" x14ac:dyDescent="0.2">
      <c r="A41" s="15">
        <v>2</v>
      </c>
      <c r="B41" s="84">
        <f t="shared" ca="1" si="3"/>
        <v>0.51381012466829856</v>
      </c>
      <c r="C41" s="84">
        <f t="shared" ca="1" si="3"/>
        <v>0.68303336980469587</v>
      </c>
      <c r="D41" s="84">
        <f t="shared" ca="1" si="3"/>
        <v>0.9645861844885163</v>
      </c>
      <c r="F41" s="84">
        <f t="shared" ca="1" si="4"/>
        <v>0.22724975135636349</v>
      </c>
      <c r="G41" s="84">
        <f t="shared" ca="1" si="4"/>
        <v>0.2187007678070082</v>
      </c>
      <c r="H41" s="84">
        <f t="shared" ca="1" si="4"/>
        <v>3.9345476546262192E-2</v>
      </c>
      <c r="J41" s="85">
        <f t="shared" ca="1" si="5"/>
        <v>130143761.42584191</v>
      </c>
      <c r="K41" s="86">
        <f ca="1">IF(J41&gt;0,MIN(99,$B$12*Q41/(J41*12*(1-Inputs!$H$16))),99)</f>
        <v>3.174524834562126</v>
      </c>
      <c r="L41" s="84">
        <f t="shared" ca="1" si="6"/>
        <v>1.0164441881177122</v>
      </c>
      <c r="M41" s="84">
        <f t="shared" ca="1" si="7"/>
        <v>1.0066399207804575</v>
      </c>
      <c r="N41" s="84">
        <f t="shared" ca="1" si="8"/>
        <v>1.0683689903842868</v>
      </c>
      <c r="O41" s="84">
        <f t="shared" ca="1" si="9"/>
        <v>1.0010769133514081</v>
      </c>
      <c r="P41" s="84">
        <f t="shared" ca="1" si="10"/>
        <v>1.0222384033810772</v>
      </c>
      <c r="Q41" s="84">
        <f t="shared" ca="1" si="11"/>
        <v>0.90642531247388547</v>
      </c>
    </row>
    <row r="42" spans="1:17" ht="15" customHeight="1" x14ac:dyDescent="0.2">
      <c r="A42" s="15">
        <v>3</v>
      </c>
      <c r="B42" s="84">
        <f t="shared" ca="1" si="3"/>
        <v>0.28094244122441558</v>
      </c>
      <c r="C42" s="84">
        <f t="shared" ca="1" si="3"/>
        <v>0.24253543941790578</v>
      </c>
      <c r="D42" s="84">
        <f t="shared" ca="1" si="3"/>
        <v>0.3587713576949495</v>
      </c>
      <c r="F42" s="84">
        <f t="shared" ca="1" si="4"/>
        <v>0.74328263023103291</v>
      </c>
      <c r="G42" s="84">
        <f t="shared" ca="1" si="4"/>
        <v>4.2189296545653066E-2</v>
      </c>
      <c r="H42" s="84">
        <f t="shared" ca="1" si="4"/>
        <v>0.53194286000130397</v>
      </c>
      <c r="J42" s="85">
        <f t="shared" ca="1" si="5"/>
        <v>97659286.315343484</v>
      </c>
      <c r="K42" s="86">
        <f ca="1">IF(J42&gt;0,MIN(99,$B$12*Q42/(J42*12*(1-Inputs!$H$16))),99)</f>
        <v>5.1859339857657947</v>
      </c>
      <c r="L42" s="84">
        <f t="shared" ca="1" si="6"/>
        <v>0.95278083315629591</v>
      </c>
      <c r="M42" s="84">
        <f t="shared" ca="1" si="7"/>
        <v>0.97823825094100525</v>
      </c>
      <c r="N42" s="84">
        <f t="shared" ca="1" si="8"/>
        <v>0.99653699248444805</v>
      </c>
      <c r="O42" s="84">
        <f t="shared" ca="1" si="9"/>
        <v>1.0479960537733437</v>
      </c>
      <c r="P42" s="84">
        <f t="shared" ca="1" si="10"/>
        <v>0.90520917591739281</v>
      </c>
      <c r="Q42" s="84">
        <f t="shared" ca="1" si="11"/>
        <v>1.1111443229808349</v>
      </c>
    </row>
    <row r="43" spans="1:17" ht="15" customHeight="1" x14ac:dyDescent="0.2">
      <c r="A43" s="15">
        <v>4</v>
      </c>
      <c r="B43" s="84">
        <f t="shared" ca="1" si="3"/>
        <v>0.58769355678191249</v>
      </c>
      <c r="C43" s="84">
        <f t="shared" ca="1" si="3"/>
        <v>0.2826139931633036</v>
      </c>
      <c r="D43" s="84">
        <f t="shared" ca="1" si="3"/>
        <v>8.0903366584078484E-2</v>
      </c>
      <c r="F43" s="84">
        <f t="shared" ca="1" si="4"/>
        <v>0.72505383202718388</v>
      </c>
      <c r="G43" s="84">
        <f t="shared" ca="1" si="4"/>
        <v>0.51916952164531149</v>
      </c>
      <c r="H43" s="84">
        <f t="shared" ca="1" si="4"/>
        <v>0.48786550865291167</v>
      </c>
      <c r="J43" s="85">
        <f t="shared" ca="1" si="5"/>
        <v>153132488.36767811</v>
      </c>
      <c r="K43" s="86">
        <f ca="1">IF(J43&gt;0,MIN(99,$B$12*Q43/(J43*12*(1-Inputs!$H$16))),99)</f>
        <v>3.2524324613298012</v>
      </c>
      <c r="L43" s="84">
        <f t="shared" ca="1" si="6"/>
        <v>1.0368988955454279</v>
      </c>
      <c r="M43" s="84">
        <f t="shared" ca="1" si="7"/>
        <v>1.0156863224492705</v>
      </c>
      <c r="N43" s="84">
        <f t="shared" ca="1" si="8"/>
        <v>0.96628736318011854</v>
      </c>
      <c r="O43" s="84">
        <f t="shared" ca="1" si="9"/>
        <v>1.045768432784584</v>
      </c>
      <c r="P43" s="84">
        <f t="shared" ca="1" si="10"/>
        <v>1.203380714473437</v>
      </c>
      <c r="Q43" s="84">
        <f t="shared" ca="1" si="11"/>
        <v>1.0927116368638199</v>
      </c>
    </row>
    <row r="44" spans="1:17" ht="15" customHeight="1" x14ac:dyDescent="0.2">
      <c r="A44" s="15">
        <v>5</v>
      </c>
      <c r="B44" s="84">
        <f t="shared" ca="1" si="3"/>
        <v>0.90328798118355713</v>
      </c>
      <c r="C44" s="84">
        <f t="shared" ca="1" si="3"/>
        <v>0.18839288386417097</v>
      </c>
      <c r="D44" s="84">
        <f t="shared" ca="1" si="3"/>
        <v>0.74013434659683464</v>
      </c>
      <c r="F44" s="84">
        <f t="shared" ca="1" si="4"/>
        <v>0.10531177742265374</v>
      </c>
      <c r="G44" s="84">
        <f t="shared" ca="1" si="4"/>
        <v>0.92922770598737381</v>
      </c>
      <c r="H44" s="84">
        <f t="shared" ca="1" si="4"/>
        <v>0.14264508646449603</v>
      </c>
      <c r="J44" s="85">
        <f t="shared" ca="1" si="5"/>
        <v>225621517.05890739</v>
      </c>
      <c r="K44" s="86">
        <f ca="1">IF(J44&gt;0,MIN(99,$B$12*Q44/(J44*12*(1-Inputs!$H$16))),99)</f>
        <v>1.949034756522966</v>
      </c>
      <c r="L44" s="84">
        <f t="shared" ca="1" si="6"/>
        <v>1.1596834678493109</v>
      </c>
      <c r="M44" s="84">
        <f t="shared" ca="1" si="7"/>
        <v>1.0699896442503571</v>
      </c>
      <c r="N44" s="84">
        <f t="shared" ca="1" si="8"/>
        <v>1.0307428995163719</v>
      </c>
      <c r="O44" s="84">
        <f t="shared" ca="1" si="9"/>
        <v>0.99110300051547573</v>
      </c>
      <c r="P44" s="84">
        <f t="shared" ca="1" si="10"/>
        <v>1.6097926702616894</v>
      </c>
      <c r="Q44" s="84">
        <f t="shared" ca="1" si="11"/>
        <v>0.96478388402547599</v>
      </c>
    </row>
    <row r="45" spans="1:17" ht="15" customHeight="1" x14ac:dyDescent="0.2">
      <c r="A45" s="15">
        <v>6</v>
      </c>
      <c r="B45" s="84">
        <f t="shared" ca="1" si="3"/>
        <v>0.27172572321559918</v>
      </c>
      <c r="C45" s="84">
        <f t="shared" ca="1" si="3"/>
        <v>0.26411382416188312</v>
      </c>
      <c r="D45" s="84">
        <f t="shared" ca="1" si="3"/>
        <v>0.75858886541507242</v>
      </c>
      <c r="F45" s="84">
        <f t="shared" ca="1" si="4"/>
        <v>0.55612346870356433</v>
      </c>
      <c r="G45" s="84">
        <f t="shared" ca="1" si="4"/>
        <v>0.11783789096569153</v>
      </c>
      <c r="H45" s="84">
        <f t="shared" ca="1" si="4"/>
        <v>0.70264156422147717</v>
      </c>
      <c r="J45" s="85">
        <f t="shared" ca="1" si="5"/>
        <v>89272397.942573324</v>
      </c>
      <c r="K45" s="86">
        <f ca="1">IF(J45&gt;0,MIN(99,$B$12*Q45/(J45*12*(1-Inputs!$H$16))),99)</f>
        <v>6.0880965660926289</v>
      </c>
      <c r="L45" s="84">
        <f t="shared" ca="1" si="6"/>
        <v>0.94984033819961255</v>
      </c>
      <c r="M45" s="84">
        <f t="shared" ca="1" si="7"/>
        <v>0.97692270641008616</v>
      </c>
      <c r="N45" s="84">
        <f t="shared" ca="1" si="8"/>
        <v>1.0328997318754811</v>
      </c>
      <c r="O45" s="84">
        <f t="shared" ca="1" si="9"/>
        <v>1.0278913358742654</v>
      </c>
      <c r="P45" s="84">
        <f t="shared" ca="1" si="10"/>
        <v>0.9659714003096086</v>
      </c>
      <c r="Q45" s="84">
        <f t="shared" ca="1" si="11"/>
        <v>1.1924184146797792</v>
      </c>
    </row>
    <row r="46" spans="1:17" ht="15" customHeight="1" x14ac:dyDescent="0.2">
      <c r="A46" s="15">
        <v>7</v>
      </c>
      <c r="B46" s="84">
        <f t="shared" ca="1" si="3"/>
        <v>0.82421608662250834</v>
      </c>
      <c r="C46" s="84">
        <f t="shared" ca="1" si="3"/>
        <v>0.70175256044030521</v>
      </c>
      <c r="D46" s="84">
        <f t="shared" ca="1" si="3"/>
        <v>0.22668561628364203</v>
      </c>
      <c r="F46" s="84">
        <f t="shared" ca="1" si="4"/>
        <v>0.60353950094845632</v>
      </c>
      <c r="G46" s="84">
        <f t="shared" ca="1" si="4"/>
        <v>0.65756696465064546</v>
      </c>
      <c r="H46" s="84">
        <f t="shared" ca="1" si="4"/>
        <v>0.61319846731469385</v>
      </c>
      <c r="J46" s="85">
        <f t="shared" ca="1" si="5"/>
        <v>209878036.29071671</v>
      </c>
      <c r="K46" s="86">
        <f ca="1">IF(J46&gt;0,MIN(99,$B$12*Q46/(J46*12*(1-Inputs!$H$16))),99)</f>
        <v>2.4921798440934673</v>
      </c>
      <c r="L46" s="84">
        <f t="shared" ca="1" si="6"/>
        <v>1.11953203516671</v>
      </c>
      <c r="M46" s="84">
        <f t="shared" ca="1" si="7"/>
        <v>1.0522320699164929</v>
      </c>
      <c r="N46" s="84">
        <f t="shared" ca="1" si="8"/>
        <v>0.98472141324342355</v>
      </c>
      <c r="O46" s="84">
        <f t="shared" ca="1" si="9"/>
        <v>1.0325014254081653</v>
      </c>
      <c r="P46" s="84">
        <f t="shared" ca="1" si="10"/>
        <v>1.306309695872955</v>
      </c>
      <c r="Q46" s="84">
        <f t="shared" ca="1" si="11"/>
        <v>1.1475624071020041</v>
      </c>
    </row>
    <row r="47" spans="1:17" ht="15" customHeight="1" x14ac:dyDescent="0.2">
      <c r="A47" s="15">
        <v>8</v>
      </c>
      <c r="B47" s="84">
        <f t="shared" ca="1" si="3"/>
        <v>0.27257378819973688</v>
      </c>
      <c r="C47" s="84">
        <f t="shared" ca="1" si="3"/>
        <v>0.22369391061312827</v>
      </c>
      <c r="D47" s="84">
        <f t="shared" ca="1" si="3"/>
        <v>0.59391558487846896</v>
      </c>
      <c r="F47" s="84">
        <f t="shared" ca="1" si="4"/>
        <v>0.40278751451389572</v>
      </c>
      <c r="G47" s="84">
        <f t="shared" ca="1" si="4"/>
        <v>0.53749854130950725</v>
      </c>
      <c r="H47" s="84">
        <f t="shared" ca="1" si="4"/>
        <v>0.94016615082680877</v>
      </c>
      <c r="J47" s="85">
        <f t="shared" ca="1" si="5"/>
        <v>85740810.350537017</v>
      </c>
      <c r="K47" s="86">
        <f ca="1">IF(J47&gt;0,MIN(99,$B$12*Q47/(J47*12*(1-Inputs!$H$16))),99)</f>
        <v>7.2745762278751664</v>
      </c>
      <c r="L47" s="84">
        <f t="shared" ca="1" si="6"/>
        <v>0.95011296688843572</v>
      </c>
      <c r="M47" s="84">
        <f t="shared" ca="1" si="7"/>
        <v>0.97704467743395673</v>
      </c>
      <c r="N47" s="84">
        <f t="shared" ca="1" si="8"/>
        <v>1.0158277772856825</v>
      </c>
      <c r="O47" s="84">
        <f t="shared" ca="1" si="9"/>
        <v>1.0144659973473948</v>
      </c>
      <c r="P47" s="84">
        <f t="shared" ca="1" si="10"/>
        <v>1.2160705450180156</v>
      </c>
      <c r="Q47" s="84">
        <f t="shared" ca="1" si="11"/>
        <v>1.3684383110471168</v>
      </c>
    </row>
    <row r="48" spans="1:17" ht="15" customHeight="1" x14ac:dyDescent="0.2">
      <c r="A48" s="15">
        <v>9</v>
      </c>
      <c r="B48" s="84">
        <f t="shared" ca="1" si="3"/>
        <v>0.4040568428696989</v>
      </c>
      <c r="C48" s="84">
        <f t="shared" ca="1" si="3"/>
        <v>0.41042923534525899</v>
      </c>
      <c r="D48" s="84">
        <f t="shared" ca="1" si="3"/>
        <v>0.50041193107339355</v>
      </c>
      <c r="F48" s="84">
        <f t="shared" ca="1" si="4"/>
        <v>0.9288237766310935</v>
      </c>
      <c r="G48" s="84">
        <f t="shared" ca="1" si="4"/>
        <v>0.38794149579294068</v>
      </c>
      <c r="H48" s="84">
        <f t="shared" ca="1" si="4"/>
        <v>0.68386925993030867</v>
      </c>
      <c r="J48" s="85">
        <f t="shared" ca="1" si="5"/>
        <v>106836697.29342978</v>
      </c>
      <c r="K48" s="86">
        <f ca="1">IF(J48&gt;0,MIN(99,$B$12*Q48/(J48*12*(1-Inputs!$H$16))),99)</f>
        <v>5.0448652088671588</v>
      </c>
      <c r="L48" s="84">
        <f t="shared" ca="1" si="6"/>
        <v>0.98820505346459575</v>
      </c>
      <c r="M48" s="84">
        <f t="shared" ca="1" si="7"/>
        <v>0.99408665060676116</v>
      </c>
      <c r="N48" s="84">
        <f t="shared" ca="1" si="8"/>
        <v>1.0076881820264441</v>
      </c>
      <c r="O48" s="84">
        <f t="shared" ca="1" si="9"/>
        <v>1.0782202215842518</v>
      </c>
      <c r="P48" s="84">
        <f t="shared" ca="1" si="10"/>
        <v>1.1188228717288717</v>
      </c>
      <c r="Q48" s="84">
        <f t="shared" ca="1" si="11"/>
        <v>1.1824967680416036</v>
      </c>
    </row>
    <row r="49" spans="1:17" ht="15" customHeight="1" x14ac:dyDescent="0.2">
      <c r="A49" s="15">
        <v>10</v>
      </c>
      <c r="B49" s="84">
        <f t="shared" ca="1" si="3"/>
        <v>0.97686842360281712</v>
      </c>
      <c r="C49" s="84">
        <f t="shared" ca="1" si="3"/>
        <v>0.82506665586019645</v>
      </c>
      <c r="D49" s="84">
        <f t="shared" ca="1" si="3"/>
        <v>0.10859313624406675</v>
      </c>
      <c r="F49" s="84">
        <f t="shared" ca="1" si="4"/>
        <v>0.96261001845630267</v>
      </c>
      <c r="G49" s="84">
        <f t="shared" ca="1" si="4"/>
        <v>9.8374726665246826E-3</v>
      </c>
      <c r="H49" s="84">
        <f t="shared" ca="1" si="4"/>
        <v>0.76252984854617312</v>
      </c>
      <c r="J49" s="85">
        <f t="shared" ca="1" si="5"/>
        <v>301395716.18187261</v>
      </c>
      <c r="K49" s="86">
        <f ca="1">IF(J49&gt;0,MIN(99,$B$12*Q49/(J49*12*(1-Inputs!$H$16))),99)</f>
        <v>1.8546154357163194</v>
      </c>
      <c r="L49" s="84">
        <f t="shared" ca="1" si="6"/>
        <v>1.2186032646812544</v>
      </c>
      <c r="M49" s="84">
        <f t="shared" ca="1" si="7"/>
        <v>1.0960478096027684</v>
      </c>
      <c r="N49" s="84">
        <f t="shared" ca="1" si="8"/>
        <v>0.97062463180867287</v>
      </c>
      <c r="O49" s="84">
        <f t="shared" ca="1" si="9"/>
        <v>1.0874712475853905</v>
      </c>
      <c r="P49" s="84">
        <f t="shared" ca="1" si="10"/>
        <v>0.85839907384951886</v>
      </c>
      <c r="Q49" s="84">
        <f t="shared" ca="1" si="11"/>
        <v>1.2263682172169146</v>
      </c>
    </row>
    <row r="50" spans="1:17" ht="15" customHeight="1" x14ac:dyDescent="0.2">
      <c r="A50" s="15">
        <v>11</v>
      </c>
      <c r="B50" s="84">
        <f t="shared" ca="1" si="3"/>
        <v>0.41276672635686773</v>
      </c>
      <c r="C50" s="84">
        <f t="shared" ca="1" si="3"/>
        <v>0.52131821536515355</v>
      </c>
      <c r="D50" s="84">
        <f t="shared" ca="1" si="3"/>
        <v>0.16632430967852263</v>
      </c>
      <c r="F50" s="84">
        <f t="shared" ca="1" si="4"/>
        <v>0.90299924205911375</v>
      </c>
      <c r="G50" s="84">
        <f t="shared" ca="1" si="4"/>
        <v>7.0112304092970312E-2</v>
      </c>
      <c r="H50" s="84">
        <f t="shared" ca="1" si="4"/>
        <v>0.52552666360345246</v>
      </c>
      <c r="J50" s="85">
        <f t="shared" ca="1" si="5"/>
        <v>122761890.34008016</v>
      </c>
      <c r="K50" s="86">
        <f ca="1">IF(J50&gt;0,MIN(99,$B$12*Q50/(J50*12*(1-Inputs!$H$16))),99)</f>
        <v>4.1153467104424939</v>
      </c>
      <c r="L50" s="84">
        <f t="shared" ca="1" si="6"/>
        <v>0.9904907346387487</v>
      </c>
      <c r="M50" s="84">
        <f t="shared" ca="1" si="7"/>
        <v>0.99510923878064927</v>
      </c>
      <c r="N50" s="84">
        <f t="shared" ca="1" si="8"/>
        <v>0.97815424740090906</v>
      </c>
      <c r="O50" s="84">
        <f t="shared" ca="1" si="9"/>
        <v>1.0725931997433202</v>
      </c>
      <c r="P50" s="84">
        <f t="shared" ca="1" si="10"/>
        <v>0.93138132811240248</v>
      </c>
      <c r="Q50" s="84">
        <f t="shared" ca="1" si="11"/>
        <v>1.1084087315224032</v>
      </c>
    </row>
    <row r="51" spans="1:17" ht="15" customHeight="1" x14ac:dyDescent="0.2">
      <c r="A51" s="15">
        <v>12</v>
      </c>
      <c r="B51" s="84">
        <f t="shared" ca="1" si="3"/>
        <v>0.61742636570210052</v>
      </c>
      <c r="C51" s="84">
        <f t="shared" ca="1" si="3"/>
        <v>0.50501501503183632</v>
      </c>
      <c r="D51" s="84">
        <f t="shared" ca="1" si="3"/>
        <v>0.90457722470481494</v>
      </c>
      <c r="F51" s="84">
        <f t="shared" ca="1" si="4"/>
        <v>0.78472924820621193</v>
      </c>
      <c r="G51" s="84">
        <f t="shared" ca="1" si="4"/>
        <v>0.52362607301101216</v>
      </c>
      <c r="H51" s="84">
        <f t="shared" ca="1" si="4"/>
        <v>9.0334365503141223E-2</v>
      </c>
      <c r="J51" s="85">
        <f t="shared" ca="1" si="5"/>
        <v>138425286.59956133</v>
      </c>
      <c r="K51" s="86">
        <f ca="1">IF(J51&gt;0,MIN(99,$B$12*Q51/(J51*12*(1-Inputs!$H$16))),99)</f>
        <v>3.0941161217298836</v>
      </c>
      <c r="L51" s="84">
        <f t="shared" ca="1" si="6"/>
        <v>1.0456446540497448</v>
      </c>
      <c r="M51" s="84">
        <f t="shared" ca="1" si="7"/>
        <v>1.0195542655429608</v>
      </c>
      <c r="N51" s="84">
        <f t="shared" ca="1" si="8"/>
        <v>1.0542444693398485</v>
      </c>
      <c r="O51" s="84">
        <f t="shared" ca="1" si="9"/>
        <v>1.0533760410329824</v>
      </c>
      <c r="P51" s="84">
        <f t="shared" ca="1" si="10"/>
        <v>1.2064435671363642</v>
      </c>
      <c r="Q51" s="84">
        <f t="shared" ca="1" si="11"/>
        <v>0.93968432298459625</v>
      </c>
    </row>
    <row r="52" spans="1:17" ht="15" customHeight="1" x14ac:dyDescent="0.2">
      <c r="A52" s="15">
        <v>13</v>
      </c>
      <c r="B52" s="84">
        <f t="shared" ca="1" si="3"/>
        <v>4.2099285636064798E-2</v>
      </c>
      <c r="C52" s="84">
        <f t="shared" ca="1" si="3"/>
        <v>0.33525632317267406</v>
      </c>
      <c r="D52" s="84">
        <f t="shared" ca="1" si="3"/>
        <v>0.31887755612673363</v>
      </c>
      <c r="F52" s="84">
        <f t="shared" ca="1" si="4"/>
        <v>0.50597456180249734</v>
      </c>
      <c r="G52" s="84">
        <f t="shared" ca="1" si="4"/>
        <v>5.781311695853808E-2</v>
      </c>
      <c r="H52" s="84">
        <f t="shared" ca="1" si="4"/>
        <v>0.65787626069298089</v>
      </c>
      <c r="J52" s="85">
        <f t="shared" ca="1" si="5"/>
        <v>30454141.56900233</v>
      </c>
      <c r="K52" s="86">
        <f ca="1">IF(J52&gt;0,MIN(99,$B$12*Q52/(J52*12*(1-Inputs!$H$16))),99)</f>
        <v>17.499466370404331</v>
      </c>
      <c r="L52" s="84">
        <f t="shared" ca="1" si="6"/>
        <v>0.84381983459771814</v>
      </c>
      <c r="M52" s="84">
        <f t="shared" ca="1" si="7"/>
        <v>0.92949031977675611</v>
      </c>
      <c r="N52" s="84">
        <f t="shared" ca="1" si="8"/>
        <v>0.99323998069406194</v>
      </c>
      <c r="O52" s="84">
        <f t="shared" ca="1" si="9"/>
        <v>1.0232762905050459</v>
      </c>
      <c r="P52" s="84">
        <f t="shared" ca="1" si="10"/>
        <v>0.92065292798008991</v>
      </c>
      <c r="Q52" s="84">
        <f t="shared" ca="1" si="11"/>
        <v>1.16923312102113</v>
      </c>
    </row>
    <row r="53" spans="1:17" ht="15" customHeight="1" x14ac:dyDescent="0.2">
      <c r="A53" s="15">
        <v>14</v>
      </c>
      <c r="B53" s="84">
        <f t="shared" ca="1" si="3"/>
        <v>0.16992860707868329</v>
      </c>
      <c r="C53" s="84">
        <f t="shared" ca="1" si="3"/>
        <v>0.39927870923112596</v>
      </c>
      <c r="D53" s="84">
        <f t="shared" ca="1" si="3"/>
        <v>0.48498257217323748</v>
      </c>
      <c r="F53" s="84">
        <f t="shared" ca="1" si="4"/>
        <v>0.31499443715493458</v>
      </c>
      <c r="G53" s="84">
        <f t="shared" ca="1" si="4"/>
        <v>0.98187569638684358</v>
      </c>
      <c r="H53" s="84">
        <f t="shared" ca="1" si="4"/>
        <v>0.74410100219725761</v>
      </c>
      <c r="J53" s="85">
        <f t="shared" ca="1" si="5"/>
        <v>44469467.141951397</v>
      </c>
      <c r="K53" s="86">
        <f ca="1">IF(J53&gt;0,MIN(99,$B$12*Q53/(J53*12*(1-Inputs!$H$16))),99)</f>
        <v>12.458488200087389</v>
      </c>
      <c r="L53" s="84">
        <f t="shared" ca="1" si="6"/>
        <v>0.9132641251241691</v>
      </c>
      <c r="M53" s="84">
        <f t="shared" ca="1" si="7"/>
        <v>0.9605589180744637</v>
      </c>
      <c r="N53" s="84">
        <f t="shared" ca="1" si="8"/>
        <v>1.0064208492162425</v>
      </c>
      <c r="O53" s="84">
        <f t="shared" ca="1" si="9"/>
        <v>1.0075545001347905</v>
      </c>
      <c r="P53" s="84">
        <f t="shared" ca="1" si="10"/>
        <v>1.7347472692568762</v>
      </c>
      <c r="Q53" s="84">
        <f t="shared" ca="1" si="11"/>
        <v>1.2155062943863251</v>
      </c>
    </row>
    <row r="54" spans="1:17" ht="15" customHeight="1" x14ac:dyDescent="0.2">
      <c r="A54" s="15">
        <v>15</v>
      </c>
      <c r="B54" s="84">
        <f t="shared" ca="1" si="3"/>
        <v>0.95072332850127639</v>
      </c>
      <c r="C54" s="84">
        <f t="shared" ca="1" si="3"/>
        <v>0.88688034844869068</v>
      </c>
      <c r="D54" s="84">
        <f t="shared" ca="1" si="3"/>
        <v>0.76176727400712851</v>
      </c>
      <c r="F54" s="84">
        <f t="shared" ca="1" si="4"/>
        <v>2.9864307252890576E-2</v>
      </c>
      <c r="G54" s="84">
        <f t="shared" ca="1" si="4"/>
        <v>0.96974494018175861</v>
      </c>
      <c r="H54" s="84">
        <f t="shared" ca="1" si="4"/>
        <v>0.87639877381390607</v>
      </c>
      <c r="J54" s="85">
        <f t="shared" ca="1" si="5"/>
        <v>249799699.11758226</v>
      </c>
      <c r="K54" s="86">
        <f ca="1">IF(J54&gt;0,MIN(99,$B$12*Q54/(J54*12*(1-Inputs!$H$16))),99)</f>
        <v>2.3826687203889572</v>
      </c>
      <c r="L54" s="84">
        <f t="shared" ca="1" si="6"/>
        <v>1.1926863174734934</v>
      </c>
      <c r="M54" s="84">
        <f t="shared" ca="1" si="7"/>
        <v>1.0845856503272395</v>
      </c>
      <c r="N54" s="84">
        <f t="shared" ca="1" si="8"/>
        <v>1.0332794239327154</v>
      </c>
      <c r="O54" s="84">
        <f t="shared" ca="1" si="9"/>
        <v>0.9811843771637575</v>
      </c>
      <c r="P54" s="84">
        <f t="shared" ca="1" si="10"/>
        <v>1.697363536331352</v>
      </c>
      <c r="Q54" s="84">
        <f t="shared" ca="1" si="11"/>
        <v>1.3058266143251251</v>
      </c>
    </row>
    <row r="55" spans="1:17" ht="15" customHeight="1" x14ac:dyDescent="0.2">
      <c r="A55" s="15">
        <v>16</v>
      </c>
      <c r="B55" s="84">
        <f t="shared" ca="1" si="3"/>
        <v>0.18952787223422962</v>
      </c>
      <c r="C55" s="84">
        <f t="shared" ca="1" si="3"/>
        <v>0.3717938365335568</v>
      </c>
      <c r="D55" s="84">
        <f t="shared" ca="1" si="3"/>
        <v>0.45397809298453951</v>
      </c>
      <c r="F55" s="84">
        <f t="shared" ca="1" si="4"/>
        <v>0.71101283406933979</v>
      </c>
      <c r="G55" s="84">
        <f t="shared" ca="1" si="4"/>
        <v>4.1682100234788244E-2</v>
      </c>
      <c r="H55" s="84">
        <f t="shared" ca="1" si="4"/>
        <v>0.47412273172267339</v>
      </c>
      <c r="J55" s="85">
        <f t="shared" ca="1" si="5"/>
        <v>75364604.20645757</v>
      </c>
      <c r="K55" s="86">
        <f ca="1">IF(J55&gt;0,MIN(99,$B$12*Q55/(J55*12*(1-Inputs!$H$16))),99)</f>
        <v>6.5748128776838559</v>
      </c>
      <c r="L55" s="84">
        <f t="shared" ca="1" si="6"/>
        <v>0.92102015486346678</v>
      </c>
      <c r="M55" s="84">
        <f t="shared" ca="1" si="7"/>
        <v>0.96402887896726785</v>
      </c>
      <c r="N55" s="84">
        <f t="shared" ca="1" si="8"/>
        <v>1.0039303643119064</v>
      </c>
      <c r="O55" s="84">
        <f t="shared" ca="1" si="9"/>
        <v>1.0441025071467747</v>
      </c>
      <c r="P55" s="84">
        <f t="shared" ca="1" si="10"/>
        <v>0.90466341232246916</v>
      </c>
      <c r="Q55" s="84">
        <f t="shared" ca="1" si="11"/>
        <v>1.0871281994581752</v>
      </c>
    </row>
    <row r="56" spans="1:17" ht="15" customHeight="1" x14ac:dyDescent="0.2">
      <c r="A56" s="15">
        <v>17</v>
      </c>
      <c r="B56" s="84">
        <f t="shared" ca="1" si="3"/>
        <v>0.47427420189457947</v>
      </c>
      <c r="C56" s="84">
        <f t="shared" ca="1" si="3"/>
        <v>0.97918740169805507</v>
      </c>
      <c r="D56" s="84">
        <f t="shared" ca="1" si="3"/>
        <v>0.94199753658456253</v>
      </c>
      <c r="F56" s="84">
        <f t="shared" ca="1" si="4"/>
        <v>0.3316309938113422</v>
      </c>
      <c r="G56" s="84">
        <f t="shared" ca="1" si="4"/>
        <v>0.96758074695256402</v>
      </c>
      <c r="H56" s="84">
        <f t="shared" ca="1" si="4"/>
        <v>0.54557062780074961</v>
      </c>
      <c r="J56" s="85">
        <f t="shared" ca="1" si="5"/>
        <v>97677817.847337112</v>
      </c>
      <c r="K56" s="86">
        <f ca="1">IF(J56&gt;0,MIN(99,$B$12*Q56/(J56*12*(1-Inputs!$H$16))),99)</f>
        <v>5.2123563445796313</v>
      </c>
      <c r="L56" s="84">
        <f t="shared" ca="1" si="6"/>
        <v>1.0061370288799603</v>
      </c>
      <c r="M56" s="84">
        <f t="shared" ca="1" si="7"/>
        <v>1.002081424754121</v>
      </c>
      <c r="N56" s="84">
        <f t="shared" ca="1" si="8"/>
        <v>1.0622086612427197</v>
      </c>
      <c r="O56" s="84">
        <f t="shared" ca="1" si="9"/>
        <v>1.0088285912830302</v>
      </c>
      <c r="P56" s="84">
        <f t="shared" ca="1" si="10"/>
        <v>1.6915499468764603</v>
      </c>
      <c r="Q56" s="84">
        <f t="shared" ca="1" si="11"/>
        <v>1.117017530364623</v>
      </c>
    </row>
    <row r="57" spans="1:17" ht="15" customHeight="1" x14ac:dyDescent="0.2">
      <c r="A57" s="15">
        <v>18</v>
      </c>
      <c r="B57" s="84">
        <f t="shared" ca="1" si="3"/>
        <v>6.5213870011565644E-2</v>
      </c>
      <c r="C57" s="84">
        <f t="shared" ca="1" si="3"/>
        <v>0.32595520562291802</v>
      </c>
      <c r="D57" s="84">
        <f t="shared" ca="1" si="3"/>
        <v>0.22095833353975303</v>
      </c>
      <c r="F57" s="84">
        <f t="shared" ca="1" si="4"/>
        <v>0.2995772959833567</v>
      </c>
      <c r="G57" s="84">
        <f t="shared" ca="1" si="4"/>
        <v>0.58023362502297071</v>
      </c>
      <c r="H57" s="84">
        <f t="shared" ca="1" si="4"/>
        <v>0.20083115576374877</v>
      </c>
      <c r="J57" s="85">
        <f t="shared" ca="1" si="5"/>
        <v>33233105.979030192</v>
      </c>
      <c r="K57" s="86">
        <f ca="1">IF(J57&gt;0,MIN(99,$B$12*Q57/(J57*12*(1-Inputs!$H$16))),99)</f>
        <v>13.546588981101788</v>
      </c>
      <c r="L57" s="84">
        <f t="shared" ca="1" si="6"/>
        <v>0.86065372365694992</v>
      </c>
      <c r="M57" s="84">
        <f t="shared" ca="1" si="7"/>
        <v>0.93702161332161893</v>
      </c>
      <c r="N57" s="84">
        <f t="shared" ca="1" si="8"/>
        <v>0.9841392829363379</v>
      </c>
      <c r="O57" s="84">
        <f t="shared" ca="1" si="9"/>
        <v>1.0063875389603458</v>
      </c>
      <c r="P57" s="84">
        <f t="shared" ca="1" si="10"/>
        <v>1.2466718659726432</v>
      </c>
      <c r="Q57" s="84">
        <f t="shared" ca="1" si="11"/>
        <v>0.9877131320850735</v>
      </c>
    </row>
    <row r="58" spans="1:17" ht="15" customHeight="1" x14ac:dyDescent="0.2">
      <c r="A58" s="15">
        <v>19</v>
      </c>
      <c r="B58" s="84">
        <f t="shared" ca="1" si="3"/>
        <v>2.6022664641478177E-2</v>
      </c>
      <c r="C58" s="84">
        <f t="shared" ca="1" si="3"/>
        <v>0.25101737769562027</v>
      </c>
      <c r="D58" s="84">
        <f t="shared" ca="1" si="3"/>
        <v>8.2659067448032864E-2</v>
      </c>
      <c r="F58" s="84">
        <f t="shared" ca="1" si="4"/>
        <v>0.52150151957740465</v>
      </c>
      <c r="G58" s="84">
        <f t="shared" ca="1" si="4"/>
        <v>0.95309951403556692</v>
      </c>
      <c r="H58" s="84">
        <f t="shared" ca="1" si="4"/>
        <v>0.84029951191703123</v>
      </c>
      <c r="J58" s="85">
        <f t="shared" ca="1" si="5"/>
        <v>-1954790.9318470061</v>
      </c>
      <c r="K58" s="86">
        <f ca="1">IF(J58&gt;0,MIN(99,$B$12*Q58/(J58*12*(1-Inputs!$H$16))),99)</f>
        <v>99</v>
      </c>
      <c r="L58" s="84">
        <f t="shared" ca="1" si="6"/>
        <v>0.82910683664904372</v>
      </c>
      <c r="M58" s="84">
        <f t="shared" ca="1" si="7"/>
        <v>0.92290788917580902</v>
      </c>
      <c r="N58" s="84">
        <f t="shared" ca="1" si="8"/>
        <v>0.96658258201013836</v>
      </c>
      <c r="O58" s="84">
        <f t="shared" ca="1" si="9"/>
        <v>1.0246790651987674</v>
      </c>
      <c r="P58" s="84">
        <f t="shared" ca="1" si="10"/>
        <v>1.6568302650715894</v>
      </c>
      <c r="Q58" s="84">
        <f t="shared" ca="1" si="11"/>
        <v>1.2776959912566379</v>
      </c>
    </row>
    <row r="59" spans="1:17" ht="15" customHeight="1" x14ac:dyDescent="0.2">
      <c r="A59" s="15">
        <v>20</v>
      </c>
      <c r="B59" s="84">
        <f t="shared" ca="1" si="3"/>
        <v>0.83907553527306666</v>
      </c>
      <c r="C59" s="84">
        <f t="shared" ca="1" si="3"/>
        <v>0.3040973869290301</v>
      </c>
      <c r="D59" s="84">
        <f t="shared" ca="1" si="3"/>
        <v>0.28901740011513932</v>
      </c>
      <c r="F59" s="84">
        <f t="shared" ca="1" si="4"/>
        <v>0.59471020803438823</v>
      </c>
      <c r="G59" s="84">
        <f t="shared" ca="1" si="4"/>
        <v>0.31290085084854902</v>
      </c>
      <c r="H59" s="84">
        <f t="shared" ca="1" si="4"/>
        <v>0.81507735424195094</v>
      </c>
      <c r="J59" s="85">
        <f t="shared" ca="1" si="5"/>
        <v>222599138.9025172</v>
      </c>
      <c r="K59" s="86">
        <f ca="1">IF(J59&gt;0,MIN(99,$B$12*Q59/(J59*12*(1-Inputs!$H$16))),99)</f>
        <v>2.5797800682323784</v>
      </c>
      <c r="L59" s="84">
        <f t="shared" ca="1" si="6"/>
        <v>1.1262481465663257</v>
      </c>
      <c r="M59" s="84">
        <f t="shared" ca="1" si="7"/>
        <v>1.0552023710849707</v>
      </c>
      <c r="N59" s="84">
        <f t="shared" ca="1" si="8"/>
        <v>0.99063479931623044</v>
      </c>
      <c r="O59" s="84">
        <f t="shared" ca="1" si="9"/>
        <v>1.0316229071276406</v>
      </c>
      <c r="P59" s="84">
        <f t="shared" ca="1" si="10"/>
        <v>1.0745359665140728</v>
      </c>
      <c r="Q59" s="84">
        <f t="shared" ca="1" si="11"/>
        <v>1.2599000826292772</v>
      </c>
    </row>
    <row r="60" spans="1:17" ht="15" customHeight="1" x14ac:dyDescent="0.2">
      <c r="A60" s="15">
        <v>21</v>
      </c>
      <c r="B60" s="84">
        <f t="shared" ref="B60:D79" ca="1" si="12">RAND()</f>
        <v>0.79682470575860431</v>
      </c>
      <c r="C60" s="84">
        <f t="shared" ca="1" si="12"/>
        <v>0.77197564023168874</v>
      </c>
      <c r="D60" s="84">
        <f t="shared" ca="1" si="12"/>
        <v>0.18858336619001992</v>
      </c>
      <c r="F60" s="84">
        <f t="shared" ref="F60:H79" ca="1" si="13">RAND()</f>
        <v>0.60718957218365721</v>
      </c>
      <c r="G60" s="84">
        <f t="shared" ca="1" si="13"/>
        <v>6.0417746988762788E-2</v>
      </c>
      <c r="H60" s="84">
        <f t="shared" ca="1" si="13"/>
        <v>0.20799687412375656</v>
      </c>
      <c r="J60" s="85">
        <f t="shared" ca="1" si="5"/>
        <v>216185679.52553004</v>
      </c>
      <c r="K60" s="86">
        <f ca="1">IF(J60&gt;0,MIN(99,$B$12*Q60/(J60*12*(1-Inputs!$H$16))),99)</f>
        <v>2.0878844615047871</v>
      </c>
      <c r="L60" s="84">
        <f t="shared" ca="1" si="6"/>
        <v>1.1078575369387182</v>
      </c>
      <c r="M60" s="84">
        <f t="shared" ca="1" si="7"/>
        <v>1.0470688476789967</v>
      </c>
      <c r="N60" s="84">
        <f t="shared" ca="1" si="8"/>
        <v>0.98069634353137258</v>
      </c>
      <c r="O60" s="84">
        <f t="shared" ca="1" si="9"/>
        <v>1.0328674643621614</v>
      </c>
      <c r="P60" s="84">
        <f t="shared" ca="1" si="10"/>
        <v>0.92301362576566726</v>
      </c>
      <c r="Q60" s="84">
        <f t="shared" ca="1" si="11"/>
        <v>0.99029212584223103</v>
      </c>
    </row>
    <row r="61" spans="1:17" ht="15" customHeight="1" x14ac:dyDescent="0.2">
      <c r="A61" s="15">
        <v>22</v>
      </c>
      <c r="B61" s="84">
        <f t="shared" ca="1" si="12"/>
        <v>5.6517208222982784E-2</v>
      </c>
      <c r="C61" s="84">
        <f t="shared" ca="1" si="12"/>
        <v>6.0191060561794685E-2</v>
      </c>
      <c r="D61" s="84">
        <f t="shared" ca="1" si="12"/>
        <v>0.72506158522360264</v>
      </c>
      <c r="F61" s="84">
        <f t="shared" ca="1" si="13"/>
        <v>0.14053032507275198</v>
      </c>
      <c r="G61" s="84">
        <f t="shared" ca="1" si="13"/>
        <v>0.20212030430098449</v>
      </c>
      <c r="H61" s="84">
        <f t="shared" ca="1" si="13"/>
        <v>0.22713247371890322</v>
      </c>
      <c r="J61" s="85">
        <f t="shared" ca="1" si="5"/>
        <v>32038012.451356694</v>
      </c>
      <c r="K61" s="86">
        <f ca="1">IF(J61&gt;0,MIN(99,$B$12*Q61/(J61*12*(1-Inputs!$H$16))),99)</f>
        <v>14.183591257364522</v>
      </c>
      <c r="L61" s="84">
        <f t="shared" ca="1" si="6"/>
        <v>0.85473823377204672</v>
      </c>
      <c r="M61" s="84">
        <f t="shared" ca="1" si="7"/>
        <v>0.93437508935867042</v>
      </c>
      <c r="N61" s="84">
        <f t="shared" ca="1" si="8"/>
        <v>1.0290375340912616</v>
      </c>
      <c r="O61" s="84">
        <f t="shared" ca="1" si="9"/>
        <v>0.99439532826552635</v>
      </c>
      <c r="P61" s="84">
        <f t="shared" ca="1" si="10"/>
        <v>1.0133665299276777</v>
      </c>
      <c r="Q61" s="84">
        <f t="shared" ca="1" si="11"/>
        <v>0.99696913789904362</v>
      </c>
    </row>
    <row r="62" spans="1:17" ht="15" customHeight="1" x14ac:dyDescent="0.2">
      <c r="A62" s="15">
        <v>23</v>
      </c>
      <c r="B62" s="84">
        <f t="shared" ca="1" si="12"/>
        <v>0.76633737032933247</v>
      </c>
      <c r="C62" s="84">
        <f t="shared" ca="1" si="12"/>
        <v>0.4905892473719865</v>
      </c>
      <c r="D62" s="84">
        <f t="shared" ca="1" si="12"/>
        <v>0.32363166075960992</v>
      </c>
      <c r="F62" s="84">
        <f t="shared" ca="1" si="13"/>
        <v>0.20809986253409951</v>
      </c>
      <c r="G62" s="84">
        <f t="shared" ca="1" si="13"/>
        <v>0.60013925549389724</v>
      </c>
      <c r="H62" s="84">
        <f t="shared" ca="1" si="13"/>
        <v>0.84777063991540846</v>
      </c>
      <c r="J62" s="85">
        <f t="shared" ca="1" si="5"/>
        <v>196551782.22114676</v>
      </c>
      <c r="K62" s="86">
        <f ca="1">IF(J62&gt;0,MIN(99,$B$12*Q62/(J62*12*(1-Inputs!$H$16))),99)</f>
        <v>2.9757656884737682</v>
      </c>
      <c r="L62" s="84">
        <f t="shared" ca="1" si="6"/>
        <v>1.0957554419801907</v>
      </c>
      <c r="M62" s="84">
        <f t="shared" ca="1" si="7"/>
        <v>1.0417165143632627</v>
      </c>
      <c r="N62" s="84">
        <f t="shared" ca="1" si="8"/>
        <v>0.99364331121387983</v>
      </c>
      <c r="O62" s="84">
        <f t="shared" ca="1" si="9"/>
        <v>0.99971119393575592</v>
      </c>
      <c r="P62" s="84">
        <f t="shared" ca="1" si="10"/>
        <v>1.2614570985676377</v>
      </c>
      <c r="Q62" s="84">
        <f t="shared" ca="1" si="11"/>
        <v>1.2832334134163179</v>
      </c>
    </row>
    <row r="63" spans="1:17" ht="15" customHeight="1" x14ac:dyDescent="0.2">
      <c r="A63" s="15">
        <v>24</v>
      </c>
      <c r="B63" s="84">
        <f t="shared" ca="1" si="12"/>
        <v>0.61264006077619393</v>
      </c>
      <c r="C63" s="84">
        <f t="shared" ca="1" si="12"/>
        <v>0.24315434241877321</v>
      </c>
      <c r="D63" s="84">
        <f t="shared" ca="1" si="12"/>
        <v>0.76672704635312872</v>
      </c>
      <c r="F63" s="84">
        <f t="shared" ca="1" si="13"/>
        <v>0.10479692873253166</v>
      </c>
      <c r="G63" s="84">
        <f t="shared" ca="1" si="13"/>
        <v>0.87267218612865416</v>
      </c>
      <c r="H63" s="84">
        <f t="shared" ca="1" si="13"/>
        <v>0.14558456954443599</v>
      </c>
      <c r="J63" s="85">
        <f t="shared" ca="1" si="5"/>
        <v>140395864.08820194</v>
      </c>
      <c r="K63" s="86">
        <f ca="1">IF(J63&gt;0,MIN(99,$B$12*Q63/(J63*12*(1-Inputs!$H$16))),99)</f>
        <v>3.1362637253628725</v>
      </c>
      <c r="L63" s="84">
        <f t="shared" ca="1" si="6"/>
        <v>1.0442144033019536</v>
      </c>
      <c r="M63" s="84">
        <f t="shared" ca="1" si="7"/>
        <v>1.018921715661846</v>
      </c>
      <c r="N63" s="84">
        <f t="shared" ca="1" si="8"/>
        <v>1.0338770136732258</v>
      </c>
      <c r="O63" s="84">
        <f t="shared" ca="1" si="9"/>
        <v>0.99105107331728126</v>
      </c>
      <c r="P63" s="84">
        <f t="shared" ca="1" si="10"/>
        <v>1.5234496344525941</v>
      </c>
      <c r="Q63" s="84">
        <f t="shared" ca="1" si="11"/>
        <v>0.96604382873734462</v>
      </c>
    </row>
    <row r="64" spans="1:17" ht="15" customHeight="1" x14ac:dyDescent="0.2">
      <c r="A64" s="15">
        <v>25</v>
      </c>
      <c r="B64" s="84">
        <f t="shared" ca="1" si="12"/>
        <v>0.19312282687247573</v>
      </c>
      <c r="C64" s="84">
        <f t="shared" ca="1" si="12"/>
        <v>0.49622005519601309</v>
      </c>
      <c r="D64" s="84">
        <f t="shared" ca="1" si="12"/>
        <v>0.22880257501027024</v>
      </c>
      <c r="F64" s="84">
        <f t="shared" ca="1" si="13"/>
        <v>0.66865409937664111</v>
      </c>
      <c r="G64" s="84">
        <f t="shared" ca="1" si="13"/>
        <v>0.5809721631910979</v>
      </c>
      <c r="H64" s="84">
        <f t="shared" ca="1" si="13"/>
        <v>0.43641796315551173</v>
      </c>
      <c r="J64" s="85">
        <f t="shared" ca="1" si="5"/>
        <v>67914543.017143741</v>
      </c>
      <c r="K64" s="86">
        <f ca="1">IF(J64&gt;0,MIN(99,$B$12*Q64/(J64*12*(1-Inputs!$H$16))),99)</f>
        <v>7.1956890515519438</v>
      </c>
      <c r="L64" s="84">
        <f t="shared" ca="1" si="6"/>
        <v>0.92239850074934115</v>
      </c>
      <c r="M64" s="84">
        <f t="shared" ca="1" si="7"/>
        <v>0.96464553548890397</v>
      </c>
      <c r="N64" s="84">
        <f t="shared" ca="1" si="8"/>
        <v>0.98493471972953395</v>
      </c>
      <c r="O64" s="84">
        <f t="shared" ca="1" si="9"/>
        <v>1.039308243246605</v>
      </c>
      <c r="P64" s="84">
        <f t="shared" ca="1" si="10"/>
        <v>1.247214083598831</v>
      </c>
      <c r="Q64" s="84">
        <f t="shared" ca="1" si="11"/>
        <v>1.0721736063800933</v>
      </c>
    </row>
    <row r="65" spans="1:17" ht="15" customHeight="1" x14ac:dyDescent="0.2">
      <c r="A65" s="15">
        <v>26</v>
      </c>
      <c r="B65" s="84">
        <f t="shared" ca="1" si="12"/>
        <v>0.24600825613115029</v>
      </c>
      <c r="C65" s="84">
        <f t="shared" ca="1" si="12"/>
        <v>0.67466944454970013</v>
      </c>
      <c r="D65" s="84">
        <f t="shared" ca="1" si="12"/>
        <v>0.39738829606658888</v>
      </c>
      <c r="F65" s="84">
        <f t="shared" ca="1" si="13"/>
        <v>0.63845230651524798</v>
      </c>
      <c r="G65" s="84">
        <f t="shared" ca="1" si="13"/>
        <v>0.36731821423855437</v>
      </c>
      <c r="H65" s="84">
        <f t="shared" ca="1" si="13"/>
        <v>0.81882256598447489</v>
      </c>
      <c r="J65" s="85">
        <f t="shared" ca="1" si="5"/>
        <v>83640281.418943331</v>
      </c>
      <c r="K65" s="86">
        <f ca="1">IF(J65&gt;0,MIN(99,$B$12*Q65/(J65*12*(1-Inputs!$H$16))),99)</f>
        <v>6.8797548110888203</v>
      </c>
      <c r="L65" s="84">
        <f t="shared" ca="1" si="6"/>
        <v>0.94136083918625324</v>
      </c>
      <c r="M65" s="84">
        <f t="shared" ca="1" si="7"/>
        <v>0.97312907346179467</v>
      </c>
      <c r="N65" s="84">
        <f t="shared" ca="1" si="8"/>
        <v>0.99955793090850031</v>
      </c>
      <c r="O65" s="84">
        <f t="shared" ca="1" si="9"/>
        <v>1.0360749840457584</v>
      </c>
      <c r="P65" s="84">
        <f t="shared" ca="1" si="10"/>
        <v>1.1063931427855769</v>
      </c>
      <c r="Q65" s="84">
        <f t="shared" ca="1" si="11"/>
        <v>1.2624622112110535</v>
      </c>
    </row>
    <row r="66" spans="1:17" ht="15" customHeight="1" x14ac:dyDescent="0.2">
      <c r="A66" s="15">
        <v>27</v>
      </c>
      <c r="B66" s="84">
        <f t="shared" ca="1" si="12"/>
        <v>0.83205736476745329</v>
      </c>
      <c r="C66" s="84">
        <f t="shared" ca="1" si="12"/>
        <v>0.60220435218234114</v>
      </c>
      <c r="D66" s="84">
        <f t="shared" ca="1" si="12"/>
        <v>0.640570875429889</v>
      </c>
      <c r="F66" s="84">
        <f t="shared" ca="1" si="13"/>
        <v>0.30585317342840956</v>
      </c>
      <c r="G66" s="84">
        <f t="shared" ca="1" si="13"/>
        <v>0.16043361206101114</v>
      </c>
      <c r="H66" s="84">
        <f t="shared" ca="1" si="13"/>
        <v>0.59453473720304162</v>
      </c>
      <c r="J66" s="85">
        <f t="shared" ca="1" si="5"/>
        <v>220215853.65411073</v>
      </c>
      <c r="K66" s="86">
        <f ca="1">IF(J66&gt;0,MIN(99,$B$12*Q66/(J66*12*(1-Inputs!$H$16))),99)</f>
        <v>2.35722166118012</v>
      </c>
      <c r="L66" s="84">
        <f t="shared" ca="1" si="6"/>
        <v>1.123039109161353</v>
      </c>
      <c r="M66" s="84">
        <f t="shared" ca="1" si="7"/>
        <v>1.0537831260804544</v>
      </c>
      <c r="N66" s="84">
        <f t="shared" ca="1" si="8"/>
        <v>1.0202415019253135</v>
      </c>
      <c r="O66" s="84">
        <f t="shared" ca="1" si="9"/>
        <v>1.0068610098958763</v>
      </c>
      <c r="P66" s="84">
        <f t="shared" ca="1" si="10"/>
        <v>0.99120901854794652</v>
      </c>
      <c r="Q66" s="84">
        <f t="shared" ca="1" si="11"/>
        <v>1.1388825689702478</v>
      </c>
    </row>
    <row r="67" spans="1:17" ht="15" customHeight="1" x14ac:dyDescent="0.2">
      <c r="A67" s="15">
        <v>28</v>
      </c>
      <c r="B67" s="84">
        <f t="shared" ca="1" si="12"/>
        <v>0.62371967323721977</v>
      </c>
      <c r="C67" s="84">
        <f t="shared" ca="1" si="12"/>
        <v>0.43110841918351273</v>
      </c>
      <c r="D67" s="84">
        <f t="shared" ca="1" si="12"/>
        <v>0.73564316099731974</v>
      </c>
      <c r="F67" s="84">
        <f t="shared" ca="1" si="13"/>
        <v>0.88422898145125328</v>
      </c>
      <c r="G67" s="84">
        <f t="shared" ca="1" si="13"/>
        <v>0.25258625492449538</v>
      </c>
      <c r="H67" s="84">
        <f t="shared" ca="1" si="13"/>
        <v>0.47236561959546752</v>
      </c>
      <c r="J67" s="85">
        <f t="shared" ca="1" si="5"/>
        <v>148870153.1963715</v>
      </c>
      <c r="K67" s="86">
        <f ca="1">IF(J67&gt;0,MIN(99,$B$12*Q67/(J67*12*(1-Inputs!$H$16))),99)</f>
        <v>3.326289284407467</v>
      </c>
      <c r="L67" s="84">
        <f t="shared" ca="1" si="6"/>
        <v>1.0475389155704162</v>
      </c>
      <c r="M67" s="84">
        <f t="shared" ca="1" si="7"/>
        <v>1.0203920311596202</v>
      </c>
      <c r="N67" s="84">
        <f t="shared" ca="1" si="8"/>
        <v>1.0302297002707972</v>
      </c>
      <c r="O67" s="84">
        <f t="shared" ca="1" si="9"/>
        <v>1.0689643008454299</v>
      </c>
      <c r="P67" s="84">
        <f t="shared" ca="1" si="10"/>
        <v>1.0406675740369968</v>
      </c>
      <c r="Q67" s="84">
        <f t="shared" ca="1" si="11"/>
        <v>1.0864196034012616</v>
      </c>
    </row>
    <row r="68" spans="1:17" ht="15" customHeight="1" x14ac:dyDescent="0.2">
      <c r="A68" s="15">
        <v>29</v>
      </c>
      <c r="B68" s="84">
        <f t="shared" ca="1" si="12"/>
        <v>0.67376969756467064</v>
      </c>
      <c r="C68" s="84">
        <f t="shared" ca="1" si="12"/>
        <v>0.14050774632315333</v>
      </c>
      <c r="D68" s="84">
        <f t="shared" ca="1" si="12"/>
        <v>5.1186890727728196E-2</v>
      </c>
      <c r="F68" s="84">
        <f t="shared" ca="1" si="13"/>
        <v>0.33113404589241879</v>
      </c>
      <c r="G68" s="84">
        <f t="shared" ca="1" si="13"/>
        <v>3.127564873841937E-2</v>
      </c>
      <c r="H68" s="84">
        <f t="shared" ca="1" si="13"/>
        <v>0.70212791903702787</v>
      </c>
      <c r="J68" s="85">
        <f t="shared" ca="1" si="5"/>
        <v>191915366.99237698</v>
      </c>
      <c r="K68" s="86">
        <f ca="1">IF(J68&gt;0,MIN(99,$B$12*Q68/(J68*12*(1-Inputs!$H$16))),99)</f>
        <v>2.831317690357503</v>
      </c>
      <c r="L68" s="84">
        <f t="shared" ca="1" si="6"/>
        <v>1.0632060751936974</v>
      </c>
      <c r="M68" s="84">
        <f t="shared" ca="1" si="7"/>
        <v>1.0273210678844167</v>
      </c>
      <c r="N68" s="84">
        <f t="shared" ca="1" si="8"/>
        <v>0.9606911764758489</v>
      </c>
      <c r="O68" s="84">
        <f t="shared" ca="1" si="9"/>
        <v>1.0087903048523992</v>
      </c>
      <c r="P68" s="84">
        <f t="shared" ca="1" si="10"/>
        <v>0.89262654755926951</v>
      </c>
      <c r="Q68" s="84">
        <f t="shared" ca="1" si="11"/>
        <v>1.1921428399171734</v>
      </c>
    </row>
    <row r="69" spans="1:17" ht="15" customHeight="1" x14ac:dyDescent="0.2">
      <c r="A69" s="15">
        <v>30</v>
      </c>
      <c r="B69" s="84">
        <f t="shared" ca="1" si="12"/>
        <v>2.1748834665429762E-2</v>
      </c>
      <c r="C69" s="84">
        <f t="shared" ca="1" si="12"/>
        <v>0.14935647960197374</v>
      </c>
      <c r="D69" s="84">
        <f t="shared" ca="1" si="12"/>
        <v>0.92925533807798399</v>
      </c>
      <c r="F69" s="84">
        <f t="shared" ca="1" si="13"/>
        <v>0.89651826599229678</v>
      </c>
      <c r="G69" s="84">
        <f t="shared" ca="1" si="13"/>
        <v>0.3926622668551254</v>
      </c>
      <c r="H69" s="84">
        <f t="shared" ca="1" si="13"/>
        <v>0.27953570808021078</v>
      </c>
      <c r="J69" s="85">
        <f t="shared" ca="1" si="5"/>
        <v>-8845529.0878577083</v>
      </c>
      <c r="K69" s="86">
        <f ca="1">IF(J69&gt;0,MIN(99,$B$12*Q69/(J69*12*(1-Inputs!$H$16))),99)</f>
        <v>99</v>
      </c>
      <c r="L69" s="84">
        <f t="shared" ca="1" si="6"/>
        <v>0.82446457216898628</v>
      </c>
      <c r="M69" s="84">
        <f t="shared" ca="1" si="7"/>
        <v>0.92083099200788876</v>
      </c>
      <c r="N69" s="84">
        <f t="shared" ca="1" si="8"/>
        <v>1.0592670304851859</v>
      </c>
      <c r="O69" s="84">
        <f t="shared" ca="1" si="9"/>
        <v>1.0713034756814417</v>
      </c>
      <c r="P69" s="84">
        <f t="shared" ca="1" si="10"/>
        <v>1.1216974205207997</v>
      </c>
      <c r="Q69" s="84">
        <f t="shared" ca="1" si="11"/>
        <v>1.0147596875670573</v>
      </c>
    </row>
    <row r="70" spans="1:17" ht="15" customHeight="1" x14ac:dyDescent="0.2">
      <c r="A70" s="15">
        <v>31</v>
      </c>
      <c r="B70" s="84">
        <f t="shared" ca="1" si="12"/>
        <v>0.93798285065088716</v>
      </c>
      <c r="C70" s="84">
        <f t="shared" ca="1" si="12"/>
        <v>0.84944959864316039</v>
      </c>
      <c r="D70" s="84">
        <f t="shared" ca="1" si="12"/>
        <v>0.43752939396376134</v>
      </c>
      <c r="F70" s="84">
        <f t="shared" ca="1" si="13"/>
        <v>0.45657100326745859</v>
      </c>
      <c r="G70" s="84">
        <f t="shared" ca="1" si="13"/>
        <v>0.13558871454501698</v>
      </c>
      <c r="H70" s="84">
        <f t="shared" ca="1" si="13"/>
        <v>0.93402404696048846</v>
      </c>
      <c r="J70" s="85">
        <f t="shared" ca="1" si="5"/>
        <v>270398371.79954141</v>
      </c>
      <c r="K70" s="86">
        <f ca="1">IF(J70&gt;0,MIN(99,$B$12*Q70/(J70*12*(1-Inputs!$H$16))),99)</f>
        <v>2.2946147387674993</v>
      </c>
      <c r="L70" s="84">
        <f t="shared" ca="1" si="6"/>
        <v>1.1826563048416243</v>
      </c>
      <c r="M70" s="84">
        <f t="shared" ca="1" si="7"/>
        <v>1.0801497265511697</v>
      </c>
      <c r="N70" s="84">
        <f t="shared" ca="1" si="8"/>
        <v>1.0026377886522753</v>
      </c>
      <c r="O70" s="84">
        <f t="shared" ca="1" si="9"/>
        <v>1.0189537926882499</v>
      </c>
      <c r="P70" s="84">
        <f t="shared" ca="1" si="10"/>
        <v>0.97696633513332898</v>
      </c>
      <c r="Q70" s="84">
        <f t="shared" ca="1" si="11"/>
        <v>1.3612684919650899</v>
      </c>
    </row>
    <row r="71" spans="1:17" ht="15" customHeight="1" x14ac:dyDescent="0.2">
      <c r="A71" s="15">
        <v>32</v>
      </c>
      <c r="B71" s="84">
        <f t="shared" ca="1" si="12"/>
        <v>0.67721810864480614</v>
      </c>
      <c r="C71" s="84">
        <f t="shared" ca="1" si="12"/>
        <v>0.20428587894515282</v>
      </c>
      <c r="D71" s="84">
        <f t="shared" ca="1" si="12"/>
        <v>0.9461489337800314</v>
      </c>
      <c r="F71" s="84">
        <f t="shared" ca="1" si="13"/>
        <v>0.20484710456631638</v>
      </c>
      <c r="G71" s="84">
        <f t="shared" ca="1" si="13"/>
        <v>0.12906122424501887</v>
      </c>
      <c r="H71" s="84">
        <f t="shared" ca="1" si="13"/>
        <v>0.18783037548362602</v>
      </c>
      <c r="J71" s="85">
        <f t="shared" ca="1" si="5"/>
        <v>167793039.77117723</v>
      </c>
      <c r="K71" s="86">
        <f ca="1">IF(J71&gt;0,MIN(99,$B$12*Q71/(J71*12*(1-Inputs!$H$16))),99)</f>
        <v>2.6700015353238293</v>
      </c>
      <c r="L71" s="84">
        <f t="shared" ca="1" si="6"/>
        <v>1.0643284308186338</v>
      </c>
      <c r="M71" s="84">
        <f t="shared" ca="1" si="7"/>
        <v>1.0278174465216721</v>
      </c>
      <c r="N71" s="84">
        <f t="shared" ca="1" si="8"/>
        <v>1.0632357857853107</v>
      </c>
      <c r="O71" s="84">
        <f t="shared" ca="1" si="9"/>
        <v>0.99947717825801419</v>
      </c>
      <c r="P71" s="84">
        <f t="shared" ca="1" si="10"/>
        <v>0.97301196972782145</v>
      </c>
      <c r="Q71" s="84">
        <f t="shared" ca="1" si="11"/>
        <v>0.98291371364084301</v>
      </c>
    </row>
    <row r="72" spans="1:17" ht="15" customHeight="1" x14ac:dyDescent="0.2">
      <c r="A72" s="15">
        <v>33</v>
      </c>
      <c r="B72" s="84">
        <f t="shared" ca="1" si="12"/>
        <v>0.4317296877999367</v>
      </c>
      <c r="C72" s="84">
        <f t="shared" ca="1" si="12"/>
        <v>0.27233921810460182</v>
      </c>
      <c r="D72" s="84">
        <f t="shared" ca="1" si="12"/>
        <v>0.43249082479108114</v>
      </c>
      <c r="F72" s="84">
        <f t="shared" ca="1" si="13"/>
        <v>0.79252597643550282</v>
      </c>
      <c r="G72" s="84">
        <f t="shared" ca="1" si="13"/>
        <v>0.86381618761023504</v>
      </c>
      <c r="H72" s="84">
        <f t="shared" ca="1" si="13"/>
        <v>7.517486244927829E-2</v>
      </c>
      <c r="J72" s="85">
        <f t="shared" ca="1" si="5"/>
        <v>102193910.07182507</v>
      </c>
      <c r="K72" s="86">
        <f ca="1">IF(J72&gt;0,MIN(99,$B$12*Q72/(J72*12*(1-Inputs!$H$16))),99)</f>
        <v>4.1528061204633122</v>
      </c>
      <c r="L72" s="84">
        <f t="shared" ca="1" si="6"/>
        <v>0.9953850944993623</v>
      </c>
      <c r="M72" s="84">
        <f t="shared" ca="1" si="7"/>
        <v>0.99729892060014902</v>
      </c>
      <c r="N72" s="84">
        <f t="shared" ca="1" si="8"/>
        <v>1.0022456390169496</v>
      </c>
      <c r="O72" s="84">
        <f t="shared" ca="1" si="9"/>
        <v>1.0544444304978062</v>
      </c>
      <c r="P72" s="84">
        <f t="shared" ca="1" si="10"/>
        <v>1.5118477818698097</v>
      </c>
      <c r="Q72" s="84">
        <f t="shared" ca="1" si="11"/>
        <v>0.93110061499871477</v>
      </c>
    </row>
    <row r="73" spans="1:17" ht="15" customHeight="1" x14ac:dyDescent="0.2">
      <c r="A73" s="15">
        <v>34</v>
      </c>
      <c r="B73" s="84">
        <f t="shared" ca="1" si="12"/>
        <v>0.94528078897140722</v>
      </c>
      <c r="C73" s="84">
        <f t="shared" ca="1" si="12"/>
        <v>0.14330276080505655</v>
      </c>
      <c r="D73" s="84">
        <f t="shared" ca="1" si="12"/>
        <v>4.4782389323888228E-2</v>
      </c>
      <c r="F73" s="84">
        <f t="shared" ca="1" si="13"/>
        <v>5.9777250850987729E-2</v>
      </c>
      <c r="G73" s="84">
        <f t="shared" ca="1" si="13"/>
        <v>0.75829976710003533</v>
      </c>
      <c r="H73" s="84">
        <f t="shared" ca="1" si="13"/>
        <v>0.34180639954102299</v>
      </c>
      <c r="J73" s="85">
        <f t="shared" ca="1" si="5"/>
        <v>275764252.28753203</v>
      </c>
      <c r="K73" s="86">
        <f ca="1">IF(J73&gt;0,MIN(99,$B$12*Q73/(J73*12*(1-Inputs!$H$16))),99)</f>
        <v>1.713532853591814</v>
      </c>
      <c r="L73" s="84">
        <f t="shared" ca="1" si="6"/>
        <v>1.1882596315638934</v>
      </c>
      <c r="M73" s="84">
        <f t="shared" ca="1" si="7"/>
        <v>1.0826278819777564</v>
      </c>
      <c r="N73" s="84">
        <f t="shared" ca="1" si="8"/>
        <v>0.95928451226013811</v>
      </c>
      <c r="O73" s="84">
        <f t="shared" ca="1" si="9"/>
        <v>0.98587095325595175</v>
      </c>
      <c r="P73" s="84">
        <f t="shared" ca="1" si="10"/>
        <v>1.3952658531203608</v>
      </c>
      <c r="Q73" s="84">
        <f t="shared" ca="1" si="11"/>
        <v>1.0367172963853615</v>
      </c>
    </row>
    <row r="74" spans="1:17" ht="15" customHeight="1" x14ac:dyDescent="0.2">
      <c r="A74" s="15">
        <v>35</v>
      </c>
      <c r="B74" s="84">
        <f t="shared" ca="1" si="12"/>
        <v>7.8002783683449151E-2</v>
      </c>
      <c r="C74" s="84">
        <f t="shared" ca="1" si="12"/>
        <v>0.52436507068174765</v>
      </c>
      <c r="D74" s="84">
        <f t="shared" ca="1" si="12"/>
        <v>0.56884011611966745</v>
      </c>
      <c r="F74" s="84">
        <f t="shared" ca="1" si="13"/>
        <v>0.10988128358679383</v>
      </c>
      <c r="G74" s="84">
        <f t="shared" ca="1" si="13"/>
        <v>0.75805996033044387</v>
      </c>
      <c r="H74" s="84">
        <f t="shared" ca="1" si="13"/>
        <v>0.417027150555211</v>
      </c>
      <c r="J74" s="85">
        <f t="shared" ca="1" si="5"/>
        <v>29724127.883928582</v>
      </c>
      <c r="K74" s="86">
        <f ca="1">IF(J74&gt;0,MIN(99,$B$12*Q74/(J74*12*(1-Inputs!$H$16))),99)</f>
        <v>16.325971487235083</v>
      </c>
      <c r="L74" s="84">
        <f t="shared" ca="1" si="6"/>
        <v>0.86867664150890567</v>
      </c>
      <c r="M74" s="84">
        <f t="shared" ca="1" si="7"/>
        <v>0.94061097696877127</v>
      </c>
      <c r="N74" s="84">
        <f t="shared" ca="1" si="8"/>
        <v>1.013560260451422</v>
      </c>
      <c r="O74" s="84">
        <f t="shared" ca="1" si="9"/>
        <v>0.9915584252296249</v>
      </c>
      <c r="P74" s="84">
        <f t="shared" ca="1" si="10"/>
        <v>1.3950339916528138</v>
      </c>
      <c r="Q74" s="84">
        <f t="shared" ca="1" si="11"/>
        <v>1.0646775492370271</v>
      </c>
    </row>
    <row r="75" spans="1:17" ht="15" customHeight="1" x14ac:dyDescent="0.2">
      <c r="A75" s="15">
        <v>36</v>
      </c>
      <c r="B75" s="84">
        <f t="shared" ca="1" si="12"/>
        <v>0.39918834851648866</v>
      </c>
      <c r="C75" s="84">
        <f t="shared" ca="1" si="12"/>
        <v>0.83552266289282739</v>
      </c>
      <c r="D75" s="84">
        <f t="shared" ca="1" si="12"/>
        <v>0.16345953840264937</v>
      </c>
      <c r="F75" s="84">
        <f t="shared" ca="1" si="13"/>
        <v>0.6973081234370313</v>
      </c>
      <c r="G75" s="84">
        <f t="shared" ca="1" si="13"/>
        <v>0.30814696804216746</v>
      </c>
      <c r="H75" s="84">
        <f t="shared" ca="1" si="13"/>
        <v>0.59734582032582773</v>
      </c>
      <c r="J75" s="85">
        <f t="shared" ca="1" si="5"/>
        <v>120009735.66620444</v>
      </c>
      <c r="K75" s="86">
        <f ca="1">IF(J75&gt;0,MIN(99,$B$12*Q75/(J75*12*(1-Inputs!$H$16))),99)</f>
        <v>4.3303782091768959</v>
      </c>
      <c r="L75" s="84">
        <f t="shared" ca="1" si="6"/>
        <v>0.98691670346649163</v>
      </c>
      <c r="M75" s="84">
        <f t="shared" ca="1" si="7"/>
        <v>0.99351025723799746</v>
      </c>
      <c r="N75" s="84">
        <f t="shared" ca="1" si="8"/>
        <v>0.97781500633544438</v>
      </c>
      <c r="O75" s="84">
        <f t="shared" ca="1" si="9"/>
        <v>1.0425150801406915</v>
      </c>
      <c r="P75" s="84">
        <f t="shared" ca="1" si="10"/>
        <v>1.071813874068916</v>
      </c>
      <c r="Q75" s="84">
        <f t="shared" ca="1" si="11"/>
        <v>1.1401769297410662</v>
      </c>
    </row>
    <row r="76" spans="1:17" ht="15" customHeight="1" x14ac:dyDescent="0.2">
      <c r="A76" s="15">
        <v>37</v>
      </c>
      <c r="B76" s="84">
        <f t="shared" ca="1" si="12"/>
        <v>0.92969489946093864</v>
      </c>
      <c r="C76" s="84">
        <f t="shared" ca="1" si="12"/>
        <v>0.2212123009641902</v>
      </c>
      <c r="D76" s="84">
        <f t="shared" ca="1" si="12"/>
        <v>0.27513756721359239</v>
      </c>
      <c r="F76" s="84">
        <f t="shared" ca="1" si="13"/>
        <v>0.39299095873681023</v>
      </c>
      <c r="G76" s="84">
        <f t="shared" ca="1" si="13"/>
        <v>0.72419735700724552</v>
      </c>
      <c r="H76" s="84">
        <f t="shared" ca="1" si="13"/>
        <v>0.97308316774360415</v>
      </c>
      <c r="J76" s="85">
        <f t="shared" ca="1" si="5"/>
        <v>255197575.77512103</v>
      </c>
      <c r="K76" s="86">
        <f ca="1">IF(J76&gt;0,MIN(99,$B$12*Q76/(J76*12*(1-Inputs!$H$16))),99)</f>
        <v>2.5283102518803946</v>
      </c>
      <c r="L76" s="84">
        <f t="shared" ca="1" si="6"/>
        <v>1.1766793443669086</v>
      </c>
      <c r="M76" s="84">
        <f t="shared" ca="1" si="7"/>
        <v>1.0775063259841378</v>
      </c>
      <c r="N76" s="84">
        <f t="shared" ca="1" si="8"/>
        <v>0.98937805492442266</v>
      </c>
      <c r="O76" s="84">
        <f t="shared" ca="1" si="9"/>
        <v>1.0136706411447851</v>
      </c>
      <c r="P76" s="84">
        <f t="shared" ca="1" si="10"/>
        <v>1.3633730146283145</v>
      </c>
      <c r="Q76" s="84">
        <f t="shared" ca="1" si="11"/>
        <v>1.4155879320806379</v>
      </c>
    </row>
    <row r="77" spans="1:17" ht="15" customHeight="1" x14ac:dyDescent="0.2">
      <c r="A77" s="15">
        <v>38</v>
      </c>
      <c r="B77" s="84">
        <f t="shared" ca="1" si="12"/>
        <v>0.70199783138161898</v>
      </c>
      <c r="C77" s="84">
        <f t="shared" ca="1" si="12"/>
        <v>0.82420878862005842</v>
      </c>
      <c r="D77" s="84">
        <f t="shared" ca="1" si="12"/>
        <v>0.10741817014089272</v>
      </c>
      <c r="F77" s="84">
        <f t="shared" ca="1" si="13"/>
        <v>0.13182654011139938</v>
      </c>
      <c r="G77" s="84">
        <f t="shared" ca="1" si="13"/>
        <v>0.41915102504317669</v>
      </c>
      <c r="H77" s="84">
        <f t="shared" ca="1" si="13"/>
        <v>0.94712948291288646</v>
      </c>
      <c r="J77" s="85">
        <f t="shared" ca="1" si="5"/>
        <v>190008011.75293124</v>
      </c>
      <c r="K77" s="86">
        <f ca="1">IF(J77&gt;0,MIN(99,$B$12*Q77/(J77*12*(1-Inputs!$H$16))),99)</f>
        <v>3.3032457793225545</v>
      </c>
      <c r="L77" s="84">
        <f t="shared" ca="1" si="6"/>
        <v>1.0725764386613372</v>
      </c>
      <c r="M77" s="84">
        <f t="shared" ca="1" si="7"/>
        <v>1.0314652519071215</v>
      </c>
      <c r="N77" s="84">
        <f t="shared" ca="1" si="8"/>
        <v>0.97045271522935972</v>
      </c>
      <c r="O77" s="84">
        <f t="shared" ca="1" si="9"/>
        <v>0.99362419146678183</v>
      </c>
      <c r="P77" s="84">
        <f t="shared" ca="1" si="10"/>
        <v>1.1380382687415342</v>
      </c>
      <c r="Q77" s="84">
        <f t="shared" ca="1" si="11"/>
        <v>1.3770279129546881</v>
      </c>
    </row>
    <row r="78" spans="1:17" ht="15" customHeight="1" x14ac:dyDescent="0.2">
      <c r="A78" s="15">
        <v>39</v>
      </c>
      <c r="B78" s="84">
        <f t="shared" ca="1" si="12"/>
        <v>0.82621660694599253</v>
      </c>
      <c r="C78" s="84">
        <f t="shared" ca="1" si="12"/>
        <v>0.54698141542666889</v>
      </c>
      <c r="D78" s="84">
        <f t="shared" ca="1" si="12"/>
        <v>0.4638821188894936</v>
      </c>
      <c r="F78" s="84">
        <f t="shared" ca="1" si="13"/>
        <v>0.83366267248053116</v>
      </c>
      <c r="G78" s="84">
        <f t="shared" ca="1" si="13"/>
        <v>0.83459710334119674</v>
      </c>
      <c r="H78" s="84">
        <f t="shared" ca="1" si="13"/>
        <v>0.14193875539114409</v>
      </c>
      <c r="J78" s="85">
        <f t="shared" ca="1" si="5"/>
        <v>194673633.24015963</v>
      </c>
      <c r="K78" s="86">
        <f ca="1">IF(J78&gt;0,MIN(99,$B$12*Q78/(J78*12*(1-Inputs!$H$16))),99)</f>
        <v>2.2581656193372472</v>
      </c>
      <c r="L78" s="84">
        <f t="shared" ca="1" si="6"/>
        <v>1.120419223236115</v>
      </c>
      <c r="M78" s="84">
        <f t="shared" ca="1" si="7"/>
        <v>1.0526244421691873</v>
      </c>
      <c r="N78" s="84">
        <f t="shared" ca="1" si="8"/>
        <v>1.0047180509521154</v>
      </c>
      <c r="O78" s="84">
        <f t="shared" ca="1" si="9"/>
        <v>1.0604478882154089</v>
      </c>
      <c r="P78" s="84">
        <f t="shared" ca="1" si="10"/>
        <v>1.4760298726891836</v>
      </c>
      <c r="Q78" s="84">
        <f t="shared" ca="1" si="11"/>
        <v>0.96447920136687415</v>
      </c>
    </row>
    <row r="79" spans="1:17" ht="15" customHeight="1" x14ac:dyDescent="0.2">
      <c r="A79" s="15">
        <v>40</v>
      </c>
      <c r="B79" s="84">
        <f t="shared" ca="1" si="12"/>
        <v>0.57359190486419276</v>
      </c>
      <c r="C79" s="84">
        <f t="shared" ca="1" si="12"/>
        <v>0.45255719604257139</v>
      </c>
      <c r="D79" s="84">
        <f t="shared" ca="1" si="12"/>
        <v>0.62014803574426181</v>
      </c>
      <c r="F79" s="84">
        <f t="shared" ca="1" si="13"/>
        <v>2.6631359640797769E-2</v>
      </c>
      <c r="G79" s="84">
        <f t="shared" ca="1" si="13"/>
        <v>0.47548658686908429</v>
      </c>
      <c r="H79" s="84">
        <f t="shared" ca="1" si="13"/>
        <v>0.61704229781603182</v>
      </c>
      <c r="J79" s="85">
        <f t="shared" ca="1" si="5"/>
        <v>150596520.77342129</v>
      </c>
      <c r="K79" s="86">
        <f ca="1">IF(J79&gt;0,MIN(99,$B$12*Q79/(J79*12*(1-Inputs!$H$16))),99)</f>
        <v>3.4787017254906338</v>
      </c>
      <c r="L79" s="84">
        <f t="shared" ca="1" si="6"/>
        <v>1.0328613763127132</v>
      </c>
      <c r="M79" s="84">
        <f t="shared" ca="1" si="7"/>
        <v>1.0139006689094303</v>
      </c>
      <c r="N79" s="84">
        <f t="shared" ca="1" si="8"/>
        <v>1.0182761894171442</v>
      </c>
      <c r="O79" s="84">
        <f t="shared" ca="1" si="9"/>
        <v>0.98055529689501597</v>
      </c>
      <c r="P79" s="84">
        <f t="shared" ca="1" si="10"/>
        <v>1.1740795144200602</v>
      </c>
      <c r="Q79" s="84">
        <f t="shared" ca="1" si="11"/>
        <v>1.1493758626041606</v>
      </c>
    </row>
    <row r="80" spans="1:17" ht="15" customHeight="1" x14ac:dyDescent="0.2">
      <c r="A80" s="15">
        <v>41</v>
      </c>
      <c r="B80" s="84">
        <f t="shared" ref="B80:D99" ca="1" si="14">RAND()</f>
        <v>0.33758502143584457</v>
      </c>
      <c r="C80" s="84">
        <f t="shared" ca="1" si="14"/>
        <v>0.69042746806765232</v>
      </c>
      <c r="D80" s="84">
        <f t="shared" ca="1" si="14"/>
        <v>0.59169542890359939</v>
      </c>
      <c r="F80" s="84">
        <f t="shared" ref="F80:H99" ca="1" si="15">RAND()</f>
        <v>0.20117346403642855</v>
      </c>
      <c r="G80" s="84">
        <f t="shared" ca="1" si="15"/>
        <v>8.7400776788199463E-2</v>
      </c>
      <c r="H80" s="84">
        <f t="shared" ca="1" si="15"/>
        <v>0.8289115446707116</v>
      </c>
      <c r="J80" s="85">
        <f t="shared" ca="1" si="5"/>
        <v>112130854.84385414</v>
      </c>
      <c r="K80" s="86">
        <f ca="1">IF(J80&gt;0,MIN(99,$B$12*Q80/(J80*12*(1-Inputs!$H$16))),99)</f>
        <v>5.1603278277328064</v>
      </c>
      <c r="L80" s="84">
        <f t="shared" ca="1" si="6"/>
        <v>0.96988025788040333</v>
      </c>
      <c r="M80" s="84">
        <f t="shared" ca="1" si="7"/>
        <v>0.98588834217021626</v>
      </c>
      <c r="N80" s="84">
        <f t="shared" ca="1" si="8"/>
        <v>1.0156242386817629</v>
      </c>
      <c r="O80" s="84">
        <f t="shared" ca="1" si="9"/>
        <v>0.99921063723458237</v>
      </c>
      <c r="P80" s="84">
        <f t="shared" ca="1" si="10"/>
        <v>0.94497662556184825</v>
      </c>
      <c r="Q80" s="84">
        <f t="shared" ca="1" si="11"/>
        <v>1.2694990115251319</v>
      </c>
    </row>
    <row r="81" spans="1:17" ht="15" customHeight="1" x14ac:dyDescent="0.2">
      <c r="A81" s="15">
        <v>42</v>
      </c>
      <c r="B81" s="84">
        <f t="shared" ca="1" si="14"/>
        <v>0.59558896615479484</v>
      </c>
      <c r="C81" s="84">
        <f t="shared" ca="1" si="14"/>
        <v>0.52417176788621311</v>
      </c>
      <c r="D81" s="84">
        <f t="shared" ca="1" si="14"/>
        <v>0.58684191107334494</v>
      </c>
      <c r="F81" s="84">
        <f t="shared" ca="1" si="15"/>
        <v>0.14554488890820816</v>
      </c>
      <c r="G81" s="84">
        <f t="shared" ca="1" si="15"/>
        <v>0.35208578909440935</v>
      </c>
      <c r="H81" s="84">
        <f t="shared" ca="1" si="15"/>
        <v>0.72254476036208204</v>
      </c>
      <c r="J81" s="85">
        <f t="shared" ca="1" si="5"/>
        <v>156396790.10000354</v>
      </c>
      <c r="K81" s="86">
        <f ca="1">IF(J81&gt;0,MIN(99,$B$12*Q81/(J81*12*(1-Inputs!$H$16))),99)</f>
        <v>3.5068014572501354</v>
      </c>
      <c r="L81" s="84">
        <f t="shared" ca="1" si="6"/>
        <v>1.039189658509819</v>
      </c>
      <c r="M81" s="84">
        <f t="shared" ca="1" si="7"/>
        <v>1.0166994467864019</v>
      </c>
      <c r="N81" s="84">
        <f t="shared" ca="1" si="8"/>
        <v>1.0151811981514745</v>
      </c>
      <c r="O81" s="84">
        <f t="shared" ca="1" si="9"/>
        <v>0.99482878595028446</v>
      </c>
      <c r="P81" s="84">
        <f t="shared" ca="1" si="10"/>
        <v>1.0973420916035557</v>
      </c>
      <c r="Q81" s="84">
        <f t="shared" ca="1" si="11"/>
        <v>1.2032862529554362</v>
      </c>
    </row>
    <row r="82" spans="1:17" ht="15" customHeight="1" x14ac:dyDescent="0.2">
      <c r="A82" s="15">
        <v>43</v>
      </c>
      <c r="B82" s="84">
        <f t="shared" ca="1" si="14"/>
        <v>0.22508857574928232</v>
      </c>
      <c r="C82" s="84">
        <f t="shared" ca="1" si="14"/>
        <v>0.93528551192736853</v>
      </c>
      <c r="D82" s="84">
        <f t="shared" ca="1" si="14"/>
        <v>0.42207681343158387</v>
      </c>
      <c r="F82" s="84">
        <f t="shared" ca="1" si="15"/>
        <v>0.2776858062452624</v>
      </c>
      <c r="G82" s="84">
        <f t="shared" ca="1" si="15"/>
        <v>0.23768564916414081</v>
      </c>
      <c r="H82" s="84">
        <f t="shared" ca="1" si="15"/>
        <v>0.16494762100389571</v>
      </c>
      <c r="J82" s="85">
        <f t="shared" ca="1" si="5"/>
        <v>86387199.77091299</v>
      </c>
      <c r="K82" s="86">
        <f ca="1">IF(J82&gt;0,MIN(99,$B$12*Q82/(J82*12*(1-Inputs!$H$16))),99)</f>
        <v>5.1392417431280535</v>
      </c>
      <c r="L82" s="84">
        <f t="shared" ca="1" si="6"/>
        <v>0.93413033894199515</v>
      </c>
      <c r="M82" s="84">
        <f t="shared" ca="1" si="7"/>
        <v>0.96989422858286589</v>
      </c>
      <c r="N82" s="84">
        <f t="shared" ca="1" si="8"/>
        <v>1.0014406005042793</v>
      </c>
      <c r="O82" s="84">
        <f t="shared" ca="1" si="9"/>
        <v>1.004752365873973</v>
      </c>
      <c r="P82" s="84">
        <f t="shared" ca="1" si="10"/>
        <v>1.0325132455801178</v>
      </c>
      <c r="Q82" s="84">
        <f t="shared" ca="1" si="11"/>
        <v>0.97404357246068729</v>
      </c>
    </row>
    <row r="83" spans="1:17" ht="15" customHeight="1" x14ac:dyDescent="0.2">
      <c r="A83" s="15">
        <v>44</v>
      </c>
      <c r="B83" s="84">
        <f t="shared" ca="1" si="14"/>
        <v>0.70806894741720505</v>
      </c>
      <c r="C83" s="84">
        <f t="shared" ca="1" si="14"/>
        <v>0.43618314024821747</v>
      </c>
      <c r="D83" s="84">
        <f t="shared" ca="1" si="14"/>
        <v>1.6970807318644532E-2</v>
      </c>
      <c r="F83" s="84">
        <f t="shared" ca="1" si="15"/>
        <v>8.4032931082285045E-2</v>
      </c>
      <c r="G83" s="84">
        <f t="shared" ca="1" si="15"/>
        <v>0.37827776277198977</v>
      </c>
      <c r="H83" s="84">
        <f t="shared" ca="1" si="15"/>
        <v>0.87054399052959031</v>
      </c>
      <c r="J83" s="85">
        <f t="shared" ca="1" si="5"/>
        <v>197714799.29621744</v>
      </c>
      <c r="K83" s="86">
        <f ca="1">IF(J83&gt;0,MIN(99,$B$12*Q83/(J83*12*(1-Inputs!$H$16))),99)</f>
        <v>2.9992392944710242</v>
      </c>
      <c r="L83" s="84">
        <f t="shared" ca="1" si="6"/>
        <v>1.0746490086619627</v>
      </c>
      <c r="M83" s="84">
        <f t="shared" ca="1" si="7"/>
        <v>1.0323818771279243</v>
      </c>
      <c r="N83" s="84">
        <f t="shared" ca="1" si="8"/>
        <v>0.95146134433234963</v>
      </c>
      <c r="O83" s="84">
        <f t="shared" ca="1" si="9"/>
        <v>0.98883863068640854</v>
      </c>
      <c r="P83" s="84">
        <f t="shared" ca="1" si="10"/>
        <v>1.1129728481409242</v>
      </c>
      <c r="Q83" s="84">
        <f t="shared" ca="1" si="11"/>
        <v>1.3010088085904206</v>
      </c>
    </row>
    <row r="84" spans="1:17" ht="15" customHeight="1" x14ac:dyDescent="0.2">
      <c r="A84" s="15">
        <v>45</v>
      </c>
      <c r="B84" s="84">
        <f t="shared" ca="1" si="14"/>
        <v>0.48152491550384069</v>
      </c>
      <c r="C84" s="84">
        <f t="shared" ca="1" si="14"/>
        <v>0.31845418061278274</v>
      </c>
      <c r="D84" s="84">
        <f t="shared" ca="1" si="14"/>
        <v>1.2992576262556454E-2</v>
      </c>
      <c r="F84" s="84">
        <f t="shared" ca="1" si="15"/>
        <v>0.53573430745992467</v>
      </c>
      <c r="G84" s="84">
        <f t="shared" ca="1" si="15"/>
        <v>0.56338622259069993</v>
      </c>
      <c r="H84" s="84">
        <f t="shared" ca="1" si="15"/>
        <v>0.54763103470886099</v>
      </c>
      <c r="J84" s="85">
        <f t="shared" ca="1" si="5"/>
        <v>137745657.34606755</v>
      </c>
      <c r="K84" s="86">
        <f ca="1">IF(J84&gt;0,MIN(99,$B$12*Q84/(J84*12*(1-Inputs!$H$16))),99)</f>
        <v>3.6991351765684581</v>
      </c>
      <c r="L84" s="84">
        <f t="shared" ca="1" si="6"/>
        <v>1.0079975203893756</v>
      </c>
      <c r="M84" s="84">
        <f t="shared" ca="1" si="7"/>
        <v>1.0029042550759462</v>
      </c>
      <c r="N84" s="84">
        <f t="shared" ca="1" si="8"/>
        <v>0.94989500093243651</v>
      </c>
      <c r="O84" s="84">
        <f t="shared" ca="1" si="9"/>
        <v>1.0259850516544011</v>
      </c>
      <c r="P84" s="84">
        <f t="shared" ca="1" si="10"/>
        <v>1.234429960459241</v>
      </c>
      <c r="Q84" s="84">
        <f t="shared" ca="1" si="11"/>
        <v>1.1179131357473302</v>
      </c>
    </row>
    <row r="85" spans="1:17" ht="15" customHeight="1" x14ac:dyDescent="0.2">
      <c r="A85" s="15">
        <v>46</v>
      </c>
      <c r="B85" s="84">
        <f t="shared" ca="1" si="14"/>
        <v>0.89513363237509624</v>
      </c>
      <c r="C85" s="84">
        <f t="shared" ca="1" si="14"/>
        <v>0.23242508222031999</v>
      </c>
      <c r="D85" s="84">
        <f t="shared" ca="1" si="14"/>
        <v>0.27642026819352938</v>
      </c>
      <c r="F85" s="84">
        <f t="shared" ca="1" si="15"/>
        <v>0.59317040313142855</v>
      </c>
      <c r="G85" s="84">
        <f t="shared" ca="1" si="15"/>
        <v>0.8848731036034615</v>
      </c>
      <c r="H85" s="84">
        <f t="shared" ca="1" si="15"/>
        <v>0.82188923305938144</v>
      </c>
      <c r="J85" s="85">
        <f t="shared" ca="1" si="5"/>
        <v>227996042.96145672</v>
      </c>
      <c r="K85" s="86">
        <f ca="1">IF(J85&gt;0,MIN(99,$B$12*Q85/(J85*12*(1-Inputs!$H$16))),99)</f>
        <v>2.5280696403882312</v>
      </c>
      <c r="L85" s="84">
        <f t="shared" ca="1" si="6"/>
        <v>1.1549203366575993</v>
      </c>
      <c r="M85" s="84">
        <f t="shared" ca="1" si="7"/>
        <v>1.0678830779201496</v>
      </c>
      <c r="N85" s="84">
        <f t="shared" ca="1" si="8"/>
        <v>0.98949550660893837</v>
      </c>
      <c r="O85" s="84">
        <f t="shared" ca="1" si="9"/>
        <v>1.0314706793837569</v>
      </c>
      <c r="P85" s="84">
        <f t="shared" ca="1" si="10"/>
        <v>1.5401160857495697</v>
      </c>
      <c r="Q85" s="84">
        <f t="shared" ca="1" si="11"/>
        <v>1.2645799280164556</v>
      </c>
    </row>
    <row r="86" spans="1:17" ht="15" customHeight="1" x14ac:dyDescent="0.2">
      <c r="A86" s="15">
        <v>47</v>
      </c>
      <c r="B86" s="84">
        <f t="shared" ca="1" si="14"/>
        <v>0.1619807151690793</v>
      </c>
      <c r="C86" s="84">
        <f t="shared" ca="1" si="14"/>
        <v>0.48009552010474621</v>
      </c>
      <c r="D86" s="84">
        <f t="shared" ca="1" si="14"/>
        <v>0.27671497730442185</v>
      </c>
      <c r="F86" s="84">
        <f t="shared" ca="1" si="15"/>
        <v>0.47813692725674495</v>
      </c>
      <c r="G86" s="84">
        <f t="shared" ca="1" si="15"/>
        <v>8.073956972278129E-2</v>
      </c>
      <c r="H86" s="84">
        <f t="shared" ca="1" si="15"/>
        <v>7.8704896208874331E-2</v>
      </c>
      <c r="J86" s="85">
        <f t="shared" ca="1" si="5"/>
        <v>73428804.482390031</v>
      </c>
      <c r="K86" s="86">
        <f ca="1">IF(J86&gt;0,MIN(99,$B$12*Q86/(J86*12*(1-Inputs!$H$16))),99)</f>
        <v>5.7924871446800639</v>
      </c>
      <c r="L86" s="84">
        <f t="shared" ca="1" si="6"/>
        <v>0.90999196441463259</v>
      </c>
      <c r="M86" s="84">
        <f t="shared" ca="1" si="7"/>
        <v>0.95909498999802367</v>
      </c>
      <c r="N86" s="84">
        <f t="shared" ca="1" si="8"/>
        <v>0.98952245339475708</v>
      </c>
      <c r="O86" s="84">
        <f t="shared" ca="1" si="9"/>
        <v>1.0208154246725865</v>
      </c>
      <c r="P86" s="84">
        <f t="shared" ca="1" si="10"/>
        <v>0.93991330238753934</v>
      </c>
      <c r="Q86" s="84">
        <f t="shared" ca="1" si="11"/>
        <v>0.93317152341670595</v>
      </c>
    </row>
    <row r="87" spans="1:17" ht="15" customHeight="1" x14ac:dyDescent="0.2">
      <c r="A87" s="15">
        <v>48</v>
      </c>
      <c r="B87" s="84">
        <f t="shared" ca="1" si="14"/>
        <v>2.2491711374968415E-2</v>
      </c>
      <c r="C87" s="84">
        <f t="shared" ca="1" si="14"/>
        <v>0.37760449311504396</v>
      </c>
      <c r="D87" s="84">
        <f t="shared" ca="1" si="14"/>
        <v>2.5776167020502005E-2</v>
      </c>
      <c r="F87" s="84">
        <f t="shared" ca="1" si="15"/>
        <v>0.6087135708663981</v>
      </c>
      <c r="G87" s="84">
        <f t="shared" ca="1" si="15"/>
        <v>0.20605360291695973</v>
      </c>
      <c r="H87" s="84">
        <f t="shared" ca="1" si="15"/>
        <v>0.41499509839051307</v>
      </c>
      <c r="J87" s="85">
        <f t="shared" ca="1" si="5"/>
        <v>20687894.942629591</v>
      </c>
      <c r="K87" s="86">
        <f ca="1">IF(J87&gt;0,MIN(99,$B$12*Q87/(J87*12*(1-Inputs!$H$16))),99)</f>
        <v>23.439819691567322</v>
      </c>
      <c r="L87" s="84">
        <f t="shared" ca="1" si="6"/>
        <v>0.82530226167563392</v>
      </c>
      <c r="M87" s="84">
        <f t="shared" ca="1" si="7"/>
        <v>0.92120576491697803</v>
      </c>
      <c r="N87" s="84">
        <f t="shared" ca="1" si="8"/>
        <v>0.9543731638682571</v>
      </c>
      <c r="O87" s="84">
        <f t="shared" ca="1" si="9"/>
        <v>1.0330207981263704</v>
      </c>
      <c r="P87" s="84">
        <f t="shared" ca="1" si="10"/>
        <v>1.015462754453724</v>
      </c>
      <c r="Q87" s="84">
        <f t="shared" ca="1" si="11"/>
        <v>1.063899268095934</v>
      </c>
    </row>
    <row r="88" spans="1:17" ht="15" customHeight="1" x14ac:dyDescent="0.2">
      <c r="A88" s="15">
        <v>49</v>
      </c>
      <c r="B88" s="84">
        <f t="shared" ca="1" si="14"/>
        <v>0.80533964153064641</v>
      </c>
      <c r="C88" s="84">
        <f t="shared" ca="1" si="14"/>
        <v>0.21267224943935814</v>
      </c>
      <c r="D88" s="84">
        <f t="shared" ca="1" si="14"/>
        <v>0.86092413948866153</v>
      </c>
      <c r="F88" s="84">
        <f t="shared" ca="1" si="15"/>
        <v>0.13797481473688633</v>
      </c>
      <c r="G88" s="84">
        <f t="shared" ca="1" si="15"/>
        <v>0.18943082869385253</v>
      </c>
      <c r="H88" s="84">
        <f t="shared" ca="1" si="15"/>
        <v>0.36688670859521522</v>
      </c>
      <c r="J88" s="85">
        <f t="shared" ca="1" si="5"/>
        <v>206431936.30199194</v>
      </c>
      <c r="K88" s="86">
        <f ca="1">IF(J88&gt;0,MIN(99,$B$12*Q88/(J88*12*(1-Inputs!$H$16))),99)</f>
        <v>2.3092127856861828</v>
      </c>
      <c r="L88" s="84">
        <f t="shared" ca="1" si="6"/>
        <v>1.1113974349542888</v>
      </c>
      <c r="M88" s="84">
        <f t="shared" ca="1" si="7"/>
        <v>1.0486344207593574</v>
      </c>
      <c r="N88" s="84">
        <f t="shared" ca="1" si="8"/>
        <v>1.0467536418428744</v>
      </c>
      <c r="O88" s="84">
        <f t="shared" ca="1" si="9"/>
        <v>0.99417145482080604</v>
      </c>
      <c r="P88" s="84">
        <f t="shared" ca="1" si="10"/>
        <v>1.0066387499283642</v>
      </c>
      <c r="Q88" s="84">
        <f t="shared" ca="1" si="11"/>
        <v>1.0458533240507333</v>
      </c>
    </row>
    <row r="89" spans="1:17" ht="15" customHeight="1" x14ac:dyDescent="0.2">
      <c r="A89" s="15">
        <v>50</v>
      </c>
      <c r="B89" s="84">
        <f t="shared" ca="1" si="14"/>
        <v>0.84854135463113545</v>
      </c>
      <c r="C89" s="84">
        <f t="shared" ca="1" si="14"/>
        <v>0.71410342404795102</v>
      </c>
      <c r="D89" s="84">
        <f t="shared" ca="1" si="14"/>
        <v>0.15430566805869395</v>
      </c>
      <c r="F89" s="84">
        <f t="shared" ca="1" si="15"/>
        <v>0.43052184315124564</v>
      </c>
      <c r="G89" s="84">
        <f t="shared" ca="1" si="15"/>
        <v>0.85355738079064258</v>
      </c>
      <c r="H89" s="84">
        <f t="shared" ca="1" si="15"/>
        <v>0.56240419903020122</v>
      </c>
      <c r="J89" s="85">
        <f t="shared" ca="1" si="5"/>
        <v>215921759.42065483</v>
      </c>
      <c r="K89" s="86">
        <f ca="1">IF(J89&gt;0,MIN(99,$B$12*Q89/(J89*12*(1-Inputs!$H$16))),99)</f>
        <v>2.3735187920435727</v>
      </c>
      <c r="L89" s="84">
        <f t="shared" ca="1" si="6"/>
        <v>1.1306893498794393</v>
      </c>
      <c r="M89" s="84">
        <f t="shared" ca="1" si="7"/>
        <v>1.0571665599742652</v>
      </c>
      <c r="N89" s="84">
        <f t="shared" ca="1" si="8"/>
        <v>0.97671060808967947</v>
      </c>
      <c r="O89" s="84">
        <f t="shared" ca="1" si="9"/>
        <v>1.0167537461734333</v>
      </c>
      <c r="P89" s="84">
        <f t="shared" ca="1" si="10"/>
        <v>1.4988703014526734</v>
      </c>
      <c r="Q89" s="84">
        <f t="shared" ca="1" si="11"/>
        <v>1.1243953123256494</v>
      </c>
    </row>
    <row r="90" spans="1:17" ht="15" customHeight="1" x14ac:dyDescent="0.2">
      <c r="A90" s="15">
        <v>51</v>
      </c>
      <c r="B90" s="84">
        <f t="shared" ca="1" si="14"/>
        <v>0.46690757136029049</v>
      </c>
      <c r="C90" s="84">
        <f t="shared" ca="1" si="14"/>
        <v>0.78460177193334379</v>
      </c>
      <c r="D90" s="84">
        <f t="shared" ca="1" si="14"/>
        <v>0.65396090057891798</v>
      </c>
      <c r="F90" s="84">
        <f t="shared" ca="1" si="15"/>
        <v>3.3523673133182386E-2</v>
      </c>
      <c r="G90" s="84">
        <f t="shared" ca="1" si="15"/>
        <v>0.84085209624515544</v>
      </c>
      <c r="H90" s="84">
        <f t="shared" ca="1" si="15"/>
        <v>0.47999482306165364</v>
      </c>
      <c r="J90" s="85">
        <f t="shared" ca="1" si="5"/>
        <v>117514748.95844384</v>
      </c>
      <c r="K90" s="86">
        <f ca="1">IF(J90&gt;0,MIN(99,$B$12*Q90/(J90*12*(1-Inputs!$H$16))),99)</f>
        <v>4.2257798073549617</v>
      </c>
      <c r="L90" s="84">
        <f t="shared" ca="1" si="6"/>
        <v>1.0042598867216754</v>
      </c>
      <c r="M90" s="84">
        <f t="shared" ca="1" si="7"/>
        <v>1.0012512304326759</v>
      </c>
      <c r="N90" s="84">
        <f t="shared" ca="1" si="8"/>
        <v>1.0215604906140319</v>
      </c>
      <c r="O90" s="84">
        <f t="shared" ca="1" si="9"/>
        <v>0.98185661120696344</v>
      </c>
      <c r="P90" s="84">
        <f t="shared" ca="1" si="10"/>
        <v>1.48341289197724</v>
      </c>
      <c r="Q90" s="84">
        <f t="shared" ca="1" si="11"/>
        <v>1.0895048856987528</v>
      </c>
    </row>
    <row r="91" spans="1:17" ht="15" customHeight="1" x14ac:dyDescent="0.2">
      <c r="A91" s="15">
        <v>52</v>
      </c>
      <c r="B91" s="84">
        <f t="shared" ca="1" si="14"/>
        <v>0.22993684794751246</v>
      </c>
      <c r="C91" s="84">
        <f t="shared" ca="1" si="14"/>
        <v>0.2199112375279263</v>
      </c>
      <c r="D91" s="84">
        <f t="shared" ca="1" si="14"/>
        <v>0.41699033717750622</v>
      </c>
      <c r="F91" s="84">
        <f t="shared" ca="1" si="15"/>
        <v>0.88977164818996146</v>
      </c>
      <c r="G91" s="84">
        <f t="shared" ca="1" si="15"/>
        <v>0.59857044701495044</v>
      </c>
      <c r="H91" s="84">
        <f t="shared" ca="1" si="15"/>
        <v>0.43660875918652753</v>
      </c>
      <c r="J91" s="85">
        <f t="shared" ca="1" si="5"/>
        <v>68121626.615254268</v>
      </c>
      <c r="K91" s="86">
        <f ca="1">IF(J91&gt;0,MIN(99,$B$12*Q91/(J91*12*(1-Inputs!$H$16))),99)</f>
        <v>7.1743125619487067</v>
      </c>
      <c r="L91" s="84">
        <f t="shared" ca="1" si="6"/>
        <v>0.93583499430812678</v>
      </c>
      <c r="M91" s="84">
        <f t="shared" ca="1" si="7"/>
        <v>0.97065687231361586</v>
      </c>
      <c r="N91" s="84">
        <f t="shared" ca="1" si="8"/>
        <v>1.0010500354693974</v>
      </c>
      <c r="O91" s="84">
        <f t="shared" ca="1" si="9"/>
        <v>1.0700031097632601</v>
      </c>
      <c r="P91" s="84">
        <f t="shared" ca="1" si="10"/>
        <v>1.2602786692168488</v>
      </c>
      <c r="Q91" s="84">
        <f t="shared" ca="1" si="11"/>
        <v>1.07224799924838</v>
      </c>
    </row>
    <row r="92" spans="1:17" ht="15" customHeight="1" x14ac:dyDescent="0.2">
      <c r="A92" s="15">
        <v>53</v>
      </c>
      <c r="B92" s="84">
        <f t="shared" ca="1" si="14"/>
        <v>0.27517913851474096</v>
      </c>
      <c r="C92" s="84">
        <f t="shared" ca="1" si="14"/>
        <v>0.30564385631885982</v>
      </c>
      <c r="D92" s="84">
        <f t="shared" ca="1" si="14"/>
        <v>0.72694037528815625</v>
      </c>
      <c r="F92" s="84">
        <f t="shared" ca="1" si="15"/>
        <v>0.47808900008601041</v>
      </c>
      <c r="G92" s="84">
        <f t="shared" ca="1" si="15"/>
        <v>4.7383735208122224E-2</v>
      </c>
      <c r="H92" s="84">
        <f t="shared" ca="1" si="15"/>
        <v>0.56250461500395788</v>
      </c>
      <c r="J92" s="85">
        <f t="shared" ca="1" si="5"/>
        <v>94041977.454668745</v>
      </c>
      <c r="K92" s="86">
        <f ca="1">IF(J92&gt;0,MIN(99,$B$12*Q92/(J92*12*(1-Inputs!$H$16))),99)</f>
        <v>5.4498493048619512</v>
      </c>
      <c r="L92" s="84">
        <f t="shared" ca="1" si="6"/>
        <v>0.95094787035627437</v>
      </c>
      <c r="M92" s="84">
        <f t="shared" ca="1" si="7"/>
        <v>0.97741820390046685</v>
      </c>
      <c r="N92" s="84">
        <f t="shared" ca="1" si="8"/>
        <v>1.029247509404525</v>
      </c>
      <c r="O92" s="84">
        <f t="shared" ca="1" si="9"/>
        <v>1.0208112452489251</v>
      </c>
      <c r="P92" s="84">
        <f t="shared" ca="1" si="10"/>
        <v>0.91062003483333065</v>
      </c>
      <c r="Q92" s="84">
        <f t="shared" ca="1" si="11"/>
        <v>1.1244397442297553</v>
      </c>
    </row>
    <row r="93" spans="1:17" ht="15" customHeight="1" x14ac:dyDescent="0.2">
      <c r="A93" s="15">
        <v>54</v>
      </c>
      <c r="B93" s="84">
        <f t="shared" ca="1" si="14"/>
        <v>0.37231377816211819</v>
      </c>
      <c r="C93" s="84">
        <f t="shared" ca="1" si="14"/>
        <v>0.93519777064200582</v>
      </c>
      <c r="D93" s="84">
        <f t="shared" ca="1" si="14"/>
        <v>0.83067631117038754</v>
      </c>
      <c r="F93" s="84">
        <f t="shared" ca="1" si="15"/>
        <v>1.7813284191703027E-2</v>
      </c>
      <c r="G93" s="84">
        <f t="shared" ca="1" si="15"/>
        <v>0.33611224113358162</v>
      </c>
      <c r="H93" s="84">
        <f t="shared" ca="1" si="15"/>
        <v>0.63265510868649621</v>
      </c>
      <c r="J93" s="85">
        <f t="shared" ca="1" si="5"/>
        <v>111348125.22261558</v>
      </c>
      <c r="K93" s="86">
        <f ca="1">IF(J93&gt;0,MIN(99,$B$12*Q93/(J93*12*(1-Inputs!$H$16))),99)</f>
        <v>4.7354289048219664</v>
      </c>
      <c r="L93" s="84">
        <f t="shared" ca="1" si="6"/>
        <v>0.9796589847605971</v>
      </c>
      <c r="M93" s="84">
        <f t="shared" ca="1" si="7"/>
        <v>0.9902632351239864</v>
      </c>
      <c r="N93" s="84">
        <f t="shared" ca="1" si="8"/>
        <v>1.0422419409982926</v>
      </c>
      <c r="O93" s="84">
        <f t="shared" ca="1" si="9"/>
        <v>0.97861186055753568</v>
      </c>
      <c r="P93" s="84">
        <f t="shared" ca="1" si="10"/>
        <v>1.0879642334949686</v>
      </c>
      <c r="Q93" s="84">
        <f t="shared" ca="1" si="11"/>
        <v>1.1568370021071614</v>
      </c>
    </row>
    <row r="94" spans="1:17" ht="15" customHeight="1" x14ac:dyDescent="0.2">
      <c r="A94" s="15">
        <v>55</v>
      </c>
      <c r="B94" s="84">
        <f t="shared" ca="1" si="14"/>
        <v>0.75663280866817406</v>
      </c>
      <c r="C94" s="84">
        <f t="shared" ca="1" si="14"/>
        <v>0.34699940871132229</v>
      </c>
      <c r="D94" s="84">
        <f t="shared" ca="1" si="14"/>
        <v>0.74377474863266324</v>
      </c>
      <c r="F94" s="84">
        <f t="shared" ca="1" si="15"/>
        <v>0.36274330620422379</v>
      </c>
      <c r="G94" s="84">
        <f t="shared" ca="1" si="15"/>
        <v>0.59169331233062628</v>
      </c>
      <c r="H94" s="84">
        <f t="shared" ca="1" si="15"/>
        <v>0.99645487012114897</v>
      </c>
      <c r="J94" s="85">
        <f t="shared" ca="1" si="5"/>
        <v>183232800.42140919</v>
      </c>
      <c r="K94" s="86">
        <f ca="1">IF(J94&gt;0,MIN(99,$B$12*Q94/(J94*12*(1-Inputs!$H$16))),99)</f>
        <v>3.6735039073188078</v>
      </c>
      <c r="L94" s="84">
        <f t="shared" ca="1" si="6"/>
        <v>1.0920710826355602</v>
      </c>
      <c r="M94" s="84">
        <f t="shared" ca="1" si="7"/>
        <v>1.0400870510897566</v>
      </c>
      <c r="N94" s="84">
        <f t="shared" ca="1" si="8"/>
        <v>1.0311621444221839</v>
      </c>
      <c r="O94" s="84">
        <f t="shared" ca="1" si="9"/>
        <v>1.0112545959710775</v>
      </c>
      <c r="P94" s="84">
        <f t="shared" ca="1" si="10"/>
        <v>1.2551397946878291</v>
      </c>
      <c r="Q94" s="84">
        <f t="shared" ca="1" si="11"/>
        <v>1.4767727388116372</v>
      </c>
    </row>
    <row r="95" spans="1:17" ht="15" customHeight="1" x14ac:dyDescent="0.2">
      <c r="A95" s="15">
        <v>56</v>
      </c>
      <c r="B95" s="84">
        <f t="shared" ca="1" si="14"/>
        <v>0.39263201553938498</v>
      </c>
      <c r="C95" s="84">
        <f t="shared" ca="1" si="14"/>
        <v>0.82607527075954235</v>
      </c>
      <c r="D95" s="84">
        <f t="shared" ca="1" si="14"/>
        <v>0.15869120860009756</v>
      </c>
      <c r="F95" s="84">
        <f t="shared" ca="1" si="15"/>
        <v>0.65787187288101467</v>
      </c>
      <c r="G95" s="84">
        <f t="shared" ca="1" si="15"/>
        <v>0.62973269074323557</v>
      </c>
      <c r="H95" s="84">
        <f t="shared" ca="1" si="15"/>
        <v>0.18203168226692834</v>
      </c>
      <c r="J95" s="85">
        <f t="shared" ca="1" si="5"/>
        <v>111601941.62841426</v>
      </c>
      <c r="K95" s="86">
        <f ca="1">IF(J95&gt;0,MIN(99,$B$12*Q95/(J95*12*(1-Inputs!$H$16))),99)</f>
        <v>4.0053746388026576</v>
      </c>
      <c r="L95" s="84">
        <f t="shared" ca="1" si="6"/>
        <v>0.98516922169571075</v>
      </c>
      <c r="M95" s="84">
        <f t="shared" ca="1" si="7"/>
        <v>0.99272845345315963</v>
      </c>
      <c r="N95" s="84">
        <f t="shared" ca="1" si="8"/>
        <v>0.97724368865016142</v>
      </c>
      <c r="O95" s="84">
        <f t="shared" ca="1" si="9"/>
        <v>1.0381376667561935</v>
      </c>
      <c r="P95" s="84">
        <f t="shared" ca="1" si="10"/>
        <v>1.2841360239042605</v>
      </c>
      <c r="Q95" s="84">
        <f t="shared" ca="1" si="11"/>
        <v>0.98071955615676254</v>
      </c>
    </row>
    <row r="96" spans="1:17" ht="15" customHeight="1" x14ac:dyDescent="0.2">
      <c r="A96" s="15">
        <v>57</v>
      </c>
      <c r="B96" s="84">
        <f t="shared" ca="1" si="14"/>
        <v>0.44373828704325347</v>
      </c>
      <c r="C96" s="84">
        <f t="shared" ca="1" si="14"/>
        <v>0.81748868330606983</v>
      </c>
      <c r="D96" s="84">
        <f t="shared" ca="1" si="14"/>
        <v>0.60965804193642803</v>
      </c>
      <c r="F96" s="84">
        <f t="shared" ca="1" si="15"/>
        <v>0.45316682239562034</v>
      </c>
      <c r="G96" s="84">
        <f t="shared" ca="1" si="15"/>
        <v>0.52878350272764851</v>
      </c>
      <c r="H96" s="84">
        <f t="shared" ca="1" si="15"/>
        <v>0.99940021143452529</v>
      </c>
      <c r="J96" s="85">
        <f t="shared" ca="1" si="5"/>
        <v>118497759.91689165</v>
      </c>
      <c r="K96" s="86">
        <f ca="1">IF(J96&gt;0,MIN(99,$B$12*Q96/(J96*12*(1-Inputs!$H$16))),99)</f>
        <v>5.7592501871246249</v>
      </c>
      <c r="L96" s="84">
        <f t="shared" ca="1" si="6"/>
        <v>0.99842908783854889</v>
      </c>
      <c r="M96" s="84">
        <f t="shared" ca="1" si="7"/>
        <v>0.99866076914895174</v>
      </c>
      <c r="N96" s="84">
        <f t="shared" ca="1" si="8"/>
        <v>1.0172872627081058</v>
      </c>
      <c r="O96" s="84">
        <f t="shared" ca="1" si="9"/>
        <v>1.0186633332179484</v>
      </c>
      <c r="P96" s="84">
        <f t="shared" ca="1" si="10"/>
        <v>1.2100060513751731</v>
      </c>
      <c r="Q96" s="84">
        <f t="shared" ca="1" si="11"/>
        <v>1.4972903550023497</v>
      </c>
    </row>
    <row r="97" spans="1:17" ht="15" customHeight="1" x14ac:dyDescent="0.2">
      <c r="A97" s="15">
        <v>58</v>
      </c>
      <c r="B97" s="84">
        <f t="shared" ca="1" si="14"/>
        <v>0.23340485033616898</v>
      </c>
      <c r="C97" s="84">
        <f t="shared" ca="1" si="14"/>
        <v>0.92920794153684838</v>
      </c>
      <c r="D97" s="84">
        <f t="shared" ca="1" si="14"/>
        <v>0.33817537240147755</v>
      </c>
      <c r="F97" s="84">
        <f t="shared" ca="1" si="15"/>
        <v>0.88493133116596845</v>
      </c>
      <c r="G97" s="84">
        <f t="shared" ca="1" si="15"/>
        <v>0.7685482114094937</v>
      </c>
      <c r="H97" s="84">
        <f t="shared" ca="1" si="15"/>
        <v>0.65600676279750259</v>
      </c>
      <c r="J97" s="85">
        <f t="shared" ca="1" si="5"/>
        <v>64860625.728047773</v>
      </c>
      <c r="K97" s="86">
        <f ca="1">IF(J97&gt;0,MIN(99,$B$12*Q97/(J97*12*(1-Inputs!$H$16))),99)</f>
        <v>8.2099950618212834</v>
      </c>
      <c r="L97" s="84">
        <f t="shared" ca="1" si="6"/>
        <v>0.93704334501243491</v>
      </c>
      <c r="M97" s="84">
        <f t="shared" ca="1" si="7"/>
        <v>0.97119747489376029</v>
      </c>
      <c r="N97" s="84">
        <f t="shared" ca="1" si="8"/>
        <v>0.99485911879433342</v>
      </c>
      <c r="O97" s="84">
        <f t="shared" ca="1" si="9"/>
        <v>1.0690945384894539</v>
      </c>
      <c r="P97" s="84">
        <f t="shared" ca="1" si="10"/>
        <v>1.405284554352261</v>
      </c>
      <c r="Q97" s="84">
        <f t="shared" ca="1" si="11"/>
        <v>1.1682989098070253</v>
      </c>
    </row>
    <row r="98" spans="1:17" ht="15" customHeight="1" x14ac:dyDescent="0.2">
      <c r="A98" s="15">
        <v>59</v>
      </c>
      <c r="B98" s="84">
        <f t="shared" ca="1" si="14"/>
        <v>0.84692367190994766</v>
      </c>
      <c r="C98" s="84">
        <f t="shared" ca="1" si="14"/>
        <v>5.9890709100645978E-2</v>
      </c>
      <c r="D98" s="84">
        <f t="shared" ca="1" si="14"/>
        <v>0.30752395910666541</v>
      </c>
      <c r="F98" s="84">
        <f t="shared" ca="1" si="15"/>
        <v>0.62192398699180507</v>
      </c>
      <c r="G98" s="84">
        <f t="shared" ca="1" si="15"/>
        <v>0.65207368455812498</v>
      </c>
      <c r="H98" s="84">
        <f t="shared" ca="1" si="15"/>
        <v>0.69696114525837716</v>
      </c>
      <c r="J98" s="85">
        <f t="shared" ca="1" si="5"/>
        <v>216036881.43072063</v>
      </c>
      <c r="K98" s="86">
        <f ca="1">IF(J98&gt;0,MIN(99,$B$12*Q98/(J98*12*(1-Inputs!$H$16))),99)</f>
        <v>2.5093672534448568</v>
      </c>
      <c r="L98" s="84">
        <f t="shared" ca="1" si="6"/>
        <v>1.1299207281780674</v>
      </c>
      <c r="M98" s="84">
        <f t="shared" ca="1" si="7"/>
        <v>1.0568266254791594</v>
      </c>
      <c r="N98" s="84">
        <f t="shared" ca="1" si="8"/>
        <v>0.99226442072508036</v>
      </c>
      <c r="O98" s="84">
        <f t="shared" ca="1" si="9"/>
        <v>1.0343626509101296</v>
      </c>
      <c r="P98" s="84">
        <f t="shared" ca="1" si="10"/>
        <v>1.3018641414447119</v>
      </c>
      <c r="Q98" s="84">
        <f t="shared" ca="1" si="11"/>
        <v>1.189383932151042</v>
      </c>
    </row>
    <row r="99" spans="1:17" ht="15" customHeight="1" x14ac:dyDescent="0.2">
      <c r="A99" s="15">
        <v>60</v>
      </c>
      <c r="B99" s="84">
        <f t="shared" ca="1" si="14"/>
        <v>6.6668253741020034E-2</v>
      </c>
      <c r="C99" s="84">
        <f t="shared" ca="1" si="14"/>
        <v>0.15288230553965843</v>
      </c>
      <c r="D99" s="84">
        <f t="shared" ca="1" si="14"/>
        <v>0.5658270595414181</v>
      </c>
      <c r="F99" s="84">
        <f t="shared" ca="1" si="15"/>
        <v>0.49695730120872617</v>
      </c>
      <c r="G99" s="84">
        <f t="shared" ca="1" si="15"/>
        <v>0.96720105178436799</v>
      </c>
      <c r="H99" s="84">
        <f t="shared" ca="1" si="15"/>
        <v>0.19842299434978439</v>
      </c>
      <c r="J99" s="85">
        <f t="shared" ca="1" si="5"/>
        <v>8980362.5158207715</v>
      </c>
      <c r="K99" s="86">
        <f ca="1">IF(J99&gt;0,MIN(99,$B$12*Q99/(J99*12*(1-Inputs!$H$16))),99)</f>
        <v>50.086562421484068</v>
      </c>
      <c r="L99" s="84">
        <f t="shared" ca="1" si="6"/>
        <v>0.86160357120733966</v>
      </c>
      <c r="M99" s="84">
        <f t="shared" ca="1" si="7"/>
        <v>0.93744656448410346</v>
      </c>
      <c r="N99" s="84">
        <f t="shared" ca="1" si="8"/>
        <v>1.0132922848814889</v>
      </c>
      <c r="O99" s="84">
        <f t="shared" ca="1" si="9"/>
        <v>1.0224717378003025</v>
      </c>
      <c r="P99" s="84">
        <f t="shared" ca="1" si="10"/>
        <v>1.6905502211707719</v>
      </c>
      <c r="Q99" s="84">
        <f t="shared" ca="1" si="11"/>
        <v>0.98683611701210161</v>
      </c>
    </row>
    <row r="100" spans="1:17" ht="15" customHeight="1" x14ac:dyDescent="0.2">
      <c r="A100" s="15">
        <v>61</v>
      </c>
      <c r="B100" s="84">
        <f t="shared" ref="B100:D119" ca="1" si="16">RAND()</f>
        <v>0.91691503121357487</v>
      </c>
      <c r="C100" s="84">
        <f t="shared" ca="1" si="16"/>
        <v>0.14175148109589319</v>
      </c>
      <c r="D100" s="84">
        <f t="shared" ca="1" si="16"/>
        <v>0.83026255645326774</v>
      </c>
      <c r="F100" s="84">
        <f t="shared" ref="F100:H119" ca="1" si="17">RAND()</f>
        <v>0.79076084356126375</v>
      </c>
      <c r="G100" s="84">
        <f t="shared" ca="1" si="17"/>
        <v>0.61423544387081097</v>
      </c>
      <c r="H100" s="84">
        <f t="shared" ca="1" si="17"/>
        <v>0.52070131381930007</v>
      </c>
      <c r="J100" s="85">
        <f t="shared" ca="1" si="5"/>
        <v>231676031.76782668</v>
      </c>
      <c r="K100" s="86">
        <f ca="1">IF(J100&gt;0,MIN(99,$B$12*Q100/(J100*12*(1-Inputs!$H$16))),99)</f>
        <v>2.1766410805230265</v>
      </c>
      <c r="L100" s="84">
        <f t="shared" ca="1" si="6"/>
        <v>1.1681160292273276</v>
      </c>
      <c r="M100" s="84">
        <f t="shared" ca="1" si="7"/>
        <v>1.0737190712095077</v>
      </c>
      <c r="N100" s="84">
        <f t="shared" ca="1" si="8"/>
        <v>1.0421831537838562</v>
      </c>
      <c r="O100" s="84">
        <f t="shared" ca="1" si="9"/>
        <v>1.0542008190929695</v>
      </c>
      <c r="P100" s="84">
        <f t="shared" ca="1" si="10"/>
        <v>1.2721510892220702</v>
      </c>
      <c r="Q100" s="84">
        <f t="shared" ca="1" si="11"/>
        <v>1.1063635744163232</v>
      </c>
    </row>
    <row r="101" spans="1:17" ht="15" customHeight="1" x14ac:dyDescent="0.2">
      <c r="A101" s="15">
        <v>62</v>
      </c>
      <c r="B101" s="84">
        <f t="shared" ca="1" si="16"/>
        <v>0.96160549877794188</v>
      </c>
      <c r="C101" s="84">
        <f t="shared" ca="1" si="16"/>
        <v>0.9692995158247576</v>
      </c>
      <c r="D101" s="84">
        <f t="shared" ca="1" si="16"/>
        <v>5.5591845363818893E-2</v>
      </c>
      <c r="F101" s="84">
        <f t="shared" ca="1" si="17"/>
        <v>0.91061050539183108</v>
      </c>
      <c r="G101" s="84">
        <f t="shared" ca="1" si="17"/>
        <v>0.54835927213741098</v>
      </c>
      <c r="H101" s="84">
        <f t="shared" ca="1" si="17"/>
        <v>0.63615456250867486</v>
      </c>
      <c r="J101" s="85">
        <f t="shared" ca="1" si="5"/>
        <v>278575345.21884835</v>
      </c>
      <c r="K101" s="86">
        <f ca="1">IF(J101&gt;0,MIN(99,$B$12*Q101/(J101*12*(1-Inputs!$H$16))),99)</f>
        <v>1.895549058936804</v>
      </c>
      <c r="L101" s="84">
        <f t="shared" ca="1" si="6"/>
        <v>1.202341594305731</v>
      </c>
      <c r="M101" s="84">
        <f t="shared" ca="1" si="7"/>
        <v>1.0888558415659395</v>
      </c>
      <c r="N101" s="84">
        <f t="shared" ca="1" si="8"/>
        <v>0.96160807348614885</v>
      </c>
      <c r="O101" s="84">
        <f t="shared" ca="1" si="9"/>
        <v>1.0741641903444015</v>
      </c>
      <c r="P101" s="84">
        <f t="shared" ca="1" si="10"/>
        <v>1.2237086952221641</v>
      </c>
      <c r="Q101" s="84">
        <f t="shared" ca="1" si="11"/>
        <v>1.1585309695782124</v>
      </c>
    </row>
    <row r="102" spans="1:17" ht="15" customHeight="1" x14ac:dyDescent="0.2">
      <c r="A102" s="15">
        <v>63</v>
      </c>
      <c r="B102" s="84">
        <f t="shared" ca="1" si="16"/>
        <v>0.36740260364562272</v>
      </c>
      <c r="C102" s="84">
        <f t="shared" ca="1" si="16"/>
        <v>3.695293086723006E-2</v>
      </c>
      <c r="D102" s="84">
        <f t="shared" ca="1" si="16"/>
        <v>0.2072135788909294</v>
      </c>
      <c r="F102" s="84">
        <f t="shared" ca="1" si="17"/>
        <v>0.22584946472479994</v>
      </c>
      <c r="G102" s="84">
        <f t="shared" ca="1" si="17"/>
        <v>0.48354544233031915</v>
      </c>
      <c r="H102" s="84">
        <f t="shared" ca="1" si="17"/>
        <v>0.45779070612538864</v>
      </c>
      <c r="J102" s="85">
        <f t="shared" ca="1" si="5"/>
        <v>115758247.92854737</v>
      </c>
      <c r="K102" s="86">
        <f ca="1">IF(J102&gt;0,MIN(99,$B$12*Q102/(J102*12*(1-Inputs!$H$16))),99)</f>
        <v>4.2547866330586794</v>
      </c>
      <c r="L102" s="84">
        <f t="shared" ca="1" si="6"/>
        <v>0.97830468000056603</v>
      </c>
      <c r="M102" s="84">
        <f t="shared" ca="1" si="7"/>
        <v>0.98965733433296244</v>
      </c>
      <c r="N102" s="84">
        <f t="shared" ca="1" si="8"/>
        <v>0.98271067543429003</v>
      </c>
      <c r="O102" s="84">
        <f t="shared" ca="1" si="9"/>
        <v>1.0009766081129978</v>
      </c>
      <c r="P102" s="84">
        <f t="shared" ca="1" si="10"/>
        <v>1.1793906366163658</v>
      </c>
      <c r="Q102" s="84">
        <f t="shared" ca="1" si="11"/>
        <v>1.0805868357745501</v>
      </c>
    </row>
    <row r="103" spans="1:17" ht="15" customHeight="1" x14ac:dyDescent="0.2">
      <c r="A103" s="15">
        <v>64</v>
      </c>
      <c r="B103" s="84">
        <f t="shared" ca="1" si="16"/>
        <v>0.91560377471594079</v>
      </c>
      <c r="C103" s="84">
        <f t="shared" ca="1" si="16"/>
        <v>0.14773710848165089</v>
      </c>
      <c r="D103" s="84">
        <f t="shared" ca="1" si="16"/>
        <v>0.23283246815673853</v>
      </c>
      <c r="F103" s="84">
        <f t="shared" ca="1" si="17"/>
        <v>0.21731298704285218</v>
      </c>
      <c r="G103" s="84">
        <f t="shared" ca="1" si="17"/>
        <v>0.82504912800134078</v>
      </c>
      <c r="H103" s="84">
        <f t="shared" ca="1" si="17"/>
        <v>0.90011875852304635</v>
      </c>
      <c r="J103" s="85">
        <f t="shared" ca="1" si="5"/>
        <v>246986412.03426868</v>
      </c>
      <c r="K103" s="86">
        <f ca="1">IF(J103&gt;0,MIN(99,$B$12*Q103/(J103*12*(1-Inputs!$H$16))),99)</f>
        <v>2.4481899544934413</v>
      </c>
      <c r="L103" s="84">
        <f t="shared" ca="1" si="6"/>
        <v>1.1672759034544353</v>
      </c>
      <c r="M103" s="84">
        <f t="shared" ca="1" si="7"/>
        <v>1.073347512964504</v>
      </c>
      <c r="N103" s="84">
        <f t="shared" ca="1" si="8"/>
        <v>0.98533806534696267</v>
      </c>
      <c r="O103" s="84">
        <f t="shared" ca="1" si="9"/>
        <v>1.0003670760581007</v>
      </c>
      <c r="P103" s="84">
        <f t="shared" ca="1" si="10"/>
        <v>1.4650241871779393</v>
      </c>
      <c r="Q103" s="84">
        <f t="shared" ca="1" si="11"/>
        <v>1.3266248074477183</v>
      </c>
    </row>
    <row r="104" spans="1:17" ht="15" customHeight="1" x14ac:dyDescent="0.2">
      <c r="A104" s="15">
        <v>65</v>
      </c>
      <c r="B104" s="84">
        <f t="shared" ca="1" si="16"/>
        <v>0.67614355324035225</v>
      </c>
      <c r="C104" s="84">
        <f t="shared" ca="1" si="16"/>
        <v>0.15886690124286718</v>
      </c>
      <c r="D104" s="84">
        <f t="shared" ca="1" si="16"/>
        <v>0.83626709820602241</v>
      </c>
      <c r="F104" s="84">
        <f t="shared" ca="1" si="17"/>
        <v>3.1648917519777831E-2</v>
      </c>
      <c r="G104" s="84">
        <f t="shared" ca="1" si="17"/>
        <v>6.616251402767237E-2</v>
      </c>
      <c r="H104" s="84">
        <f t="shared" ca="1" si="17"/>
        <v>2.599784688512885E-2</v>
      </c>
      <c r="J104" s="85">
        <f t="shared" ref="J104:J167" ca="1" si="18">$B$5*L104*M104-$B$6*L104*N104-$B$7*L104*M104-$B$8*L104*M104-$B$9*O104-$B$10*P104-$B$11</f>
        <v>176856018.75233787</v>
      </c>
      <c r="K104" s="86">
        <f ca="1">IF(J104&gt;0,MIN(99,$B$12*Q104/(J104*12*(1-Inputs!$H$16))),99)</f>
        <v>2.3049191111679779</v>
      </c>
      <c r="L104" s="84">
        <f t="shared" ref="L104:L167" ca="1" si="19">IF($D$16=$B$16,$C$16,IF(B104&lt;($C$16-$B$16)/($D$16-$B$16),$B$16+SQRT(B104*($D$16-$B$16)*($C$16-$B$16)),$D$16-SQRT((1-B104)*($D$16-$B$16)*($D$16-$C$16))))</f>
        <v>1.0639780546259427</v>
      </c>
      <c r="M104" s="84">
        <f t="shared" ref="M104:M167" ca="1" si="20">IF($D$17=$B$17,$C$17,IF(IF($B$33=1,B104,C104)&lt;($C$17-$B$17)/($D$17-$B$17),$B$17+SQRT(IF($B$33=1,B104,C104)*($D$17-$B$17)*($C$17-$B$17)),$D$17-SQRT((1-IF($B$33=1,B104,C104))*($D$17-$B$17)*($D$17-$C$17))))</f>
        <v>1.0276624873864473</v>
      </c>
      <c r="N104" s="84">
        <f t="shared" ref="N104:N167" ca="1" si="21">IF($D$18=$B$18,$C$18,IF(D104&lt;($C$18-$B$18)/($D$18-$B$18),$B$18+SQRT(D104*($D$18-$B$18)*($C$18-$B$18)),$D$18-SQRT((1-D104)*($D$18-$B$18)*($D$18-$C$18))))</f>
        <v>1.0430434494001022</v>
      </c>
      <c r="O104" s="84">
        <f t="shared" ref="O104:O167" ca="1" si="22">IF($D$19=$B$19,$C$19,IF(F104&lt;($C$19-$B$19)/($D$19-$B$19),$B$19+SQRT(F104*($D$19-$B$19)*($C$19-$B$19)),$D$19-SQRT((1-F104)*($D$19-$B$19)*($D$19-$C$19))))</f>
        <v>0.98151706875388911</v>
      </c>
      <c r="P104" s="84">
        <f t="shared" ref="P104:P167" ca="1" si="23">IF($D$20=$B$20,$C$20,IF(G104&lt;($C$20-$B$20)/($D$20-$B$20),$B$20+SQRT(G104*($D$20-$B$20)*($C$20-$B$20)),$D$20-SQRT((1-G104)*($D$20-$B$20)*($D$20-$C$20))))</f>
        <v>0.92804671651592985</v>
      </c>
      <c r="Q104" s="84">
        <f t="shared" ref="Q104:Q167" ca="1" si="24">IF($D$21=$B$21,$C$21,IF(H104&lt;($C$21-$B$21)/($D$21-$B$21),$B$21+SQRT(H104*($D$21-$B$21)*($C$21-$B$21)),$D$21-SQRT((1-H104)*($D$21-$B$21)*($D$21-$C$21))))</f>
        <v>0.89434580567787125</v>
      </c>
    </row>
    <row r="105" spans="1:17" ht="15" customHeight="1" x14ac:dyDescent="0.2">
      <c r="A105" s="15">
        <v>66</v>
      </c>
      <c r="B105" s="84">
        <f t="shared" ca="1" si="16"/>
        <v>1.0786215119293119E-2</v>
      </c>
      <c r="C105" s="84">
        <f t="shared" ca="1" si="16"/>
        <v>0.35432275466076091</v>
      </c>
      <c r="D105" s="84">
        <f t="shared" ca="1" si="16"/>
        <v>0.13985986139098394</v>
      </c>
      <c r="F105" s="84">
        <f t="shared" ca="1" si="17"/>
        <v>0.33403392652346231</v>
      </c>
      <c r="G105" s="84">
        <f t="shared" ca="1" si="17"/>
        <v>0.31137306036010126</v>
      </c>
      <c r="H105" s="84">
        <f t="shared" ca="1" si="17"/>
        <v>0.15769051413621615</v>
      </c>
      <c r="J105" s="85">
        <f t="shared" ca="1" si="18"/>
        <v>9367458.9534306228</v>
      </c>
      <c r="K105" s="86">
        <f ca="1">IF(J105&gt;0,MIN(99,$B$12*Q105/(J105*12*(1-Inputs!$H$16))),99)</f>
        <v>47.251295560561189</v>
      </c>
      <c r="L105" s="84">
        <f t="shared" ca="1" si="19"/>
        <v>0.80983459775740885</v>
      </c>
      <c r="M105" s="84">
        <f t="shared" ca="1" si="20"/>
        <v>0.91428570520816388</v>
      </c>
      <c r="N105" s="84">
        <f t="shared" ca="1" si="21"/>
        <v>0.97489882583304233</v>
      </c>
      <c r="O105" s="84">
        <f t="shared" ca="1" si="22"/>
        <v>1.0090139219083125</v>
      </c>
      <c r="P105" s="84">
        <f t="shared" ca="1" si="23"/>
        <v>1.0736601235628118</v>
      </c>
      <c r="Q105" s="84">
        <f t="shared" ca="1" si="24"/>
        <v>0.97110336924202711</v>
      </c>
    </row>
    <row r="106" spans="1:17" ht="15" customHeight="1" x14ac:dyDescent="0.2">
      <c r="A106" s="15">
        <v>67</v>
      </c>
      <c r="B106" s="84">
        <f t="shared" ca="1" si="16"/>
        <v>0.57964890392932256</v>
      </c>
      <c r="C106" s="84">
        <f t="shared" ca="1" si="16"/>
        <v>0.929023646905626</v>
      </c>
      <c r="D106" s="84">
        <f t="shared" ca="1" si="16"/>
        <v>0.12089844929974669</v>
      </c>
      <c r="F106" s="84">
        <f t="shared" ca="1" si="17"/>
        <v>0.9642534565265205</v>
      </c>
      <c r="G106" s="84">
        <f t="shared" ca="1" si="17"/>
        <v>1.9418918990767198E-2</v>
      </c>
      <c r="H106" s="84">
        <f t="shared" ca="1" si="17"/>
        <v>0.54588048791936383</v>
      </c>
      <c r="J106" s="85">
        <f t="shared" ca="1" si="18"/>
        <v>155386882.24786955</v>
      </c>
      <c r="K106" s="86">
        <f ca="1">IF(J106&gt;0,MIN(99,$B$12*Q106/(J106*12*(1-Inputs!$H$16))),99)</f>
        <v>3.2769363620747267</v>
      </c>
      <c r="L106" s="84">
        <f t="shared" ca="1" si="19"/>
        <v>1.0345872804743514</v>
      </c>
      <c r="M106" s="84">
        <f t="shared" ca="1" si="20"/>
        <v>1.0146639759546781</v>
      </c>
      <c r="N106" s="84">
        <f t="shared" ca="1" si="21"/>
        <v>0.97237204089985441</v>
      </c>
      <c r="O106" s="84">
        <f t="shared" ca="1" si="22"/>
        <v>1.0880126889806814</v>
      </c>
      <c r="P106" s="84">
        <f t="shared" ca="1" si="23"/>
        <v>0.87610121915464934</v>
      </c>
      <c r="Q106" s="84">
        <f t="shared" ca="1" si="24"/>
        <v>1.1171520886097448</v>
      </c>
    </row>
    <row r="107" spans="1:17" ht="15" customHeight="1" x14ac:dyDescent="0.2">
      <c r="A107" s="15">
        <v>68</v>
      </c>
      <c r="B107" s="84">
        <f t="shared" ca="1" si="16"/>
        <v>0.16097515866626078</v>
      </c>
      <c r="C107" s="84">
        <f t="shared" ca="1" si="16"/>
        <v>0.9687910431807244</v>
      </c>
      <c r="D107" s="84">
        <f t="shared" ca="1" si="16"/>
        <v>0.852034312974561</v>
      </c>
      <c r="F107" s="84">
        <f t="shared" ca="1" si="17"/>
        <v>0.97096620292293334</v>
      </c>
      <c r="G107" s="84">
        <f t="shared" ca="1" si="17"/>
        <v>2.2785880438837669E-2</v>
      </c>
      <c r="H107" s="84">
        <f t="shared" ca="1" si="17"/>
        <v>0.82933240130669539</v>
      </c>
      <c r="J107" s="85">
        <f t="shared" ca="1" si="18"/>
        <v>52826320.717937127</v>
      </c>
      <c r="K107" s="86">
        <f ca="1">IF(J107&gt;0,MIN(99,$B$12*Q107/(J107*12*(1-Inputs!$H$16))),99)</f>
        <v>10.956049619334129</v>
      </c>
      <c r="L107" s="84">
        <f t="shared" ca="1" si="19"/>
        <v>0.90957230528587352</v>
      </c>
      <c r="M107" s="84">
        <f t="shared" ca="1" si="20"/>
        <v>0.9589072392010245</v>
      </c>
      <c r="N107" s="84">
        <f t="shared" ca="1" si="21"/>
        <v>1.0453807009494342</v>
      </c>
      <c r="O107" s="84">
        <f t="shared" ca="1" si="22"/>
        <v>1.0903655797415073</v>
      </c>
      <c r="P107" s="84">
        <f t="shared" ca="1" si="23"/>
        <v>0.88121258514901135</v>
      </c>
      <c r="Q107" s="84">
        <f t="shared" ca="1" si="24"/>
        <v>1.269796996885703</v>
      </c>
    </row>
    <row r="108" spans="1:17" ht="15" customHeight="1" x14ac:dyDescent="0.2">
      <c r="A108" s="15">
        <v>69</v>
      </c>
      <c r="B108" s="84">
        <f t="shared" ca="1" si="16"/>
        <v>0.13828184174130698</v>
      </c>
      <c r="C108" s="84">
        <f t="shared" ca="1" si="16"/>
        <v>0.92047672586853402</v>
      </c>
      <c r="D108" s="84">
        <f t="shared" ca="1" si="16"/>
        <v>0.99421662267126665</v>
      </c>
      <c r="F108" s="84">
        <f t="shared" ca="1" si="17"/>
        <v>0.88943675144345535</v>
      </c>
      <c r="G108" s="84">
        <f t="shared" ca="1" si="17"/>
        <v>0.18494088322414981</v>
      </c>
      <c r="H108" s="84">
        <f t="shared" ca="1" si="17"/>
        <v>5.5554037410900925E-2</v>
      </c>
      <c r="J108" s="85">
        <f t="shared" ca="1" si="18"/>
        <v>38216767.45355396</v>
      </c>
      <c r="K108" s="86">
        <f ca="1">IF(J108&gt;0,MIN(99,$B$12*Q108/(J108*12*(1-Inputs!$H$16))),99)</f>
        <v>10.95549381519716</v>
      </c>
      <c r="L108" s="84">
        <f t="shared" ca="1" si="19"/>
        <v>0.89972652963943567</v>
      </c>
      <c r="M108" s="84">
        <f t="shared" ca="1" si="20"/>
        <v>0.95450234937970768</v>
      </c>
      <c r="N108" s="84">
        <f t="shared" ca="1" si="21"/>
        <v>1.0814892685635811</v>
      </c>
      <c r="O108" s="84">
        <f t="shared" ca="1" si="22"/>
        <v>1.069939612115586</v>
      </c>
      <c r="P108" s="84">
        <f t="shared" ca="1" si="23"/>
        <v>1.0042708725224732</v>
      </c>
      <c r="Q108" s="84">
        <f t="shared" ca="1" si="24"/>
        <v>0.91857759664553029</v>
      </c>
    </row>
    <row r="109" spans="1:17" ht="15" customHeight="1" x14ac:dyDescent="0.2">
      <c r="A109" s="15">
        <v>70</v>
      </c>
      <c r="B109" s="84">
        <f t="shared" ca="1" si="16"/>
        <v>0.26179442528144647</v>
      </c>
      <c r="C109" s="84">
        <f t="shared" ca="1" si="16"/>
        <v>0.72358694246203914</v>
      </c>
      <c r="D109" s="84">
        <f t="shared" ca="1" si="16"/>
        <v>0.86269366651255097</v>
      </c>
      <c r="F109" s="84">
        <f t="shared" ca="1" si="17"/>
        <v>1.9156364535382053E-3</v>
      </c>
      <c r="G109" s="84">
        <f t="shared" ca="1" si="17"/>
        <v>0.79708279361306422</v>
      </c>
      <c r="H109" s="84">
        <f t="shared" ca="1" si="17"/>
        <v>0.31496632162822846</v>
      </c>
      <c r="J109" s="85">
        <f t="shared" ca="1" si="18"/>
        <v>75723814.932442591</v>
      </c>
      <c r="K109" s="86">
        <f ca="1">IF(J109&gt;0,MIN(99,$B$12*Q109/(J109*12*(1-Inputs!$H$16))),99)</f>
        <v>6.1824900054545404</v>
      </c>
      <c r="L109" s="84">
        <f t="shared" ca="1" si="19"/>
        <v>0.94661547961697023</v>
      </c>
      <c r="M109" s="84">
        <f t="shared" ca="1" si="20"/>
        <v>0.97547994077577005</v>
      </c>
      <c r="N109" s="84">
        <f t="shared" ca="1" si="21"/>
        <v>1.0470321149381163</v>
      </c>
      <c r="O109" s="84">
        <f t="shared" ca="1" si="22"/>
        <v>0.97274728179056424</v>
      </c>
      <c r="P109" s="84">
        <f t="shared" ca="1" si="23"/>
        <v>1.4344121822326041</v>
      </c>
      <c r="Q109" s="84">
        <f t="shared" ca="1" si="24"/>
        <v>1.0271310304168808</v>
      </c>
    </row>
    <row r="110" spans="1:17" ht="15" customHeight="1" x14ac:dyDescent="0.2">
      <c r="A110" s="15">
        <v>71</v>
      </c>
      <c r="B110" s="84">
        <f t="shared" ca="1" si="16"/>
        <v>0.30268868827513074</v>
      </c>
      <c r="C110" s="84">
        <f t="shared" ca="1" si="16"/>
        <v>0.30518618489848304</v>
      </c>
      <c r="D110" s="84">
        <f t="shared" ca="1" si="16"/>
        <v>0.88592818980959875</v>
      </c>
      <c r="F110" s="84">
        <f t="shared" ca="1" si="17"/>
        <v>0.7307120233877451</v>
      </c>
      <c r="G110" s="84">
        <f t="shared" ca="1" si="17"/>
        <v>0.52794816169986292</v>
      </c>
      <c r="H110" s="84">
        <f t="shared" ca="1" si="17"/>
        <v>0.96363659463852869</v>
      </c>
      <c r="J110" s="85">
        <f t="shared" ca="1" si="18"/>
        <v>79851980.917247936</v>
      </c>
      <c r="K110" s="86">
        <f ca="1">IF(J110&gt;0,MIN(99,$B$12*Q110/(J110*12*(1-Inputs!$H$16))),99)</f>
        <v>7.9912092976587612</v>
      </c>
      <c r="L110" s="84">
        <f t="shared" ca="1" si="19"/>
        <v>0.95953313369406645</v>
      </c>
      <c r="M110" s="84">
        <f t="shared" ca="1" si="20"/>
        <v>0.98125915462369873</v>
      </c>
      <c r="N110" s="84">
        <f t="shared" ca="1" si="21"/>
        <v>1.0508701958291131</v>
      </c>
      <c r="O110" s="84">
        <f t="shared" ca="1" si="22"/>
        <v>1.0464517595998917</v>
      </c>
      <c r="P110" s="84">
        <f t="shared" ca="1" si="23"/>
        <v>1.2094277228899024</v>
      </c>
      <c r="Q110" s="84">
        <f t="shared" ca="1" si="24"/>
        <v>1.4000003399943766</v>
      </c>
    </row>
    <row r="111" spans="1:17" ht="15" customHeight="1" x14ac:dyDescent="0.2">
      <c r="A111" s="15">
        <v>72</v>
      </c>
      <c r="B111" s="84">
        <f t="shared" ca="1" si="16"/>
        <v>0.38935625775080607</v>
      </c>
      <c r="C111" s="84">
        <f t="shared" ca="1" si="16"/>
        <v>5.0951785617597833E-3</v>
      </c>
      <c r="D111" s="84">
        <f t="shared" ca="1" si="16"/>
        <v>2.0378839142282779E-2</v>
      </c>
      <c r="F111" s="84">
        <f t="shared" ca="1" si="17"/>
        <v>0.26183141938178722</v>
      </c>
      <c r="G111" s="84">
        <f t="shared" ca="1" si="17"/>
        <v>7.2279722222828857E-3</v>
      </c>
      <c r="H111" s="84">
        <f t="shared" ca="1" si="17"/>
        <v>0.90276660464606961</v>
      </c>
      <c r="J111" s="85">
        <f t="shared" ca="1" si="18"/>
        <v>138271216.29957235</v>
      </c>
      <c r="K111" s="86">
        <f ca="1">IF(J111&gt;0,MIN(99,$B$12*Q111/(J111*12*(1-Inputs!$H$16))),99)</f>
        <v>4.3812072735264005</v>
      </c>
      <c r="L111" s="84">
        <f t="shared" ca="1" si="19"/>
        <v>0.98429065673595106</v>
      </c>
      <c r="M111" s="84">
        <f t="shared" ca="1" si="20"/>
        <v>0.99233539332386334</v>
      </c>
      <c r="N111" s="84">
        <f t="shared" ca="1" si="21"/>
        <v>0.95266179097251813</v>
      </c>
      <c r="O111" s="84">
        <f t="shared" ca="1" si="22"/>
        <v>1.0035835516544882</v>
      </c>
      <c r="P111" s="84">
        <f t="shared" ca="1" si="23"/>
        <v>0.8521557968835064</v>
      </c>
      <c r="Q111" s="84">
        <f t="shared" ca="1" si="24"/>
        <v>1.3290934708427065</v>
      </c>
    </row>
    <row r="112" spans="1:17" ht="15" customHeight="1" x14ac:dyDescent="0.2">
      <c r="A112" s="15">
        <v>73</v>
      </c>
      <c r="B112" s="84">
        <f t="shared" ca="1" si="16"/>
        <v>0.32386057178613115</v>
      </c>
      <c r="C112" s="84">
        <f t="shared" ca="1" si="16"/>
        <v>0.7055971663388565</v>
      </c>
      <c r="D112" s="84">
        <f t="shared" ca="1" si="16"/>
        <v>0.31709647642868899</v>
      </c>
      <c r="F112" s="84">
        <f t="shared" ca="1" si="17"/>
        <v>9.1950714021534097E-2</v>
      </c>
      <c r="G112" s="84">
        <f t="shared" ca="1" si="17"/>
        <v>0.56325439003835986</v>
      </c>
      <c r="H112" s="84">
        <f t="shared" ca="1" si="17"/>
        <v>0.20692180262192228</v>
      </c>
      <c r="J112" s="85">
        <f t="shared" ca="1" si="18"/>
        <v>104706029.40597807</v>
      </c>
      <c r="K112" s="86">
        <f ca="1">IF(J112&gt;0,MIN(99,$B$12*Q112/(J112*12*(1-Inputs!$H$16))),99)</f>
        <v>4.3091660553413638</v>
      </c>
      <c r="L112" s="84">
        <f t="shared" ca="1" si="19"/>
        <v>0.96587774706848295</v>
      </c>
      <c r="M112" s="84">
        <f t="shared" ca="1" si="20"/>
        <v>0.984097663632714</v>
      </c>
      <c r="N112" s="84">
        <f t="shared" ca="1" si="21"/>
        <v>0.9930881032966421</v>
      </c>
      <c r="O112" s="84">
        <f t="shared" ca="1" si="22"/>
        <v>0.9897114299813814</v>
      </c>
      <c r="P112" s="84">
        <f t="shared" ca="1" si="23"/>
        <v>1.2343351067055564</v>
      </c>
      <c r="Q112" s="84">
        <f t="shared" ca="1" si="24"/>
        <v>0.98990806464562087</v>
      </c>
    </row>
    <row r="113" spans="1:17" ht="15" customHeight="1" x14ac:dyDescent="0.2">
      <c r="A113" s="15">
        <v>74</v>
      </c>
      <c r="B113" s="84">
        <f t="shared" ca="1" si="16"/>
        <v>0.84374598079639684</v>
      </c>
      <c r="C113" s="84">
        <f t="shared" ca="1" si="16"/>
        <v>0.65786197102610633</v>
      </c>
      <c r="D113" s="84">
        <f t="shared" ca="1" si="16"/>
        <v>0.38051647195445804</v>
      </c>
      <c r="F113" s="84">
        <f t="shared" ca="1" si="17"/>
        <v>8.1693638017964698E-2</v>
      </c>
      <c r="G113" s="84">
        <f t="shared" ca="1" si="17"/>
        <v>0.85448890167110847</v>
      </c>
      <c r="H113" s="84">
        <f t="shared" ca="1" si="17"/>
        <v>0.41825917600810836</v>
      </c>
      <c r="J113" s="85">
        <f t="shared" ca="1" si="18"/>
        <v>213564266.50645262</v>
      </c>
      <c r="K113" s="86">
        <f ca="1">IF(J113&gt;0,MIN(99,$B$12*Q113/(J113*12*(1-Inputs!$H$16))),99)</f>
        <v>2.2732765602188345</v>
      </c>
      <c r="L113" s="84">
        <f t="shared" ca="1" si="19"/>
        <v>1.1284226223440483</v>
      </c>
      <c r="M113" s="84">
        <f t="shared" ca="1" si="20"/>
        <v>1.0561640656667142</v>
      </c>
      <c r="N113" s="84">
        <f t="shared" ca="1" si="21"/>
        <v>0.99825700242418369</v>
      </c>
      <c r="O113" s="84">
        <f t="shared" ca="1" si="22"/>
        <v>0.98857296445395204</v>
      </c>
      <c r="P113" s="84">
        <f t="shared" ca="1" si="23"/>
        <v>1.5000295178053318</v>
      </c>
      <c r="Q113" s="84">
        <f t="shared" ca="1" si="24"/>
        <v>1.0651500787395893</v>
      </c>
    </row>
    <row r="114" spans="1:17" ht="15" customHeight="1" x14ac:dyDescent="0.2">
      <c r="A114" s="15">
        <v>75</v>
      </c>
      <c r="B114" s="84">
        <f t="shared" ca="1" si="16"/>
        <v>0.61686403422015346</v>
      </c>
      <c r="C114" s="84">
        <f t="shared" ca="1" si="16"/>
        <v>0.98075107144626794</v>
      </c>
      <c r="D114" s="84">
        <f t="shared" ca="1" si="16"/>
        <v>0.48549427016216251</v>
      </c>
      <c r="F114" s="84">
        <f t="shared" ca="1" si="17"/>
        <v>0.99556047498846123</v>
      </c>
      <c r="G114" s="84">
        <f t="shared" ca="1" si="17"/>
        <v>0.45573624482622277</v>
      </c>
      <c r="H114" s="84">
        <f t="shared" ca="1" si="17"/>
        <v>8.5914007180824425E-2</v>
      </c>
      <c r="J114" s="85">
        <f t="shared" ca="1" si="18"/>
        <v>142405128.2953915</v>
      </c>
      <c r="K114" s="86">
        <f ca="1">IF(J114&gt;0,MIN(99,$B$12*Q114/(J114*12*(1-Inputs!$H$16))),99)</f>
        <v>2.9998882270000156</v>
      </c>
      <c r="L114" s="84">
        <f t="shared" ca="1" si="19"/>
        <v>1.045476155280701</v>
      </c>
      <c r="M114" s="84">
        <f t="shared" ca="1" si="20"/>
        <v>1.0194797444308472</v>
      </c>
      <c r="N114" s="84">
        <f t="shared" ca="1" si="21"/>
        <v>1.0064625721185354</v>
      </c>
      <c r="O114" s="84">
        <f t="shared" ca="1" si="22"/>
        <v>1.1034392237187716</v>
      </c>
      <c r="P114" s="84">
        <f t="shared" ca="1" si="23"/>
        <v>1.1612332181152372</v>
      </c>
      <c r="Q114" s="84">
        <f t="shared" ca="1" si="24"/>
        <v>0.93726121213702718</v>
      </c>
    </row>
    <row r="115" spans="1:17" ht="15" customHeight="1" x14ac:dyDescent="0.2">
      <c r="A115" s="15">
        <v>76</v>
      </c>
      <c r="B115" s="84">
        <f t="shared" ca="1" si="16"/>
        <v>0.13990606121923288</v>
      </c>
      <c r="C115" s="84">
        <f t="shared" ca="1" si="16"/>
        <v>0.19047470605433658</v>
      </c>
      <c r="D115" s="84">
        <f t="shared" ca="1" si="16"/>
        <v>0.90207555746082357</v>
      </c>
      <c r="F115" s="84">
        <f t="shared" ca="1" si="17"/>
        <v>0.56323877507837328</v>
      </c>
      <c r="G115" s="84">
        <f t="shared" ca="1" si="17"/>
        <v>7.1711600842266909E-3</v>
      </c>
      <c r="H115" s="84">
        <f t="shared" ca="1" si="17"/>
        <v>0.66481734538843129</v>
      </c>
      <c r="J115" s="85">
        <f t="shared" ca="1" si="18"/>
        <v>56709860.178780243</v>
      </c>
      <c r="K115" s="86">
        <f ca="1">IF(J115&gt;0,MIN(99,$B$12*Q115/(J115*12*(1-Inputs!$H$16))),99)</f>
        <v>9.4255644627970412</v>
      </c>
      <c r="L115" s="84">
        <f t="shared" ca="1" si="19"/>
        <v>0.90045689254546235</v>
      </c>
      <c r="M115" s="84">
        <f t="shared" ca="1" si="20"/>
        <v>0.95482910556897638</v>
      </c>
      <c r="N115" s="84">
        <f t="shared" ca="1" si="21"/>
        <v>1.0537737646618055</v>
      </c>
      <c r="O115" s="84">
        <f t="shared" ca="1" si="22"/>
        <v>1.0285668529870469</v>
      </c>
      <c r="P115" s="84">
        <f t="shared" ca="1" si="23"/>
        <v>0.85200825774371369</v>
      </c>
      <c r="Q115" s="84">
        <f t="shared" ca="1" si="24"/>
        <v>1.1727241964525752</v>
      </c>
    </row>
    <row r="116" spans="1:17" ht="15" customHeight="1" x14ac:dyDescent="0.2">
      <c r="A116" s="15">
        <v>77</v>
      </c>
      <c r="B116" s="84">
        <f t="shared" ca="1" si="16"/>
        <v>0.13352521639746318</v>
      </c>
      <c r="C116" s="84">
        <f t="shared" ca="1" si="16"/>
        <v>0.21640302837662062</v>
      </c>
      <c r="D116" s="84">
        <f t="shared" ca="1" si="16"/>
        <v>3.8855867376150655E-2</v>
      </c>
      <c r="F116" s="84">
        <f t="shared" ca="1" si="17"/>
        <v>0.42053222379161392</v>
      </c>
      <c r="G116" s="84">
        <f t="shared" ca="1" si="17"/>
        <v>0.25146039081216587</v>
      </c>
      <c r="H116" s="84">
        <f t="shared" ca="1" si="17"/>
        <v>0.10319153264142811</v>
      </c>
      <c r="J116" s="85">
        <f t="shared" ca="1" si="18"/>
        <v>68376070.632443979</v>
      </c>
      <c r="K116" s="86">
        <f ca="1">IF(J116&gt;0,MIN(99,$B$12*Q116/(J116*12*(1-Inputs!$H$16))),99)</f>
        <v>6.3088010417630294</v>
      </c>
      <c r="L116" s="84">
        <f t="shared" ca="1" si="19"/>
        <v>0.89756258337973549</v>
      </c>
      <c r="M116" s="84">
        <f t="shared" ca="1" si="20"/>
        <v>0.9535342240439777</v>
      </c>
      <c r="N116" s="84">
        <f t="shared" ca="1" si="21"/>
        <v>0.9578900731386677</v>
      </c>
      <c r="O116" s="84">
        <f t="shared" ca="1" si="22"/>
        <v>1.0159234345733523</v>
      </c>
      <c r="P116" s="84">
        <f t="shared" ca="1" si="23"/>
        <v>1.0400486243643363</v>
      </c>
      <c r="Q116" s="84">
        <f t="shared" ca="1" si="24"/>
        <v>0.94641346913720437</v>
      </c>
    </row>
    <row r="117" spans="1:17" ht="15" customHeight="1" x14ac:dyDescent="0.2">
      <c r="A117" s="15">
        <v>78</v>
      </c>
      <c r="B117" s="84">
        <f t="shared" ca="1" si="16"/>
        <v>0.60865941658065081</v>
      </c>
      <c r="C117" s="84">
        <f t="shared" ca="1" si="16"/>
        <v>0.55658385545921574</v>
      </c>
      <c r="D117" s="84">
        <f t="shared" ca="1" si="16"/>
        <v>0.45442640394436973</v>
      </c>
      <c r="F117" s="84">
        <f t="shared" ca="1" si="17"/>
        <v>0.77487525333893759</v>
      </c>
      <c r="G117" s="84">
        <f t="shared" ca="1" si="17"/>
        <v>0.5973795402017098</v>
      </c>
      <c r="H117" s="84">
        <f t="shared" ca="1" si="17"/>
        <v>0.4714499298271515</v>
      </c>
      <c r="J117" s="85">
        <f t="shared" ca="1" si="18"/>
        <v>146043234.58397466</v>
      </c>
      <c r="K117" s="86">
        <f ca="1">IF(J117&gt;0,MIN(99,$B$12*Q117/(J117*12*(1-Inputs!$H$16))),99)</f>
        <v>3.3895243206265757</v>
      </c>
      <c r="L117" s="84">
        <f t="shared" ca="1" si="19"/>
        <v>1.043031618059356</v>
      </c>
      <c r="M117" s="84">
        <f t="shared" ca="1" si="20"/>
        <v>1.018398611118293</v>
      </c>
      <c r="N117" s="84">
        <f t="shared" ca="1" si="21"/>
        <v>1.0039658642293947</v>
      </c>
      <c r="O117" s="84">
        <f t="shared" ca="1" si="22"/>
        <v>1.0520530529342882</v>
      </c>
      <c r="P117" s="84">
        <f t="shared" ca="1" si="23"/>
        <v>1.2593856419400842</v>
      </c>
      <c r="Q117" s="84">
        <f t="shared" ca="1" si="24"/>
        <v>1.0860507979830674</v>
      </c>
    </row>
    <row r="118" spans="1:17" ht="15" customHeight="1" x14ac:dyDescent="0.2">
      <c r="A118" s="15">
        <v>79</v>
      </c>
      <c r="B118" s="84">
        <f t="shared" ca="1" si="16"/>
        <v>0.96368621345673533</v>
      </c>
      <c r="C118" s="84">
        <f t="shared" ca="1" si="16"/>
        <v>0.48931390759448457</v>
      </c>
      <c r="D118" s="84">
        <f t="shared" ca="1" si="16"/>
        <v>0.68568776470279036</v>
      </c>
      <c r="F118" s="84">
        <f t="shared" ca="1" si="17"/>
        <v>0.93426218799132876</v>
      </c>
      <c r="G118" s="84">
        <f t="shared" ca="1" si="17"/>
        <v>0.7821289111949925</v>
      </c>
      <c r="H118" s="84">
        <f t="shared" ca="1" si="17"/>
        <v>0.28919978324593809</v>
      </c>
      <c r="J118" s="85">
        <f t="shared" ca="1" si="18"/>
        <v>255593625.32551354</v>
      </c>
      <c r="K118" s="86">
        <f ca="1">IF(J118&gt;0,MIN(99,$B$12*Q118/(J118*12*(1-Inputs!$H$16))),99)</f>
        <v>1.8155654279299371</v>
      </c>
      <c r="L118" s="84">
        <f t="shared" ca="1" si="19"/>
        <v>1.2043378060792129</v>
      </c>
      <c r="M118" s="84">
        <f t="shared" ca="1" si="20"/>
        <v>1.089738696213592</v>
      </c>
      <c r="N118" s="84">
        <f t="shared" ca="1" si="21"/>
        <v>1.0247915421727156</v>
      </c>
      <c r="O118" s="84">
        <f t="shared" ca="1" si="22"/>
        <v>1.0795299209880158</v>
      </c>
      <c r="P118" s="84">
        <f t="shared" ca="1" si="23"/>
        <v>1.4189090630383907</v>
      </c>
      <c r="Q118" s="84">
        <f t="shared" ca="1" si="24"/>
        <v>1.0181033436287663</v>
      </c>
    </row>
    <row r="119" spans="1:17" ht="15" customHeight="1" x14ac:dyDescent="0.2">
      <c r="A119" s="15">
        <v>80</v>
      </c>
      <c r="B119" s="84">
        <f t="shared" ca="1" si="16"/>
        <v>0.16633051958658363</v>
      </c>
      <c r="C119" s="84">
        <f t="shared" ca="1" si="16"/>
        <v>0.39541644362241701</v>
      </c>
      <c r="D119" s="84">
        <f t="shared" ca="1" si="16"/>
        <v>0.37157607719506569</v>
      </c>
      <c r="F119" s="84">
        <f t="shared" ca="1" si="17"/>
        <v>0.43095877115472458</v>
      </c>
      <c r="G119" s="84">
        <f t="shared" ca="1" si="17"/>
        <v>0.9202034977611212</v>
      </c>
      <c r="H119" s="84">
        <f t="shared" ca="1" si="17"/>
        <v>0.4130425824441214</v>
      </c>
      <c r="J119" s="85">
        <f t="shared" ca="1" si="18"/>
        <v>49005868.160023496</v>
      </c>
      <c r="K119" s="86">
        <f ca="1">IF(J119&gt;0,MIN(99,$B$12*Q119/(J119*12*(1-Inputs!$H$16))),99)</f>
        <v>9.8882087600430335</v>
      </c>
      <c r="L119" s="84">
        <f t="shared" ca="1" si="19"/>
        <v>0.91179248317612582</v>
      </c>
      <c r="M119" s="84">
        <f t="shared" ca="1" si="20"/>
        <v>0.95990052193886777</v>
      </c>
      <c r="N119" s="84">
        <f t="shared" ca="1" si="21"/>
        <v>0.99755593823622124</v>
      </c>
      <c r="O119" s="84">
        <f t="shared" ca="1" si="22"/>
        <v>1.0167902280803185</v>
      </c>
      <c r="P119" s="84">
        <f t="shared" ca="1" si="23"/>
        <v>1.5941480422146959</v>
      </c>
      <c r="Q119" s="84">
        <f t="shared" ca="1" si="24"/>
        <v>1.0631527218927856</v>
      </c>
    </row>
    <row r="120" spans="1:17" ht="15" customHeight="1" x14ac:dyDescent="0.2">
      <c r="A120" s="15">
        <v>81</v>
      </c>
      <c r="B120" s="84">
        <f t="shared" ref="B120:D139" ca="1" si="25">RAND()</f>
        <v>0.29847858619140966</v>
      </c>
      <c r="C120" s="84">
        <f t="shared" ca="1" si="25"/>
        <v>0.89535535024610835</v>
      </c>
      <c r="D120" s="84">
        <f t="shared" ca="1" si="25"/>
        <v>0.78821709976486143</v>
      </c>
      <c r="F120" s="84">
        <f t="shared" ref="F120:H139" ca="1" si="26">RAND()</f>
        <v>0.51429806172202208</v>
      </c>
      <c r="G120" s="84">
        <f t="shared" ca="1" si="26"/>
        <v>0.25943545523390954</v>
      </c>
      <c r="H120" s="84">
        <f t="shared" ca="1" si="26"/>
        <v>0.49611814693558431</v>
      </c>
      <c r="J120" s="85">
        <f t="shared" ca="1" si="18"/>
        <v>91908675.747308239</v>
      </c>
      <c r="K120" s="86">
        <f ca="1">IF(J120&gt;0,MIN(99,$B$12*Q120/(J120*12*(1-Inputs!$H$16))),99)</f>
        <v>5.4358061306433774</v>
      </c>
      <c r="L120" s="84">
        <f t="shared" ca="1" si="19"/>
        <v>0.95824530265885011</v>
      </c>
      <c r="M120" s="84">
        <f t="shared" ca="1" si="20"/>
        <v>0.98068299343312226</v>
      </c>
      <c r="N120" s="84">
        <f t="shared" ca="1" si="21"/>
        <v>1.0365428640270387</v>
      </c>
      <c r="O120" s="84">
        <f t="shared" ca="1" si="22"/>
        <v>1.0240254859588371</v>
      </c>
      <c r="P120" s="84">
        <f t="shared" ca="1" si="23"/>
        <v>1.044443044503335</v>
      </c>
      <c r="Q120" s="84">
        <f t="shared" ca="1" si="24"/>
        <v>1.0961005841983515</v>
      </c>
    </row>
    <row r="121" spans="1:17" ht="15" customHeight="1" x14ac:dyDescent="0.2">
      <c r="A121" s="15">
        <v>82</v>
      </c>
      <c r="B121" s="84">
        <f t="shared" ca="1" si="25"/>
        <v>0.68027577232003766</v>
      </c>
      <c r="C121" s="84">
        <f t="shared" ca="1" si="25"/>
        <v>0.62006203702909501</v>
      </c>
      <c r="D121" s="84">
        <f t="shared" ca="1" si="25"/>
        <v>0.95761742312049747</v>
      </c>
      <c r="F121" s="84">
        <f t="shared" ca="1" si="26"/>
        <v>0.67896848898462414</v>
      </c>
      <c r="G121" s="84">
        <f t="shared" ca="1" si="26"/>
        <v>0.23560605047503214</v>
      </c>
      <c r="H121" s="84">
        <f t="shared" ca="1" si="26"/>
        <v>0.87346025188443266</v>
      </c>
      <c r="J121" s="85">
        <f t="shared" ca="1" si="18"/>
        <v>158780156.90454197</v>
      </c>
      <c r="K121" s="86">
        <f ca="1">IF(J121&gt;0,MIN(99,$B$12*Q121/(J121*12*(1-Inputs!$H$16))),99)</f>
        <v>3.7415345110912033</v>
      </c>
      <c r="L121" s="84">
        <f t="shared" ca="1" si="19"/>
        <v>1.0653286349880011</v>
      </c>
      <c r="M121" s="84">
        <f t="shared" ca="1" si="20"/>
        <v>1.0282598018425142</v>
      </c>
      <c r="N121" s="84">
        <f t="shared" ca="1" si="21"/>
        <v>1.0662998420455048</v>
      </c>
      <c r="O121" s="84">
        <f t="shared" ca="1" si="22"/>
        <v>1.0404459897329461</v>
      </c>
      <c r="P121" s="84">
        <f t="shared" ca="1" si="23"/>
        <v>1.0313815491154048</v>
      </c>
      <c r="Q121" s="84">
        <f t="shared" ca="1" si="24"/>
        <v>1.3033946187255818</v>
      </c>
    </row>
    <row r="122" spans="1:17" ht="15" customHeight="1" x14ac:dyDescent="0.2">
      <c r="A122" s="15">
        <v>83</v>
      </c>
      <c r="B122" s="84">
        <f t="shared" ca="1" si="25"/>
        <v>0.28757792762514478</v>
      </c>
      <c r="C122" s="84">
        <f t="shared" ca="1" si="25"/>
        <v>0.591975856341597</v>
      </c>
      <c r="D122" s="84">
        <f t="shared" ca="1" si="25"/>
        <v>0.8538984300472463</v>
      </c>
      <c r="F122" s="84">
        <f t="shared" ca="1" si="26"/>
        <v>0.56553212833471089</v>
      </c>
      <c r="G122" s="84">
        <f t="shared" ca="1" si="26"/>
        <v>0.47225945455905993</v>
      </c>
      <c r="H122" s="84">
        <f t="shared" ca="1" si="26"/>
        <v>8.4055141338454931E-2</v>
      </c>
      <c r="J122" s="85">
        <f t="shared" ca="1" si="18"/>
        <v>82127535.490800157</v>
      </c>
      <c r="K122" s="86">
        <f ca="1">IF(J122&gt;0,MIN(99,$B$12*Q122/(J122*12*(1-Inputs!$H$16))),99)</f>
        <v>5.1959011013669505</v>
      </c>
      <c r="L122" s="84">
        <f t="shared" ca="1" si="19"/>
        <v>0.95486805402246611</v>
      </c>
      <c r="M122" s="84">
        <f t="shared" ca="1" si="20"/>
        <v>0.97917205019445053</v>
      </c>
      <c r="N122" s="84">
        <f t="shared" ca="1" si="21"/>
        <v>1.0456651017912024</v>
      </c>
      <c r="O122" s="84">
        <f t="shared" ca="1" si="22"/>
        <v>1.0287857515971766</v>
      </c>
      <c r="P122" s="84">
        <f t="shared" ca="1" si="23"/>
        <v>1.1719641492230013</v>
      </c>
      <c r="Q122" s="84">
        <f t="shared" ca="1" si="24"/>
        <v>0.93622365099201565</v>
      </c>
    </row>
    <row r="123" spans="1:17" ht="15" customHeight="1" x14ac:dyDescent="0.2">
      <c r="A123" s="15">
        <v>84</v>
      </c>
      <c r="B123" s="84">
        <f t="shared" ca="1" si="25"/>
        <v>0.75235085756131226</v>
      </c>
      <c r="C123" s="84">
        <f t="shared" ca="1" si="25"/>
        <v>0.89173546839045581</v>
      </c>
      <c r="D123" s="84">
        <f t="shared" ca="1" si="25"/>
        <v>0.18111323992031403</v>
      </c>
      <c r="F123" s="84">
        <f t="shared" ca="1" si="26"/>
        <v>0.78488545324329706</v>
      </c>
      <c r="G123" s="84">
        <f t="shared" ca="1" si="26"/>
        <v>0.886604381530673</v>
      </c>
      <c r="H123" s="84">
        <f t="shared" ca="1" si="26"/>
        <v>0.44084276350520035</v>
      </c>
      <c r="J123" s="85">
        <f t="shared" ca="1" si="18"/>
        <v>176172105.86161613</v>
      </c>
      <c r="K123" s="86">
        <f ca="1">IF(J123&gt;0,MIN(99,$B$12*Q123/(J123*12*(1-Inputs!$H$16))),99)</f>
        <v>2.7784181944631854</v>
      </c>
      <c r="L123" s="84">
        <f t="shared" ca="1" si="19"/>
        <v>1.090468818121924</v>
      </c>
      <c r="M123" s="84">
        <f t="shared" ca="1" si="20"/>
        <v>1.0393784255363843</v>
      </c>
      <c r="N123" s="84">
        <f t="shared" ca="1" si="21"/>
        <v>0.97986082432419497</v>
      </c>
      <c r="O123" s="84">
        <f t="shared" ca="1" si="22"/>
        <v>1.0533972541351984</v>
      </c>
      <c r="P123" s="84">
        <f t="shared" ca="1" si="23"/>
        <v>1.5425512808842023</v>
      </c>
      <c r="Q123" s="84">
        <f t="shared" ca="1" si="24"/>
        <v>1.0739021241189679</v>
      </c>
    </row>
    <row r="124" spans="1:17" ht="15" customHeight="1" x14ac:dyDescent="0.2">
      <c r="A124" s="15">
        <v>85</v>
      </c>
      <c r="B124" s="84">
        <f t="shared" ca="1" si="25"/>
        <v>0.29319084696418707</v>
      </c>
      <c r="C124" s="84">
        <f t="shared" ca="1" si="25"/>
        <v>0.55084144987993755</v>
      </c>
      <c r="D124" s="84">
        <f t="shared" ca="1" si="25"/>
        <v>3.6055062189175757E-2</v>
      </c>
      <c r="F124" s="84">
        <f t="shared" ca="1" si="26"/>
        <v>0.43336688029178372</v>
      </c>
      <c r="G124" s="84">
        <f t="shared" ca="1" si="26"/>
        <v>0.13601239287328792</v>
      </c>
      <c r="H124" s="84">
        <f t="shared" ca="1" si="26"/>
        <v>0.60058523092314009</v>
      </c>
      <c r="J124" s="85">
        <f t="shared" ca="1" si="18"/>
        <v>110847512.38151412</v>
      </c>
      <c r="K124" s="86">
        <f ca="1">IF(J124&gt;0,MIN(99,$B$12*Q124/(J124*12*(1-Inputs!$H$16))),99)</f>
        <v>4.6944667506153781</v>
      </c>
      <c r="L124" s="84">
        <f t="shared" ca="1" si="19"/>
        <v>0.95661489554403578</v>
      </c>
      <c r="M124" s="84">
        <f t="shared" ca="1" si="20"/>
        <v>0.97995356753895757</v>
      </c>
      <c r="N124" s="84">
        <f t="shared" ca="1" si="21"/>
        <v>0.9571940634339231</v>
      </c>
      <c r="O124" s="84">
        <f t="shared" ca="1" si="22"/>
        <v>1.0169915482827967</v>
      </c>
      <c r="P124" s="84">
        <f t="shared" ca="1" si="23"/>
        <v>0.97721967529481235</v>
      </c>
      <c r="Q124" s="84">
        <f t="shared" ca="1" si="24"/>
        <v>1.1416741297034707</v>
      </c>
    </row>
    <row r="125" spans="1:17" ht="15" customHeight="1" x14ac:dyDescent="0.2">
      <c r="A125" s="15">
        <v>86</v>
      </c>
      <c r="B125" s="84">
        <f t="shared" ca="1" si="25"/>
        <v>0.99188349574695545</v>
      </c>
      <c r="C125" s="84">
        <f t="shared" ca="1" si="25"/>
        <v>0.59406203943698532</v>
      </c>
      <c r="D125" s="84">
        <f t="shared" ca="1" si="25"/>
        <v>0.82559182842210133</v>
      </c>
      <c r="F125" s="84">
        <f t="shared" ca="1" si="26"/>
        <v>0.45221793555445966</v>
      </c>
      <c r="G125" s="84">
        <f t="shared" ca="1" si="26"/>
        <v>0.27956312660021754</v>
      </c>
      <c r="H125" s="84">
        <f t="shared" ca="1" si="26"/>
        <v>0.77196577704993374</v>
      </c>
      <c r="J125" s="85">
        <f t="shared" ca="1" si="18"/>
        <v>305947611.14433908</v>
      </c>
      <c r="K125" s="86">
        <f ca="1">IF(J125&gt;0,MIN(99,$B$12*Q125/(J125*12*(1-Inputs!$H$16))),99)</f>
        <v>1.8355512069264499</v>
      </c>
      <c r="L125" s="84">
        <f t="shared" ca="1" si="19"/>
        <v>1.2415931244383192</v>
      </c>
      <c r="M125" s="84">
        <f t="shared" ca="1" si="20"/>
        <v>1.10621542047704</v>
      </c>
      <c r="N125" s="84">
        <f t="shared" ca="1" si="21"/>
        <v>1.0415244315733858</v>
      </c>
      <c r="O125" s="84">
        <f t="shared" ca="1" si="22"/>
        <v>1.0185825313173278</v>
      </c>
      <c r="P125" s="84">
        <f t="shared" ca="1" si="23"/>
        <v>1.0556401784914151</v>
      </c>
      <c r="Q125" s="84">
        <f t="shared" ca="1" si="24"/>
        <v>1.2320930636661429</v>
      </c>
    </row>
    <row r="126" spans="1:17" ht="15" customHeight="1" x14ac:dyDescent="0.2">
      <c r="A126" s="15">
        <v>87</v>
      </c>
      <c r="B126" s="84">
        <f t="shared" ca="1" si="25"/>
        <v>0.90777300899180147</v>
      </c>
      <c r="C126" s="84">
        <f t="shared" ca="1" si="25"/>
        <v>0.87317049234950739</v>
      </c>
      <c r="D126" s="84">
        <f t="shared" ca="1" si="25"/>
        <v>0.24863049624092093</v>
      </c>
      <c r="F126" s="84">
        <f t="shared" ca="1" si="26"/>
        <v>0.56422155072643121</v>
      </c>
      <c r="G126" s="84">
        <f t="shared" ca="1" si="26"/>
        <v>0.8961269761438776</v>
      </c>
      <c r="H126" s="84">
        <f t="shared" ca="1" si="26"/>
        <v>4.6248342414266896E-2</v>
      </c>
      <c r="J126" s="85">
        <f t="shared" ca="1" si="18"/>
        <v>234491672.77448678</v>
      </c>
      <c r="K126" s="86">
        <f ca="1">IF(J126&gt;0,MIN(99,$B$12*Q126/(J126*12*(1-Inputs!$H$16))),99)</f>
        <v>1.7724353070055188</v>
      </c>
      <c r="L126" s="84">
        <f t="shared" ca="1" si="19"/>
        <v>1.162389115696451</v>
      </c>
      <c r="M126" s="84">
        <f t="shared" ca="1" si="20"/>
        <v>1.0711862576600617</v>
      </c>
      <c r="N126" s="84">
        <f t="shared" ca="1" si="21"/>
        <v>0.98688655736148745</v>
      </c>
      <c r="O126" s="84">
        <f t="shared" ca="1" si="22"/>
        <v>1.028660587541846</v>
      </c>
      <c r="P126" s="84">
        <f t="shared" ca="1" si="23"/>
        <v>1.5562913679753376</v>
      </c>
      <c r="Q126" s="84">
        <f t="shared" ca="1" si="24"/>
        <v>0.91185914665952261</v>
      </c>
    </row>
    <row r="127" spans="1:17" ht="15" customHeight="1" x14ac:dyDescent="0.2">
      <c r="A127" s="15">
        <v>88</v>
      </c>
      <c r="B127" s="84">
        <f t="shared" ca="1" si="25"/>
        <v>0.87498041795061887</v>
      </c>
      <c r="C127" s="84">
        <f t="shared" ca="1" si="25"/>
        <v>0.93135708039412224</v>
      </c>
      <c r="D127" s="84">
        <f t="shared" ca="1" si="25"/>
        <v>0.85444806895417402</v>
      </c>
      <c r="F127" s="84">
        <f t="shared" ca="1" si="26"/>
        <v>1.5527143099148821E-2</v>
      </c>
      <c r="G127" s="84">
        <f t="shared" ca="1" si="26"/>
        <v>0.56397446025523224</v>
      </c>
      <c r="H127" s="84">
        <f t="shared" ca="1" si="26"/>
        <v>0.62673101357802552</v>
      </c>
      <c r="J127" s="85">
        <f t="shared" ca="1" si="18"/>
        <v>225816893.72256649</v>
      </c>
      <c r="K127" s="86">
        <f ca="1">IF(J127&gt;0,MIN(99,$B$12*Q127/(J127*12*(1-Inputs!$H$16))),99)</f>
        <v>2.3292429250959708</v>
      </c>
      <c r="L127" s="84">
        <f t="shared" ca="1" si="19"/>
        <v>1.1438886254675442</v>
      </c>
      <c r="M127" s="84">
        <f t="shared" ca="1" si="20"/>
        <v>1.0630041379073312</v>
      </c>
      <c r="N127" s="84">
        <f t="shared" ca="1" si="21"/>
        <v>1.0457493038887504</v>
      </c>
      <c r="O127" s="84">
        <f t="shared" ca="1" si="22"/>
        <v>0.97803268513746655</v>
      </c>
      <c r="P127" s="84">
        <f t="shared" ca="1" si="23"/>
        <v>1.2348533731024398</v>
      </c>
      <c r="Q127" s="84">
        <f t="shared" ca="1" si="24"/>
        <v>1.1539876353836942</v>
      </c>
    </row>
    <row r="128" spans="1:17" ht="15" customHeight="1" x14ac:dyDescent="0.2">
      <c r="A128" s="15">
        <v>89</v>
      </c>
      <c r="B128" s="84">
        <f t="shared" ca="1" si="25"/>
        <v>0.76019181635271671</v>
      </c>
      <c r="C128" s="84">
        <f t="shared" ca="1" si="25"/>
        <v>0.9072344406086984</v>
      </c>
      <c r="D128" s="84">
        <f t="shared" ca="1" si="25"/>
        <v>0.7112350845955776</v>
      </c>
      <c r="F128" s="84">
        <f t="shared" ca="1" si="26"/>
        <v>0.74134959092309116</v>
      </c>
      <c r="G128" s="84">
        <f t="shared" ca="1" si="26"/>
        <v>0.99840692261863817</v>
      </c>
      <c r="H128" s="84">
        <f t="shared" ca="1" si="26"/>
        <v>0.6372242883051169</v>
      </c>
      <c r="J128" s="85">
        <f t="shared" ca="1" si="18"/>
        <v>157493510.02320731</v>
      </c>
      <c r="K128" s="86">
        <f ca="1">IF(J128&gt;0,MIN(99,$B$12*Q128/(J128*12*(1-Inputs!$H$16))),99)</f>
        <v>3.3543603980171928</v>
      </c>
      <c r="L128" s="84">
        <f t="shared" ca="1" si="19"/>
        <v>1.0934135873709119</v>
      </c>
      <c r="M128" s="84">
        <f t="shared" ca="1" si="20"/>
        <v>1.0406807939785854</v>
      </c>
      <c r="N128" s="84">
        <f t="shared" ca="1" si="21"/>
        <v>1.0275138375132384</v>
      </c>
      <c r="O128" s="84">
        <f t="shared" ca="1" si="22"/>
        <v>1.0477561590613265</v>
      </c>
      <c r="P128" s="84">
        <f t="shared" ca="1" si="23"/>
        <v>1.824811777690073</v>
      </c>
      <c r="Q128" s="84">
        <f t="shared" ca="1" si="24"/>
        <v>1.1590504119161029</v>
      </c>
    </row>
    <row r="129" spans="1:17" ht="15" customHeight="1" x14ac:dyDescent="0.2">
      <c r="A129" s="15">
        <v>90</v>
      </c>
      <c r="B129" s="84">
        <f t="shared" ca="1" si="25"/>
        <v>0.93286519529723555</v>
      </c>
      <c r="C129" s="84">
        <f t="shared" ca="1" si="25"/>
        <v>0.61717995484957877</v>
      </c>
      <c r="D129" s="84">
        <f t="shared" ca="1" si="25"/>
        <v>0.46859242483269337</v>
      </c>
      <c r="F129" s="84">
        <f t="shared" ca="1" si="26"/>
        <v>0.56485264541630575</v>
      </c>
      <c r="G129" s="84">
        <f t="shared" ca="1" si="26"/>
        <v>0.25573946850938822</v>
      </c>
      <c r="H129" s="84">
        <f t="shared" ca="1" si="26"/>
        <v>5.1866667811999556E-2</v>
      </c>
      <c r="J129" s="85">
        <f t="shared" ca="1" si="18"/>
        <v>262643922.26364297</v>
      </c>
      <c r="K129" s="86">
        <f ca="1">IF(J129&gt;0,MIN(99,$B$12*Q129/(J129*12*(1-Inputs!$H$16))),99)</f>
        <v>1.589617488904167</v>
      </c>
      <c r="L129" s="84">
        <f t="shared" ca="1" si="19"/>
        <v>1.1789217212548533</v>
      </c>
      <c r="M129" s="84">
        <f t="shared" ca="1" si="20"/>
        <v>1.0784980508520143</v>
      </c>
      <c r="N129" s="84">
        <f t="shared" ca="1" si="21"/>
        <v>1.0050952233479296</v>
      </c>
      <c r="O129" s="84">
        <f t="shared" ca="1" si="22"/>
        <v>1.0287208354305879</v>
      </c>
      <c r="P129" s="84">
        <f t="shared" ca="1" si="23"/>
        <v>1.0424035551190758</v>
      </c>
      <c r="Q129" s="84">
        <f t="shared" ca="1" si="24"/>
        <v>0.91598830556994648</v>
      </c>
    </row>
    <row r="130" spans="1:17" ht="15" customHeight="1" x14ac:dyDescent="0.2">
      <c r="A130" s="15">
        <v>91</v>
      </c>
      <c r="B130" s="84">
        <f t="shared" ca="1" si="25"/>
        <v>0.44017289101472945</v>
      </c>
      <c r="C130" s="84">
        <f t="shared" ca="1" si="25"/>
        <v>0.62425349487840409</v>
      </c>
      <c r="D130" s="84">
        <f t="shared" ca="1" si="25"/>
        <v>0.48194885474842086</v>
      </c>
      <c r="F130" s="84">
        <f t="shared" ca="1" si="26"/>
        <v>0.12429253946299434</v>
      </c>
      <c r="G130" s="84">
        <f t="shared" ca="1" si="26"/>
        <v>0.98992096565742649</v>
      </c>
      <c r="H130" s="84">
        <f t="shared" ca="1" si="26"/>
        <v>0.45775365690389647</v>
      </c>
      <c r="J130" s="85">
        <f t="shared" ca="1" si="18"/>
        <v>103489783.27941154</v>
      </c>
      <c r="K130" s="86">
        <f ca="1">IF(J130&gt;0,MIN(99,$B$12*Q130/(J130*12*(1-Inputs!$H$16))),99)</f>
        <v>4.7591164865731477</v>
      </c>
      <c r="L130" s="84">
        <f t="shared" ca="1" si="19"/>
        <v>0.99752966148169342</v>
      </c>
      <c r="M130" s="84">
        <f t="shared" ca="1" si="20"/>
        <v>0.9982583758640946</v>
      </c>
      <c r="N130" s="84">
        <f t="shared" ca="1" si="21"/>
        <v>1.0061739101131586</v>
      </c>
      <c r="O130" s="84">
        <f t="shared" ca="1" si="22"/>
        <v>0.99293587421759144</v>
      </c>
      <c r="P130" s="84">
        <f t="shared" ca="1" si="23"/>
        <v>1.7672992486944525</v>
      </c>
      <c r="Q130" s="84">
        <f t="shared" ca="1" si="24"/>
        <v>1.080572109531414</v>
      </c>
    </row>
    <row r="131" spans="1:17" ht="15" customHeight="1" x14ac:dyDescent="0.2">
      <c r="A131" s="15">
        <v>92</v>
      </c>
      <c r="B131" s="84">
        <f t="shared" ca="1" si="25"/>
        <v>0.82110001241061603</v>
      </c>
      <c r="C131" s="84">
        <f t="shared" ca="1" si="25"/>
        <v>0.212389717197914</v>
      </c>
      <c r="D131" s="84">
        <f t="shared" ca="1" si="25"/>
        <v>0.48710380081545279</v>
      </c>
      <c r="F131" s="84">
        <f t="shared" ca="1" si="26"/>
        <v>0.81957704741241333</v>
      </c>
      <c r="G131" s="84">
        <f t="shared" ca="1" si="26"/>
        <v>0.92015329704663507</v>
      </c>
      <c r="H131" s="84">
        <f t="shared" ca="1" si="26"/>
        <v>0.4163519389373288</v>
      </c>
      <c r="J131" s="85">
        <f t="shared" ca="1" si="18"/>
        <v>188366920.11073697</v>
      </c>
      <c r="K131" s="86">
        <f ca="1">IF(J131&gt;0,MIN(99,$B$12*Q131/(J131*12*(1-Inputs!$H$16))),99)</f>
        <v>2.5755972613565126</v>
      </c>
      <c r="L131" s="84">
        <f t="shared" ca="1" si="19"/>
        <v>1.1181601189316304</v>
      </c>
      <c r="M131" s="84">
        <f t="shared" ca="1" si="20"/>
        <v>1.0516253193500351</v>
      </c>
      <c r="N131" s="84">
        <f t="shared" ca="1" si="21"/>
        <v>1.0065939457013893</v>
      </c>
      <c r="O131" s="84">
        <f t="shared" ca="1" si="22"/>
        <v>1.0583163705346674</v>
      </c>
      <c r="P131" s="84">
        <f t="shared" ca="1" si="23"/>
        <v>1.5940635604375117</v>
      </c>
      <c r="Q131" s="84">
        <f t="shared" ca="1" si="24"/>
        <v>1.0644187912157999</v>
      </c>
    </row>
    <row r="132" spans="1:17" ht="15" customHeight="1" x14ac:dyDescent="0.2">
      <c r="A132" s="15">
        <v>93</v>
      </c>
      <c r="B132" s="84">
        <f t="shared" ca="1" si="25"/>
        <v>3.3553335853760191E-2</v>
      </c>
      <c r="C132" s="84">
        <f t="shared" ca="1" si="25"/>
        <v>0.60873464680167622</v>
      </c>
      <c r="D132" s="84">
        <f t="shared" ca="1" si="25"/>
        <v>0.79516328956411531</v>
      </c>
      <c r="F132" s="84">
        <f t="shared" ca="1" si="26"/>
        <v>0.69978361561133473</v>
      </c>
      <c r="G132" s="84">
        <f t="shared" ca="1" si="26"/>
        <v>0.48155709232927446</v>
      </c>
      <c r="H132" s="84">
        <f t="shared" ca="1" si="26"/>
        <v>7.3047089304865809E-2</v>
      </c>
      <c r="J132" s="85">
        <f t="shared" ca="1" si="18"/>
        <v>4925324.9283937216</v>
      </c>
      <c r="K132" s="86">
        <f ca="1">IF(J132&gt;0,MIN(99,$B$12*Q132/(J132*12*(1-Inputs!$H$16))),99)</f>
        <v>86.047481761931934</v>
      </c>
      <c r="L132" s="84">
        <f t="shared" ca="1" si="19"/>
        <v>0.83643899643994868</v>
      </c>
      <c r="M132" s="84">
        <f t="shared" ca="1" si="20"/>
        <v>0.9261882153980413</v>
      </c>
      <c r="N132" s="84">
        <f t="shared" ca="1" si="21"/>
        <v>1.0374332344626962</v>
      </c>
      <c r="O132" s="84">
        <f t="shared" ca="1" si="22"/>
        <v>1.0427991170071704</v>
      </c>
      <c r="P132" s="84">
        <f t="shared" ca="1" si="23"/>
        <v>1.1780764025225043</v>
      </c>
      <c r="Q132" s="84">
        <f t="shared" ca="1" si="24"/>
        <v>0.92982879849580391</v>
      </c>
    </row>
    <row r="133" spans="1:17" ht="15" customHeight="1" x14ac:dyDescent="0.2">
      <c r="A133" s="15">
        <v>94</v>
      </c>
      <c r="B133" s="84">
        <f t="shared" ca="1" si="25"/>
        <v>0.31311526878211904</v>
      </c>
      <c r="C133" s="84">
        <f t="shared" ca="1" si="25"/>
        <v>0.20820752209273308</v>
      </c>
      <c r="D133" s="84">
        <f t="shared" ca="1" si="25"/>
        <v>0.87266499337376169</v>
      </c>
      <c r="F133" s="84">
        <f t="shared" ca="1" si="26"/>
        <v>0.73185679299853501</v>
      </c>
      <c r="G133" s="84">
        <f t="shared" ca="1" si="26"/>
        <v>0.30018559380499177</v>
      </c>
      <c r="H133" s="84">
        <f t="shared" ca="1" si="26"/>
        <v>0.74918524947299092</v>
      </c>
      <c r="J133" s="85">
        <f t="shared" ca="1" si="18"/>
        <v>87801437.891968206</v>
      </c>
      <c r="K133" s="86">
        <f ca="1">IF(J133&gt;0,MIN(99,$B$12*Q133/(J133*12*(1-Inputs!$H$16))),99)</f>
        <v>6.3252935104376258</v>
      </c>
      <c r="L133" s="84">
        <f t="shared" ca="1" si="19"/>
        <v>0.96268448987060273</v>
      </c>
      <c r="M133" s="84">
        <f t="shared" ca="1" si="20"/>
        <v>0.98266903610422895</v>
      </c>
      <c r="N133" s="84">
        <f t="shared" ca="1" si="21"/>
        <v>1.0486360252050269</v>
      </c>
      <c r="O133" s="84">
        <f t="shared" ca="1" si="22"/>
        <v>1.0465908812641984</v>
      </c>
      <c r="P133" s="84">
        <f t="shared" ca="1" si="23"/>
        <v>1.0672760208961605</v>
      </c>
      <c r="Q133" s="84">
        <f t="shared" ca="1" si="24"/>
        <v>1.2184627377344013</v>
      </c>
    </row>
    <row r="134" spans="1:17" ht="15" customHeight="1" x14ac:dyDescent="0.2">
      <c r="A134" s="15">
        <v>95</v>
      </c>
      <c r="B134" s="84">
        <f t="shared" ca="1" si="25"/>
        <v>0.98500982533530357</v>
      </c>
      <c r="C134" s="84">
        <f t="shared" ca="1" si="25"/>
        <v>0.32864524598613887</v>
      </c>
      <c r="D134" s="84">
        <f t="shared" ca="1" si="25"/>
        <v>0.13688396747891585</v>
      </c>
      <c r="F134" s="84">
        <f t="shared" ca="1" si="26"/>
        <v>0.52419715006784573</v>
      </c>
      <c r="G134" s="84">
        <f t="shared" ca="1" si="26"/>
        <v>0.59400548973923695</v>
      </c>
      <c r="H134" s="84">
        <f t="shared" ca="1" si="26"/>
        <v>0.99162793544264094</v>
      </c>
      <c r="J134" s="85">
        <f t="shared" ca="1" si="18"/>
        <v>305019368.42092645</v>
      </c>
      <c r="K134" s="86">
        <f ca="1">IF(J134&gt;0,MIN(99,$B$12*Q134/(J134*12*(1-Inputs!$H$16))),99)</f>
        <v>2.178811350842965</v>
      </c>
      <c r="L134" s="84">
        <f t="shared" ca="1" si="19"/>
        <v>1.2296001209649654</v>
      </c>
      <c r="M134" s="84">
        <f t="shared" ca="1" si="20"/>
        <v>1.1009113345096007</v>
      </c>
      <c r="N134" s="84">
        <f t="shared" ca="1" si="21"/>
        <v>0.97451413325370584</v>
      </c>
      <c r="O134" s="84">
        <f t="shared" ca="1" si="22"/>
        <v>1.0249249070885804</v>
      </c>
      <c r="P134" s="84">
        <f t="shared" ca="1" si="23"/>
        <v>1.2568626841363058</v>
      </c>
      <c r="Q134" s="84">
        <f t="shared" ca="1" si="24"/>
        <v>1.4580653455724901</v>
      </c>
    </row>
    <row r="135" spans="1:17" ht="15" customHeight="1" x14ac:dyDescent="0.2">
      <c r="A135" s="15">
        <v>96</v>
      </c>
      <c r="B135" s="84">
        <f t="shared" ca="1" si="25"/>
        <v>3.9594123118706692E-2</v>
      </c>
      <c r="C135" s="84">
        <f t="shared" ca="1" si="25"/>
        <v>0.86216571098018047</v>
      </c>
      <c r="D135" s="84">
        <f t="shared" ca="1" si="25"/>
        <v>7.0451831841499279E-3</v>
      </c>
      <c r="F135" s="84">
        <f t="shared" ca="1" si="26"/>
        <v>0.58043848956722288</v>
      </c>
      <c r="G135" s="84">
        <f t="shared" ca="1" si="26"/>
        <v>0.64239178249607898</v>
      </c>
      <c r="H135" s="84">
        <f t="shared" ca="1" si="26"/>
        <v>0.76838447304935342</v>
      </c>
      <c r="J135" s="85">
        <f t="shared" ca="1" si="18"/>
        <v>22265725.587978825</v>
      </c>
      <c r="K135" s="86">
        <f ca="1">IF(J135&gt;0,MIN(99,$B$12*Q135/(J135*12*(1-Inputs!$H$16))),99)</f>
        <v>25.177077978214701</v>
      </c>
      <c r="L135" s="84">
        <f t="shared" ca="1" si="19"/>
        <v>0.84174083345939354</v>
      </c>
      <c r="M135" s="84">
        <f t="shared" ca="1" si="20"/>
        <v>0.92856019793754618</v>
      </c>
      <c r="N135" s="84">
        <f t="shared" ca="1" si="21"/>
        <v>0.94700512124595981</v>
      </c>
      <c r="O135" s="84">
        <f t="shared" ca="1" si="22"/>
        <v>1.0302228603438053</v>
      </c>
      <c r="P135" s="84">
        <f t="shared" ca="1" si="23"/>
        <v>1.2941134557094065</v>
      </c>
      <c r="Q135" s="84">
        <f t="shared" ca="1" si="24"/>
        <v>1.2299065623430461</v>
      </c>
    </row>
    <row r="136" spans="1:17" ht="15" customHeight="1" x14ac:dyDescent="0.2">
      <c r="A136" s="15">
        <v>97</v>
      </c>
      <c r="B136" s="84">
        <f t="shared" ca="1" si="25"/>
        <v>9.3519565703831908E-2</v>
      </c>
      <c r="C136" s="84">
        <f t="shared" ca="1" si="25"/>
        <v>0.60455643215552057</v>
      </c>
      <c r="D136" s="84">
        <f t="shared" ca="1" si="25"/>
        <v>0.50998983585378288</v>
      </c>
      <c r="F136" s="84">
        <f t="shared" ca="1" si="26"/>
        <v>0.56626541128802876</v>
      </c>
      <c r="G136" s="84">
        <f t="shared" ca="1" si="26"/>
        <v>0.29444760951508309</v>
      </c>
      <c r="H136" s="84">
        <f t="shared" ca="1" si="26"/>
        <v>0.33760222425093422</v>
      </c>
      <c r="J136" s="85">
        <f t="shared" ca="1" si="18"/>
        <v>42624452.373376712</v>
      </c>
      <c r="K136" s="86">
        <f ca="1">IF(J136&gt;0,MIN(99,$B$12*Q136/(J136*12*(1-Inputs!$H$16))),99)</f>
        <v>11.069723183787474</v>
      </c>
      <c r="L136" s="84">
        <f t="shared" ca="1" si="19"/>
        <v>0.87757168781725825</v>
      </c>
      <c r="M136" s="84">
        <f t="shared" ca="1" si="20"/>
        <v>0.94459052112565844</v>
      </c>
      <c r="N136" s="84">
        <f t="shared" ca="1" si="21"/>
        <v>1.0084847539451531</v>
      </c>
      <c r="O136" s="84">
        <f t="shared" ca="1" si="22"/>
        <v>1.028855864666379</v>
      </c>
      <c r="P136" s="84">
        <f t="shared" ca="1" si="23"/>
        <v>1.0640214497309777</v>
      </c>
      <c r="Q136" s="84">
        <f t="shared" ca="1" si="24"/>
        <v>1.0352029824734683</v>
      </c>
    </row>
    <row r="137" spans="1:17" ht="15" customHeight="1" x14ac:dyDescent="0.2">
      <c r="A137" s="15">
        <v>98</v>
      </c>
      <c r="B137" s="84">
        <f t="shared" ca="1" si="25"/>
        <v>0.38688034312355246</v>
      </c>
      <c r="C137" s="84">
        <f t="shared" ca="1" si="25"/>
        <v>0.27578150458129569</v>
      </c>
      <c r="D137" s="84">
        <f t="shared" ca="1" si="25"/>
        <v>0.77227970524877931</v>
      </c>
      <c r="F137" s="84">
        <f t="shared" ca="1" si="26"/>
        <v>0.42077483494214518</v>
      </c>
      <c r="G137" s="84">
        <f t="shared" ca="1" si="26"/>
        <v>0.17514508727925027</v>
      </c>
      <c r="H137" s="84">
        <f t="shared" ca="1" si="26"/>
        <v>0.83775404644218232</v>
      </c>
      <c r="J137" s="85">
        <f t="shared" ca="1" si="18"/>
        <v>112847329.03307842</v>
      </c>
      <c r="K137" s="86">
        <f ca="1">IF(J137&gt;0,MIN(99,$B$12*Q137/(J137*12*(1-Inputs!$H$16))),99)</f>
        <v>5.153172325181786</v>
      </c>
      <c r="L137" s="84">
        <f t="shared" ca="1" si="19"/>
        <v>0.98362415632279898</v>
      </c>
      <c r="M137" s="84">
        <f t="shared" ca="1" si="20"/>
        <v>0.99203720849909949</v>
      </c>
      <c r="N137" s="84">
        <f t="shared" ca="1" si="21"/>
        <v>1.0345536268270408</v>
      </c>
      <c r="O137" s="84">
        <f t="shared" ca="1" si="22"/>
        <v>1.0159435146070031</v>
      </c>
      <c r="P137" s="84">
        <f t="shared" ca="1" si="23"/>
        <v>0.99912485600769707</v>
      </c>
      <c r="Q137" s="84">
        <f t="shared" ca="1" si="24"/>
        <v>1.2758390525665204</v>
      </c>
    </row>
    <row r="138" spans="1:17" ht="15" customHeight="1" x14ac:dyDescent="0.2">
      <c r="A138" s="15">
        <v>99</v>
      </c>
      <c r="B138" s="84">
        <f t="shared" ca="1" si="25"/>
        <v>0.36769848510557812</v>
      </c>
      <c r="C138" s="84">
        <f t="shared" ca="1" si="25"/>
        <v>0.40532315404492503</v>
      </c>
      <c r="D138" s="84">
        <f t="shared" ca="1" si="25"/>
        <v>0.3312396049805979</v>
      </c>
      <c r="F138" s="84">
        <f t="shared" ca="1" si="26"/>
        <v>0.19354306971733348</v>
      </c>
      <c r="G138" s="84">
        <f t="shared" ca="1" si="26"/>
        <v>0.1933891750302088</v>
      </c>
      <c r="H138" s="84">
        <f t="shared" ca="1" si="26"/>
        <v>0.61877856717814761</v>
      </c>
      <c r="J138" s="85">
        <f t="shared" ca="1" si="18"/>
        <v>120214461.15279372</v>
      </c>
      <c r="K138" s="86">
        <f ca="1">IF(J138&gt;0,MIN(99,$B$12*Q138/(J138*12*(1-Inputs!$H$16))),99)</f>
        <v>4.3609986115974992</v>
      </c>
      <c r="L138" s="84">
        <f t="shared" ca="1" si="19"/>
        <v>0.97838652751442889</v>
      </c>
      <c r="M138" s="84">
        <f t="shared" ca="1" si="20"/>
        <v>0.98969395199455257</v>
      </c>
      <c r="N138" s="84">
        <f t="shared" ca="1" si="21"/>
        <v>0.99428264217780404</v>
      </c>
      <c r="O138" s="84">
        <f t="shared" ca="1" si="22"/>
        <v>0.99864912194173794</v>
      </c>
      <c r="P138" s="84">
        <f t="shared" ca="1" si="23"/>
        <v>1.0087317213193905</v>
      </c>
      <c r="Q138" s="84">
        <f t="shared" ca="1" si="24"/>
        <v>1.150197988956748</v>
      </c>
    </row>
    <row r="139" spans="1:17" ht="15" customHeight="1" x14ac:dyDescent="0.2">
      <c r="A139" s="15">
        <v>100</v>
      </c>
      <c r="B139" s="84">
        <f t="shared" ca="1" si="25"/>
        <v>0.55893297873418912</v>
      </c>
      <c r="C139" s="84">
        <f t="shared" ca="1" si="25"/>
        <v>0.26311018839676226</v>
      </c>
      <c r="D139" s="84">
        <f t="shared" ca="1" si="25"/>
        <v>0.63928436232619201</v>
      </c>
      <c r="F139" s="84">
        <f t="shared" ca="1" si="26"/>
        <v>0.77169045703658001</v>
      </c>
      <c r="G139" s="84">
        <f t="shared" ca="1" si="26"/>
        <v>0.61227651169080244</v>
      </c>
      <c r="H139" s="84">
        <f t="shared" ca="1" si="26"/>
        <v>0.79645700916642903</v>
      </c>
      <c r="J139" s="85">
        <f t="shared" ca="1" si="18"/>
        <v>131695785.31482746</v>
      </c>
      <c r="K139" s="86">
        <f ca="1">IF(J139&gt;0,MIN(99,$B$12*Q139/(J139*12*(1-Inputs!$H$16))),99)</f>
        <v>4.3176690896813543</v>
      </c>
      <c r="L139" s="84">
        <f t="shared" ca="1" si="19"/>
        <v>1.0287344615581608</v>
      </c>
      <c r="M139" s="84">
        <f t="shared" ca="1" si="20"/>
        <v>1.0120754788569906</v>
      </c>
      <c r="N139" s="84">
        <f t="shared" ca="1" si="21"/>
        <v>1.0201160771500892</v>
      </c>
      <c r="O139" s="84">
        <f t="shared" ca="1" si="22"/>
        <v>1.0516316815722389</v>
      </c>
      <c r="P139" s="84">
        <f t="shared" ca="1" si="23"/>
        <v>1.2706534013845188</v>
      </c>
      <c r="Q139" s="84">
        <f t="shared" ca="1" si="24"/>
        <v>1.2475305003910948</v>
      </c>
    </row>
    <row r="140" spans="1:17" ht="15" customHeight="1" x14ac:dyDescent="0.2">
      <c r="A140" s="15">
        <v>101</v>
      </c>
      <c r="B140" s="84">
        <f t="shared" ref="B140:D159" ca="1" si="27">RAND()</f>
        <v>0.79804728243945944</v>
      </c>
      <c r="C140" s="84">
        <f t="shared" ca="1" si="27"/>
        <v>8.9138017384694068E-2</v>
      </c>
      <c r="D140" s="84">
        <f t="shared" ca="1" si="27"/>
        <v>0.73532002352237003</v>
      </c>
      <c r="F140" s="84">
        <f t="shared" ref="F140:H159" ca="1" si="28">RAND()</f>
        <v>6.0697041722138745E-2</v>
      </c>
      <c r="G140" s="84">
        <f t="shared" ca="1" si="28"/>
        <v>0.55482819086510227</v>
      </c>
      <c r="H140" s="84">
        <f t="shared" ca="1" si="28"/>
        <v>0.61202518597464206</v>
      </c>
      <c r="J140" s="85">
        <f t="shared" ca="1" si="18"/>
        <v>201061958.74301916</v>
      </c>
      <c r="K140" s="86">
        <f ca="1">IF(J140&gt;0,MIN(99,$B$12*Q140/(J140*12*(1-Inputs!$H$16))),99)</f>
        <v>2.6002051075370232</v>
      </c>
      <c r="L140" s="84">
        <f t="shared" ca="1" si="19"/>
        <v>1.1083611729980845</v>
      </c>
      <c r="M140" s="84">
        <f t="shared" ca="1" si="20"/>
        <v>1.0472915882928151</v>
      </c>
      <c r="N140" s="84">
        <f t="shared" ca="1" si="21"/>
        <v>1.0301929446936322</v>
      </c>
      <c r="O140" s="84">
        <f t="shared" ca="1" si="22"/>
        <v>0.98599346621889228</v>
      </c>
      <c r="P140" s="84">
        <f t="shared" ca="1" si="23"/>
        <v>1.2283018601602771</v>
      </c>
      <c r="Q140" s="84">
        <f t="shared" ca="1" si="24"/>
        <v>1.1470106691144295</v>
      </c>
    </row>
    <row r="141" spans="1:17" ht="15" customHeight="1" x14ac:dyDescent="0.2">
      <c r="A141" s="15">
        <v>102</v>
      </c>
      <c r="B141" s="84">
        <f t="shared" ca="1" si="27"/>
        <v>0.80919370514857114</v>
      </c>
      <c r="C141" s="84">
        <f t="shared" ca="1" si="27"/>
        <v>0.79528346323905175</v>
      </c>
      <c r="D141" s="84">
        <f t="shared" ca="1" si="27"/>
        <v>0.57009752956019755</v>
      </c>
      <c r="F141" s="84">
        <f t="shared" ca="1" si="28"/>
        <v>0.50679700585798104</v>
      </c>
      <c r="G141" s="84">
        <f t="shared" ca="1" si="28"/>
        <v>0.38579980463830843</v>
      </c>
      <c r="H141" s="84">
        <f t="shared" ca="1" si="28"/>
        <v>0.70861744210265953</v>
      </c>
      <c r="J141" s="85">
        <f t="shared" ca="1" si="18"/>
        <v>206538064.71204048</v>
      </c>
      <c r="K141" s="86">
        <f ca="1">IF(J141&gt;0,MIN(99,$B$12*Q141/(J141*12*(1-Inputs!$H$16))),99)</f>
        <v>2.6385855784470174</v>
      </c>
      <c r="L141" s="84">
        <f t="shared" ca="1" si="19"/>
        <v>1.1130251082973923</v>
      </c>
      <c r="M141" s="84">
        <f t="shared" ca="1" si="20"/>
        <v>1.0493542837493008</v>
      </c>
      <c r="N141" s="84">
        <f t="shared" ca="1" si="21"/>
        <v>1.013672369265918</v>
      </c>
      <c r="O141" s="84">
        <f t="shared" ca="1" si="22"/>
        <v>1.02335003598958</v>
      </c>
      <c r="P141" s="84">
        <f t="shared" ca="1" si="23"/>
        <v>1.1175224197653488</v>
      </c>
      <c r="Q141" s="84">
        <f t="shared" ca="1" si="24"/>
        <v>1.1956421838974429</v>
      </c>
    </row>
    <row r="142" spans="1:17" ht="15" customHeight="1" x14ac:dyDescent="0.2">
      <c r="A142" s="15">
        <v>103</v>
      </c>
      <c r="B142" s="84">
        <f t="shared" ca="1" si="27"/>
        <v>0.88502712866289468</v>
      </c>
      <c r="C142" s="84">
        <f t="shared" ca="1" si="27"/>
        <v>7.3757686066769912E-2</v>
      </c>
      <c r="D142" s="84">
        <f t="shared" ca="1" si="27"/>
        <v>0.75750512372396928</v>
      </c>
      <c r="F142" s="84">
        <f t="shared" ca="1" si="28"/>
        <v>0.91530547342382795</v>
      </c>
      <c r="G142" s="84">
        <f t="shared" ca="1" si="28"/>
        <v>2.6903604981892371E-2</v>
      </c>
      <c r="H142" s="84">
        <f t="shared" ca="1" si="28"/>
        <v>0.7861912636638908</v>
      </c>
      <c r="J142" s="85">
        <f t="shared" ca="1" si="18"/>
        <v>230163110.56077814</v>
      </c>
      <c r="K142" s="86">
        <f ca="1">IF(J142&gt;0,MIN(99,$B$12*Q142/(J142*12*(1-Inputs!$H$16))),99)</f>
        <v>2.4574772944977004</v>
      </c>
      <c r="L142" s="84">
        <f t="shared" ca="1" si="19"/>
        <v>1.1492670695129872</v>
      </c>
      <c r="M142" s="84">
        <f t="shared" ca="1" si="20"/>
        <v>1.0653828355914829</v>
      </c>
      <c r="N142" s="84">
        <f t="shared" ca="1" si="21"/>
        <v>1.0327708403416236</v>
      </c>
      <c r="O142" s="84">
        <f t="shared" ca="1" si="22"/>
        <v>1.0751667968962633</v>
      </c>
      <c r="P142" s="84">
        <f t="shared" ca="1" si="23"/>
        <v>0.88697404099330535</v>
      </c>
      <c r="Q142" s="84">
        <f t="shared" ca="1" si="24"/>
        <v>1.2409525436419377</v>
      </c>
    </row>
    <row r="143" spans="1:17" ht="15" customHeight="1" x14ac:dyDescent="0.2">
      <c r="A143" s="15">
        <v>104</v>
      </c>
      <c r="B143" s="84">
        <f t="shared" ca="1" si="27"/>
        <v>0.7485849699775764</v>
      </c>
      <c r="C143" s="84">
        <f t="shared" ca="1" si="27"/>
        <v>0.9627576941585595</v>
      </c>
      <c r="D143" s="84">
        <f t="shared" ca="1" si="27"/>
        <v>0.6719937439214605</v>
      </c>
      <c r="F143" s="84">
        <f t="shared" ca="1" si="28"/>
        <v>0.57741950972616307</v>
      </c>
      <c r="G143" s="84">
        <f t="shared" ca="1" si="28"/>
        <v>0.26518697794489454</v>
      </c>
      <c r="H143" s="84">
        <f t="shared" ca="1" si="28"/>
        <v>0.52794406613998113</v>
      </c>
      <c r="J143" s="85">
        <f t="shared" ca="1" si="18"/>
        <v>187517438.64158982</v>
      </c>
      <c r="K143" s="86">
        <f ca="1">IF(J143&gt;0,MIN(99,$B$12*Q143/(J143*12*(1-Inputs!$H$16))),99)</f>
        <v>2.69669065164301</v>
      </c>
      <c r="L143" s="84">
        <f t="shared" ca="1" si="19"/>
        <v>1.0890710710295914</v>
      </c>
      <c r="M143" s="84">
        <f t="shared" ca="1" si="20"/>
        <v>1.0387602508852267</v>
      </c>
      <c r="N143" s="84">
        <f t="shared" ca="1" si="21"/>
        <v>1.0233778355369698</v>
      </c>
      <c r="O143" s="84">
        <f t="shared" ca="1" si="22"/>
        <v>1.0299297668998824</v>
      </c>
      <c r="P143" s="84">
        <f t="shared" ca="1" si="23"/>
        <v>1.0476269519377972</v>
      </c>
      <c r="Q143" s="84">
        <f t="shared" ca="1" si="24"/>
        <v>1.1094372239024488</v>
      </c>
    </row>
    <row r="144" spans="1:17" ht="15" customHeight="1" x14ac:dyDescent="0.2">
      <c r="A144" s="15">
        <v>105</v>
      </c>
      <c r="B144" s="84">
        <f t="shared" ca="1" si="27"/>
        <v>0.1759338629870113</v>
      </c>
      <c r="C144" s="84">
        <f t="shared" ca="1" si="27"/>
        <v>0.9664484002747501</v>
      </c>
      <c r="D144" s="84">
        <f t="shared" ca="1" si="27"/>
        <v>0.78701034091505662</v>
      </c>
      <c r="F144" s="84">
        <f t="shared" ca="1" si="28"/>
        <v>0.6326092332140576</v>
      </c>
      <c r="G144" s="84">
        <f t="shared" ca="1" si="28"/>
        <v>0.40954081805494036</v>
      </c>
      <c r="H144" s="84">
        <f t="shared" ca="1" si="28"/>
        <v>0.35176299188284976</v>
      </c>
      <c r="J144" s="85">
        <f t="shared" ca="1" si="18"/>
        <v>58274588.772682473</v>
      </c>
      <c r="K144" s="86">
        <f ca="1">IF(J144&gt;0,MIN(99,$B$12*Q144/(J144*12*(1-Inputs!$H$16))),99)</f>
        <v>8.1369011372716056</v>
      </c>
      <c r="L144" s="84">
        <f t="shared" ca="1" si="19"/>
        <v>0.91568603195071918</v>
      </c>
      <c r="M144" s="84">
        <f t="shared" ca="1" si="20"/>
        <v>0.96164245208047239</v>
      </c>
      <c r="N144" s="84">
        <f t="shared" ca="1" si="21"/>
        <v>1.0363896771539614</v>
      </c>
      <c r="O144" s="84">
        <f t="shared" ca="1" si="22"/>
        <v>1.0354652544899141</v>
      </c>
      <c r="P144" s="84">
        <f t="shared" ca="1" si="23"/>
        <v>1.1320675148649451</v>
      </c>
      <c r="Q144" s="84">
        <f t="shared" ca="1" si="24"/>
        <v>1.0403229954792526</v>
      </c>
    </row>
    <row r="145" spans="1:17" ht="15" customHeight="1" x14ac:dyDescent="0.2">
      <c r="A145" s="15">
        <v>106</v>
      </c>
      <c r="B145" s="84">
        <f t="shared" ca="1" si="27"/>
        <v>0.86196623473260081</v>
      </c>
      <c r="C145" s="84">
        <f t="shared" ca="1" si="27"/>
        <v>0.49509034131402518</v>
      </c>
      <c r="D145" s="84">
        <f t="shared" ca="1" si="27"/>
        <v>0.74905077699402567</v>
      </c>
      <c r="F145" s="84">
        <f t="shared" ca="1" si="28"/>
        <v>0.95782719223251711</v>
      </c>
      <c r="G145" s="84">
        <f t="shared" ca="1" si="28"/>
        <v>0.33320764182767004</v>
      </c>
      <c r="H145" s="84">
        <f t="shared" ca="1" si="28"/>
        <v>0.83059189761695096</v>
      </c>
      <c r="J145" s="85">
        <f t="shared" ca="1" si="18"/>
        <v>211651181.20429903</v>
      </c>
      <c r="K145" s="86">
        <f ca="1">IF(J145&gt;0,MIN(99,$B$12*Q145/(J145*12*(1-Inputs!$H$16))),99)</f>
        <v>2.7364612876101457</v>
      </c>
      <c r="L145" s="84">
        <f t="shared" ca="1" si="19"/>
        <v>1.1372333758696709</v>
      </c>
      <c r="M145" s="84">
        <f t="shared" ca="1" si="20"/>
        <v>1.0600607537850537</v>
      </c>
      <c r="N145" s="84">
        <f t="shared" ca="1" si="21"/>
        <v>1.0317750776277799</v>
      </c>
      <c r="O145" s="84">
        <f t="shared" ca="1" si="22"/>
        <v>1.0859599015881714</v>
      </c>
      <c r="P145" s="84">
        <f t="shared" ca="1" si="23"/>
        <v>1.0862711514233911</v>
      </c>
      <c r="Q145" s="84">
        <f t="shared" ca="1" si="24"/>
        <v>1.2706909785640672</v>
      </c>
    </row>
    <row r="146" spans="1:17" ht="15" customHeight="1" x14ac:dyDescent="0.2">
      <c r="A146" s="15">
        <v>107</v>
      </c>
      <c r="B146" s="84">
        <f t="shared" ca="1" si="27"/>
        <v>0.57950129436947639</v>
      </c>
      <c r="C146" s="84">
        <f t="shared" ca="1" si="27"/>
        <v>0.32472121632345929</v>
      </c>
      <c r="D146" s="84">
        <f t="shared" ca="1" si="27"/>
        <v>0.21369771437570551</v>
      </c>
      <c r="F146" s="84">
        <f t="shared" ca="1" si="28"/>
        <v>0.91117577066173161</v>
      </c>
      <c r="G146" s="84">
        <f t="shared" ca="1" si="28"/>
        <v>0.41289183390285966</v>
      </c>
      <c r="H146" s="84">
        <f t="shared" ca="1" si="28"/>
        <v>2.2134929870161191E-3</v>
      </c>
      <c r="J146" s="85">
        <f t="shared" ca="1" si="18"/>
        <v>145447068.02785909</v>
      </c>
      <c r="K146" s="86">
        <f ca="1">IF(J146&gt;0,MIN(99,$B$12*Q146/(J146*12*(1-Inputs!$H$16))),99)</f>
        <v>2.6862067769994105</v>
      </c>
      <c r="L146" s="84">
        <f t="shared" ca="1" si="19"/>
        <v>1.0345450727803711</v>
      </c>
      <c r="M146" s="84">
        <f t="shared" ca="1" si="20"/>
        <v>1.0146453089678922</v>
      </c>
      <c r="N146" s="84">
        <f t="shared" ca="1" si="21"/>
        <v>0.98339034642626177</v>
      </c>
      <c r="O146" s="84">
        <f t="shared" ca="1" si="22"/>
        <v>1.0742834847654228</v>
      </c>
      <c r="P146" s="84">
        <f t="shared" ca="1" si="23"/>
        <v>1.1341439214655369</v>
      </c>
      <c r="Q146" s="84">
        <f t="shared" ca="1" si="24"/>
        <v>0.85718458595508151</v>
      </c>
    </row>
    <row r="147" spans="1:17" ht="15" customHeight="1" x14ac:dyDescent="0.2">
      <c r="A147" s="15">
        <v>108</v>
      </c>
      <c r="B147" s="84">
        <f t="shared" ca="1" si="27"/>
        <v>0.22780943895493599</v>
      </c>
      <c r="C147" s="84">
        <f t="shared" ca="1" si="27"/>
        <v>0.35330361432230784</v>
      </c>
      <c r="D147" s="84">
        <f t="shared" ca="1" si="27"/>
        <v>0.64832800829572623</v>
      </c>
      <c r="F147" s="84">
        <f t="shared" ca="1" si="28"/>
        <v>0.23232058796018717</v>
      </c>
      <c r="G147" s="84">
        <f t="shared" ca="1" si="28"/>
        <v>0.72032945676580418</v>
      </c>
      <c r="H147" s="84">
        <f t="shared" ca="1" si="28"/>
        <v>0.17745291399546137</v>
      </c>
      <c r="J147" s="85">
        <f t="shared" ca="1" si="18"/>
        <v>71284270.641532466</v>
      </c>
      <c r="K147" s="86">
        <f ca="1">IF(J147&gt;0,MIN(99,$B$12*Q147/(J147*12*(1-Inputs!$H$16))),99)</f>
        <v>6.2595378239778068</v>
      </c>
      <c r="L147" s="84">
        <f t="shared" ca="1" si="19"/>
        <v>0.93508923100080876</v>
      </c>
      <c r="M147" s="84">
        <f t="shared" ca="1" si="20"/>
        <v>0.9703232261571848</v>
      </c>
      <c r="N147" s="84">
        <f t="shared" ca="1" si="21"/>
        <v>1.0210025653614323</v>
      </c>
      <c r="O147" s="84">
        <f t="shared" ca="1" si="22"/>
        <v>1.0014409097828181</v>
      </c>
      <c r="P147" s="84">
        <f t="shared" ca="1" si="23"/>
        <v>1.3598834222167275</v>
      </c>
      <c r="Q147" s="84">
        <f t="shared" ca="1" si="24"/>
        <v>0.97896219291529296</v>
      </c>
    </row>
    <row r="148" spans="1:17" ht="15" customHeight="1" x14ac:dyDescent="0.2">
      <c r="A148" s="15">
        <v>109</v>
      </c>
      <c r="B148" s="84">
        <f t="shared" ca="1" si="27"/>
        <v>0.75476316206923921</v>
      </c>
      <c r="C148" s="84">
        <f t="shared" ca="1" si="27"/>
        <v>0.74864428902037028</v>
      </c>
      <c r="D148" s="84">
        <f t="shared" ca="1" si="27"/>
        <v>0.4030083808633832</v>
      </c>
      <c r="F148" s="84">
        <f t="shared" ca="1" si="28"/>
        <v>0.4743915315683962</v>
      </c>
      <c r="G148" s="84">
        <f t="shared" ca="1" si="28"/>
        <v>0.16072502921240206</v>
      </c>
      <c r="H148" s="84">
        <f t="shared" ca="1" si="28"/>
        <v>8.633970692091586E-2</v>
      </c>
      <c r="J148" s="85">
        <f t="shared" ca="1" si="18"/>
        <v>198448104.76232404</v>
      </c>
      <c r="K148" s="86">
        <f ca="1">IF(J148&gt;0,MIN(99,$B$12*Q148/(J148*12*(1-Inputs!$H$16))),99)</f>
        <v>2.1532432818204601</v>
      </c>
      <c r="L148" s="84">
        <f t="shared" ca="1" si="19"/>
        <v>1.0913697595288847</v>
      </c>
      <c r="M148" s="84">
        <f t="shared" ca="1" si="20"/>
        <v>1.0397768804092409</v>
      </c>
      <c r="N148" s="84">
        <f t="shared" ca="1" si="21"/>
        <v>0.99998512178163868</v>
      </c>
      <c r="O148" s="84">
        <f t="shared" ca="1" si="22"/>
        <v>1.0204893889842219</v>
      </c>
      <c r="P148" s="84">
        <f t="shared" ca="1" si="23"/>
        <v>0.99136926513060142</v>
      </c>
      <c r="Q148" s="84">
        <f t="shared" ca="1" si="24"/>
        <v>0.93749724019216218</v>
      </c>
    </row>
    <row r="149" spans="1:17" ht="15" customHeight="1" x14ac:dyDescent="0.2">
      <c r="A149" s="15">
        <v>110</v>
      </c>
      <c r="B149" s="84">
        <f t="shared" ca="1" si="27"/>
        <v>0.10463112997364932</v>
      </c>
      <c r="C149" s="84">
        <f t="shared" ca="1" si="27"/>
        <v>0.34219727820326606</v>
      </c>
      <c r="D149" s="84">
        <f t="shared" ca="1" si="27"/>
        <v>0.61482303531845917</v>
      </c>
      <c r="F149" s="84">
        <f t="shared" ca="1" si="28"/>
        <v>0.96104470559242461</v>
      </c>
      <c r="G149" s="84">
        <f t="shared" ca="1" si="28"/>
        <v>4.4001637026984008E-2</v>
      </c>
      <c r="H149" s="84">
        <f t="shared" ca="1" si="28"/>
        <v>0.61524003757400836</v>
      </c>
      <c r="J149" s="85">
        <f t="shared" ca="1" si="18"/>
        <v>40888339.045358077</v>
      </c>
      <c r="K149" s="86">
        <f ca="1">IF(J149&gt;0,MIN(99,$B$12*Q149/(J149*12*(1-Inputs!$H$16))),99)</f>
        <v>12.80297323502541</v>
      </c>
      <c r="L149" s="84">
        <f t="shared" ca="1" si="19"/>
        <v>0.88349424925790099</v>
      </c>
      <c r="M149" s="84">
        <f t="shared" ca="1" si="20"/>
        <v>0.94724020882349347</v>
      </c>
      <c r="N149" s="84">
        <f t="shared" ca="1" si="21"/>
        <v>1.0177725007316307</v>
      </c>
      <c r="O149" s="84">
        <f t="shared" ca="1" si="22"/>
        <v>1.0869665040662584</v>
      </c>
      <c r="P149" s="84">
        <f t="shared" ca="1" si="23"/>
        <v>0.90713300477221193</v>
      </c>
      <c r="Q149" s="84">
        <f t="shared" ca="1" si="24"/>
        <v>1.1485244583619212</v>
      </c>
    </row>
    <row r="150" spans="1:17" ht="15" customHeight="1" x14ac:dyDescent="0.2">
      <c r="A150" s="15">
        <v>111</v>
      </c>
      <c r="B150" s="84">
        <f t="shared" ca="1" si="27"/>
        <v>4.8343444189124285E-2</v>
      </c>
      <c r="C150" s="84">
        <f t="shared" ca="1" si="27"/>
        <v>0.74692429591831544</v>
      </c>
      <c r="D150" s="84">
        <f t="shared" ca="1" si="27"/>
        <v>0.88661844637137954</v>
      </c>
      <c r="F150" s="84">
        <f t="shared" ca="1" si="28"/>
        <v>0.24346204144929118</v>
      </c>
      <c r="G150" s="84">
        <f t="shared" ca="1" si="28"/>
        <v>0.70906165846850411</v>
      </c>
      <c r="H150" s="84">
        <f t="shared" ca="1" si="28"/>
        <v>0.76857000467664072</v>
      </c>
      <c r="J150" s="85">
        <f t="shared" ca="1" si="18"/>
        <v>10286904.081012622</v>
      </c>
      <c r="K150" s="86">
        <f ca="1">IF(J150&gt;0,MIN(99,$B$12*Q150/(J150*12*(1-Inputs!$H$16))),99)</f>
        <v>54.500104622658476</v>
      </c>
      <c r="L150" s="84">
        <f t="shared" ca="1" si="19"/>
        <v>0.84874711839303607</v>
      </c>
      <c r="M150" s="84">
        <f t="shared" ca="1" si="20"/>
        <v>0.9316947313961278</v>
      </c>
      <c r="N150" s="84">
        <f t="shared" ca="1" si="21"/>
        <v>1.0509899370574847</v>
      </c>
      <c r="O150" s="84">
        <f t="shared" ca="1" si="22"/>
        <v>1.0022449155353044</v>
      </c>
      <c r="P150" s="84">
        <f t="shared" ca="1" si="23"/>
        <v>1.3498529973756783</v>
      </c>
      <c r="Q150" s="84">
        <f t="shared" ca="1" si="24"/>
        <v>1.2300194184053685</v>
      </c>
    </row>
    <row r="151" spans="1:17" ht="15" customHeight="1" x14ac:dyDescent="0.2">
      <c r="A151" s="15">
        <v>112</v>
      </c>
      <c r="B151" s="84">
        <f t="shared" ca="1" si="27"/>
        <v>0.44249172784542767</v>
      </c>
      <c r="C151" s="84">
        <f t="shared" ca="1" si="27"/>
        <v>0.69701083708824374</v>
      </c>
      <c r="D151" s="84">
        <f t="shared" ca="1" si="27"/>
        <v>0.17078803471564707</v>
      </c>
      <c r="F151" s="84">
        <f t="shared" ca="1" si="28"/>
        <v>0.67684996847201351</v>
      </c>
      <c r="G151" s="84">
        <f t="shared" ca="1" si="28"/>
        <v>0.61567445000187682</v>
      </c>
      <c r="H151" s="84">
        <f t="shared" ca="1" si="28"/>
        <v>0.48842445100849807</v>
      </c>
      <c r="J151" s="85">
        <f t="shared" ca="1" si="18"/>
        <v>120582860.12834488</v>
      </c>
      <c r="K151" s="86">
        <f ca="1">IF(J151&gt;0,MIN(99,$B$12*Q151/(J151*12*(1-Inputs!$H$16))),99)</f>
        <v>4.1312446846725912</v>
      </c>
      <c r="L151" s="84">
        <f t="shared" ca="1" si="19"/>
        <v>0.99811503620915065</v>
      </c>
      <c r="M151" s="84">
        <f t="shared" ca="1" si="20"/>
        <v>0.99852026596511123</v>
      </c>
      <c r="N151" s="84">
        <f t="shared" ca="1" si="21"/>
        <v>0.97867706317704906</v>
      </c>
      <c r="O151" s="84">
        <f t="shared" ca="1" si="22"/>
        <v>1.0402108278227804</v>
      </c>
      <c r="P151" s="84">
        <f t="shared" ca="1" si="23"/>
        <v>1.2732536953932256</v>
      </c>
      <c r="Q151" s="84">
        <f t="shared" ca="1" si="24"/>
        <v>1.0929403006187155</v>
      </c>
    </row>
    <row r="152" spans="1:17" ht="15" customHeight="1" x14ac:dyDescent="0.2">
      <c r="A152" s="15">
        <v>113</v>
      </c>
      <c r="B152" s="84">
        <f t="shared" ca="1" si="27"/>
        <v>0.32541523775455339</v>
      </c>
      <c r="C152" s="84">
        <f t="shared" ca="1" si="27"/>
        <v>0.45602564947929247</v>
      </c>
      <c r="D152" s="84">
        <f t="shared" ca="1" si="27"/>
        <v>0.10925069812321409</v>
      </c>
      <c r="F152" s="84">
        <f t="shared" ca="1" si="28"/>
        <v>0.56531891398677181</v>
      </c>
      <c r="G152" s="84">
        <f t="shared" ca="1" si="28"/>
        <v>6.3950183231403113E-2</v>
      </c>
      <c r="H152" s="84">
        <f t="shared" ca="1" si="28"/>
        <v>0.97289671907223818</v>
      </c>
      <c r="J152" s="85">
        <f t="shared" ca="1" si="18"/>
        <v>114798697.9030972</v>
      </c>
      <c r="K152" s="86">
        <f ca="1">IF(J152&gt;0,MIN(99,$B$12*Q152/(J152*12*(1-Inputs!$H$16))),99)</f>
        <v>5.6191168788646513</v>
      </c>
      <c r="L152" s="84">
        <f t="shared" ca="1" si="19"/>
        <v>0.96633534500292217</v>
      </c>
      <c r="M152" s="84">
        <f t="shared" ca="1" si="20"/>
        <v>0.98430238782672874</v>
      </c>
      <c r="N152" s="84">
        <f t="shared" ca="1" si="21"/>
        <v>0.97072043799330676</v>
      </c>
      <c r="O152" s="84">
        <f t="shared" ca="1" si="22"/>
        <v>1.0287653761485362</v>
      </c>
      <c r="P152" s="84">
        <f t="shared" ca="1" si="23"/>
        <v>0.92613537034564342</v>
      </c>
      <c r="Q152" s="84">
        <f t="shared" ca="1" si="24"/>
        <v>1.4152558840033302</v>
      </c>
    </row>
    <row r="153" spans="1:17" ht="15" customHeight="1" x14ac:dyDescent="0.2">
      <c r="A153" s="15">
        <v>114</v>
      </c>
      <c r="B153" s="84">
        <f t="shared" ca="1" si="27"/>
        <v>0.65042191715898479</v>
      </c>
      <c r="C153" s="84">
        <f t="shared" ca="1" si="27"/>
        <v>0.65845670485375385</v>
      </c>
      <c r="D153" s="84">
        <f t="shared" ca="1" si="27"/>
        <v>0.66778965631667064</v>
      </c>
      <c r="F153" s="84">
        <f t="shared" ca="1" si="28"/>
        <v>0.32983177442795419</v>
      </c>
      <c r="G153" s="84">
        <f t="shared" ca="1" si="28"/>
        <v>0.24766507996307596</v>
      </c>
      <c r="H153" s="84">
        <f t="shared" ca="1" si="28"/>
        <v>4.6821727366424759E-2</v>
      </c>
      <c r="J153" s="85">
        <f t="shared" ca="1" si="18"/>
        <v>166701929.72640145</v>
      </c>
      <c r="K153" s="86">
        <f ca="1">IF(J153&gt;0,MIN(99,$B$12*Q153/(J153*12*(1-Inputs!$H$16))),99)</f>
        <v>2.4943829559777151</v>
      </c>
      <c r="L153" s="84">
        <f t="shared" ca="1" si="19"/>
        <v>1.0557581554751931</v>
      </c>
      <c r="M153" s="84">
        <f t="shared" ca="1" si="20"/>
        <v>1.0240271134923158</v>
      </c>
      <c r="N153" s="84">
        <f t="shared" ca="1" si="21"/>
        <v>1.0229497706689725</v>
      </c>
      <c r="O153" s="84">
        <f t="shared" ca="1" si="22"/>
        <v>1.0086900411814335</v>
      </c>
      <c r="P153" s="84">
        <f t="shared" ca="1" si="23"/>
        <v>1.0379655543745903</v>
      </c>
      <c r="Q153" s="84">
        <f t="shared" ca="1" si="24"/>
        <v>0.91229164808241825</v>
      </c>
    </row>
    <row r="154" spans="1:17" ht="15" customHeight="1" x14ac:dyDescent="0.2">
      <c r="A154" s="15">
        <v>115</v>
      </c>
      <c r="B154" s="84">
        <f t="shared" ca="1" si="27"/>
        <v>0.84699544303283403</v>
      </c>
      <c r="C154" s="84">
        <f t="shared" ca="1" si="27"/>
        <v>0.61231348157015952</v>
      </c>
      <c r="D154" s="84">
        <f t="shared" ca="1" si="27"/>
        <v>0.38800761887382029</v>
      </c>
      <c r="F154" s="84">
        <f t="shared" ca="1" si="28"/>
        <v>0.40034953549102315</v>
      </c>
      <c r="G154" s="84">
        <f t="shared" ca="1" si="28"/>
        <v>0.90483774864869748</v>
      </c>
      <c r="H154" s="84">
        <f t="shared" ca="1" si="28"/>
        <v>0.785880904162229</v>
      </c>
      <c r="J154" s="85">
        <f t="shared" ca="1" si="18"/>
        <v>207712333.77889162</v>
      </c>
      <c r="K154" s="86">
        <f ca="1">IF(J154&gt;0,MIN(99,$B$12*Q154/(J154*12*(1-Inputs!$H$16))),99)</f>
        <v>2.7226650365261795</v>
      </c>
      <c r="L154" s="84">
        <f t="shared" ca="1" si="19"/>
        <v>1.1299547429834904</v>
      </c>
      <c r="M154" s="84">
        <f t="shared" ca="1" si="20"/>
        <v>1.0568416690378919</v>
      </c>
      <c r="N154" s="84">
        <f t="shared" ca="1" si="21"/>
        <v>0.99883810632257641</v>
      </c>
      <c r="O154" s="84">
        <f t="shared" ca="1" si="22"/>
        <v>1.0142674583450211</v>
      </c>
      <c r="P154" s="84">
        <f t="shared" ca="1" si="23"/>
        <v>1.5694231618119838</v>
      </c>
      <c r="Q154" s="84">
        <f t="shared" ca="1" si="24"/>
        <v>1.2407561630418888</v>
      </c>
    </row>
    <row r="155" spans="1:17" ht="15" customHeight="1" x14ac:dyDescent="0.2">
      <c r="A155" s="15">
        <v>116</v>
      </c>
      <c r="B155" s="84">
        <f t="shared" ca="1" si="27"/>
        <v>0.20914553671158342</v>
      </c>
      <c r="C155" s="84">
        <f t="shared" ca="1" si="27"/>
        <v>0.9267654067120823</v>
      </c>
      <c r="D155" s="84">
        <f t="shared" ca="1" si="27"/>
        <v>0.87523028791481283</v>
      </c>
      <c r="F155" s="84">
        <f t="shared" ca="1" si="28"/>
        <v>0.73575254714592042</v>
      </c>
      <c r="G155" s="84">
        <f t="shared" ca="1" si="28"/>
        <v>0.66081901017852251</v>
      </c>
      <c r="H155" s="84">
        <f t="shared" ca="1" si="28"/>
        <v>0.73155614100332145</v>
      </c>
      <c r="J155" s="85">
        <f t="shared" ca="1" si="18"/>
        <v>55508574.198341146</v>
      </c>
      <c r="K155" s="86">
        <f ca="1">IF(J155&gt;0,MIN(99,$B$12*Q155/(J155*12*(1-Inputs!$H$16))),99)</f>
        <v>9.9219556036927514</v>
      </c>
      <c r="L155" s="84">
        <f t="shared" ca="1" si="19"/>
        <v>0.92839124121035443</v>
      </c>
      <c r="M155" s="84">
        <f t="shared" ca="1" si="20"/>
        <v>0.96732662049494522</v>
      </c>
      <c r="N155" s="84">
        <f t="shared" ca="1" si="21"/>
        <v>1.0490587242027738</v>
      </c>
      <c r="O155" s="84">
        <f t="shared" ca="1" si="22"/>
        <v>1.0470665636738352</v>
      </c>
      <c r="P155" s="84">
        <f t="shared" ca="1" si="23"/>
        <v>1.3089582993848639</v>
      </c>
      <c r="Q155" s="84">
        <f t="shared" ca="1" si="24"/>
        <v>1.2083348268301519</v>
      </c>
    </row>
    <row r="156" spans="1:17" ht="15" customHeight="1" x14ac:dyDescent="0.2">
      <c r="A156" s="15">
        <v>117</v>
      </c>
      <c r="B156" s="84">
        <f t="shared" ca="1" si="27"/>
        <v>0.87330459513406811</v>
      </c>
      <c r="C156" s="84">
        <f t="shared" ca="1" si="27"/>
        <v>0.23635794550988343</v>
      </c>
      <c r="D156" s="84">
        <f t="shared" ca="1" si="27"/>
        <v>0.50944141207850913</v>
      </c>
      <c r="F156" s="84">
        <f t="shared" ca="1" si="28"/>
        <v>0.60111703887954715</v>
      </c>
      <c r="G156" s="84">
        <f t="shared" ca="1" si="28"/>
        <v>9.4848141684196086E-2</v>
      </c>
      <c r="H156" s="84">
        <f t="shared" ca="1" si="28"/>
        <v>0.35637843267080893</v>
      </c>
      <c r="J156" s="85">
        <f t="shared" ca="1" si="18"/>
        <v>236003946.81716526</v>
      </c>
      <c r="K156" s="86">
        <f ca="1">IF(J156&gt;0,MIN(99,$B$12*Q156/(J156*12*(1-Inputs!$H$16))),99)</f>
        <v>2.0124268737188542</v>
      </c>
      <c r="L156" s="84">
        <f t="shared" ca="1" si="19"/>
        <v>1.1430128105872936</v>
      </c>
      <c r="M156" s="84">
        <f t="shared" ca="1" si="20"/>
        <v>1.0626167956184096</v>
      </c>
      <c r="N156" s="84">
        <f t="shared" ca="1" si="21"/>
        <v>1.0084389338366155</v>
      </c>
      <c r="O156" s="84">
        <f t="shared" ca="1" si="22"/>
        <v>1.0322594239464722</v>
      </c>
      <c r="P156" s="84">
        <f t="shared" ca="1" si="23"/>
        <v>0.95041406321157829</v>
      </c>
      <c r="Q156" s="84">
        <f t="shared" ca="1" si="24"/>
        <v>1.0420038307995481</v>
      </c>
    </row>
    <row r="157" spans="1:17" ht="15" customHeight="1" x14ac:dyDescent="0.2">
      <c r="A157" s="15">
        <v>118</v>
      </c>
      <c r="B157" s="84">
        <f t="shared" ca="1" si="27"/>
        <v>2.3850446489547261E-2</v>
      </c>
      <c r="C157" s="84">
        <f t="shared" ca="1" si="27"/>
        <v>0.76843686614311102</v>
      </c>
      <c r="D157" s="84">
        <f t="shared" ca="1" si="27"/>
        <v>0.2266622275064013</v>
      </c>
      <c r="F157" s="84">
        <f t="shared" ca="1" si="28"/>
        <v>0.87665961658561686</v>
      </c>
      <c r="G157" s="84">
        <f t="shared" ca="1" si="28"/>
        <v>4.7508215200504633E-3</v>
      </c>
      <c r="H157" s="84">
        <f t="shared" ca="1" si="28"/>
        <v>0.59055654533343704</v>
      </c>
      <c r="J157" s="85">
        <f t="shared" ca="1" si="18"/>
        <v>16888226.957596138</v>
      </c>
      <c r="K157" s="86">
        <f ca="1">IF(J157&gt;0,MIN(99,$B$12*Q157/(J157*12*(1-Inputs!$H$16))),99)</f>
        <v>30.688014789232856</v>
      </c>
      <c r="L157" s="84">
        <f t="shared" ca="1" si="19"/>
        <v>0.82679937480389187</v>
      </c>
      <c r="M157" s="84">
        <f t="shared" ca="1" si="20"/>
        <v>0.92187555657350528</v>
      </c>
      <c r="N157" s="84">
        <f t="shared" ca="1" si="21"/>
        <v>0.98471905102093593</v>
      </c>
      <c r="O157" s="84">
        <f t="shared" ca="1" si="22"/>
        <v>1.0675850235844149</v>
      </c>
      <c r="P157" s="84">
        <f t="shared" ca="1" si="23"/>
        <v>0.84506428268693135</v>
      </c>
      <c r="Q157" s="84">
        <f t="shared" ca="1" si="24"/>
        <v>1.1370584577593794</v>
      </c>
    </row>
    <row r="158" spans="1:17" ht="15" customHeight="1" x14ac:dyDescent="0.2">
      <c r="A158" s="15">
        <v>119</v>
      </c>
      <c r="B158" s="84">
        <f t="shared" ca="1" si="27"/>
        <v>0.83402698010434895</v>
      </c>
      <c r="C158" s="84">
        <f t="shared" ca="1" si="27"/>
        <v>0.33329994055903323</v>
      </c>
      <c r="D158" s="84">
        <f t="shared" ca="1" si="27"/>
        <v>0.78446295021144141</v>
      </c>
      <c r="F158" s="84">
        <f t="shared" ca="1" si="28"/>
        <v>0.97102583194485403</v>
      </c>
      <c r="G158" s="84">
        <f t="shared" ca="1" si="28"/>
        <v>0.44683058341500093</v>
      </c>
      <c r="H158" s="84">
        <f t="shared" ca="1" si="28"/>
        <v>0.16960745202200556</v>
      </c>
      <c r="J158" s="85">
        <f t="shared" ca="1" si="18"/>
        <v>196932738.70574421</v>
      </c>
      <c r="K158" s="86">
        <f ca="1">IF(J158&gt;0,MIN(99,$B$12*Q158/(J158*12*(1-Inputs!$H$16))),99)</f>
        <v>2.2586884979820208</v>
      </c>
      <c r="L158" s="84">
        <f t="shared" ca="1" si="19"/>
        <v>1.1239328287295614</v>
      </c>
      <c r="M158" s="84">
        <f t="shared" ca="1" si="20"/>
        <v>1.054178386986623</v>
      </c>
      <c r="N158" s="84">
        <f t="shared" ca="1" si="21"/>
        <v>1.036067727933788</v>
      </c>
      <c r="O158" s="84">
        <f t="shared" ca="1" si="22"/>
        <v>1.0903876370127972</v>
      </c>
      <c r="P158" s="84">
        <f t="shared" ca="1" si="23"/>
        <v>1.1555169963441265</v>
      </c>
      <c r="Q158" s="84">
        <f t="shared" ca="1" si="24"/>
        <v>0.97589749292864403</v>
      </c>
    </row>
    <row r="159" spans="1:17" ht="15" customHeight="1" x14ac:dyDescent="0.2">
      <c r="A159" s="15">
        <v>120</v>
      </c>
      <c r="B159" s="84">
        <f t="shared" ca="1" si="27"/>
        <v>0.2162023690963325</v>
      </c>
      <c r="C159" s="84">
        <f t="shared" ca="1" si="27"/>
        <v>0.30615580221572858</v>
      </c>
      <c r="D159" s="84">
        <f t="shared" ca="1" si="27"/>
        <v>0.91650519955130649</v>
      </c>
      <c r="F159" s="84">
        <f t="shared" ca="1" si="28"/>
        <v>0.27323574037470144</v>
      </c>
      <c r="G159" s="84">
        <f t="shared" ca="1" si="28"/>
        <v>0.70844029540355502</v>
      </c>
      <c r="H159" s="84">
        <f t="shared" ca="1" si="28"/>
        <v>0.70359172973296091</v>
      </c>
      <c r="J159" s="85">
        <f t="shared" ca="1" si="18"/>
        <v>61293077.597362503</v>
      </c>
      <c r="K159" s="86">
        <f ca="1">IF(J159&gt;0,MIN(99,$B$12*Q159/(J159*12*(1-Inputs!$H$16))),99)</f>
        <v>8.8710118416644228</v>
      </c>
      <c r="L159" s="84">
        <f t="shared" ca="1" si="19"/>
        <v>0.93095757924300249</v>
      </c>
      <c r="M159" s="84">
        <f t="shared" ca="1" si="20"/>
        <v>0.96847477140595639</v>
      </c>
      <c r="N159" s="84">
        <f t="shared" ca="1" si="21"/>
        <v>1.0565787912303362</v>
      </c>
      <c r="O159" s="84">
        <f t="shared" ca="1" si="22"/>
        <v>1.0044230149704561</v>
      </c>
      <c r="P159" s="84">
        <f t="shared" ca="1" si="23"/>
        <v>1.3493055698679526</v>
      </c>
      <c r="Q159" s="84">
        <f t="shared" ca="1" si="24"/>
        <v>1.1929288141979801</v>
      </c>
    </row>
    <row r="160" spans="1:17" ht="15" customHeight="1" x14ac:dyDescent="0.2">
      <c r="A160" s="15">
        <v>121</v>
      </c>
      <c r="B160" s="84">
        <f t="shared" ref="B160:D179" ca="1" si="29">RAND()</f>
        <v>0.20496005711385978</v>
      </c>
      <c r="C160" s="84">
        <f t="shared" ca="1" si="29"/>
        <v>4.8186235532773902E-2</v>
      </c>
      <c r="D160" s="84">
        <f t="shared" ca="1" si="29"/>
        <v>9.9384733092531929E-2</v>
      </c>
      <c r="F160" s="84">
        <f t="shared" ref="F160:H179" ca="1" si="30">RAND()</f>
        <v>0.32575829731935158</v>
      </c>
      <c r="G160" s="84">
        <f t="shared" ca="1" si="30"/>
        <v>0.33468933574350235</v>
      </c>
      <c r="H160" s="84">
        <f t="shared" ca="1" si="30"/>
        <v>0.45702761140599579</v>
      </c>
      <c r="J160" s="85">
        <f t="shared" ca="1" si="18"/>
        <v>85244351.754132494</v>
      </c>
      <c r="K160" s="86">
        <f ca="1">IF(J160&gt;0,MIN(99,$B$12*Q160/(J160*12*(1-Inputs!$H$16))),99)</f>
        <v>5.7762002204536183</v>
      </c>
      <c r="L160" s="84">
        <f t="shared" ca="1" si="19"/>
        <v>0.92684862997508155</v>
      </c>
      <c r="M160" s="84">
        <f t="shared" ca="1" si="20"/>
        <v>0.9666364734945958</v>
      </c>
      <c r="N160" s="84">
        <f t="shared" ca="1" si="21"/>
        <v>0.96925118665528198</v>
      </c>
      <c r="O160" s="84">
        <f t="shared" ca="1" si="22"/>
        <v>1.008377045907404</v>
      </c>
      <c r="P160" s="84">
        <f t="shared" ca="1" si="23"/>
        <v>1.087134364507965</v>
      </c>
      <c r="Q160" s="84">
        <f t="shared" ca="1" si="24"/>
        <v>1.0802836240273181</v>
      </c>
    </row>
    <row r="161" spans="1:17" ht="15" customHeight="1" x14ac:dyDescent="0.2">
      <c r="A161" s="15">
        <v>122</v>
      </c>
      <c r="B161" s="84">
        <f t="shared" ca="1" si="29"/>
        <v>0.96292254444715464</v>
      </c>
      <c r="C161" s="84">
        <f t="shared" ca="1" si="29"/>
        <v>0.92255797279339136</v>
      </c>
      <c r="D161" s="84">
        <f t="shared" ca="1" si="29"/>
        <v>0.32991445974735933</v>
      </c>
      <c r="F161" s="84">
        <f t="shared" ca="1" si="30"/>
        <v>0.73762282901709519</v>
      </c>
      <c r="G161" s="84">
        <f t="shared" ca="1" si="30"/>
        <v>0.86764627951822582</v>
      </c>
      <c r="H161" s="84">
        <f t="shared" ca="1" si="30"/>
        <v>0.93645739907529113</v>
      </c>
      <c r="J161" s="85">
        <f t="shared" ca="1" si="18"/>
        <v>264600197.68633145</v>
      </c>
      <c r="K161" s="86">
        <f ca="1">IF(J161&gt;0,MIN(99,$B$12*Q161/(J161*12*(1-Inputs!$H$16))),99)</f>
        <v>2.3497177629724093</v>
      </c>
      <c r="L161" s="84">
        <f t="shared" ca="1" si="19"/>
        <v>1.2035986685102005</v>
      </c>
      <c r="M161" s="84">
        <f t="shared" ca="1" si="20"/>
        <v>1.089411801518988</v>
      </c>
      <c r="N161" s="84">
        <f t="shared" ca="1" si="21"/>
        <v>0.99417181623880513</v>
      </c>
      <c r="O161" s="84">
        <f t="shared" ca="1" si="22"/>
        <v>1.0472961759084018</v>
      </c>
      <c r="P161" s="84">
        <f t="shared" ca="1" si="23"/>
        <v>1.5168176641209423</v>
      </c>
      <c r="Q161" s="84">
        <f t="shared" ca="1" si="24"/>
        <v>1.3640673244347048</v>
      </c>
    </row>
    <row r="162" spans="1:17" ht="15" customHeight="1" x14ac:dyDescent="0.2">
      <c r="A162" s="15">
        <v>123</v>
      </c>
      <c r="B162" s="84">
        <f t="shared" ca="1" si="29"/>
        <v>0.30671258865837747</v>
      </c>
      <c r="C162" s="84">
        <f t="shared" ca="1" si="29"/>
        <v>0.58811725934394765</v>
      </c>
      <c r="D162" s="84">
        <f t="shared" ca="1" si="29"/>
        <v>0.12752936669448889</v>
      </c>
      <c r="F162" s="84">
        <f t="shared" ca="1" si="30"/>
        <v>0.93947992961510962</v>
      </c>
      <c r="G162" s="84">
        <f t="shared" ca="1" si="30"/>
        <v>0.2481599444227901</v>
      </c>
      <c r="H162" s="84">
        <f t="shared" ca="1" si="30"/>
        <v>0.2110510320119221</v>
      </c>
      <c r="J162" s="85">
        <f t="shared" ca="1" si="18"/>
        <v>97450897.653034672</v>
      </c>
      <c r="K162" s="86">
        <f ca="1">IF(J162&gt;0,MIN(99,$B$12*Q162/(J162*12*(1-Inputs!$H$16))),99)</f>
        <v>4.6368538991103447</v>
      </c>
      <c r="L162" s="84">
        <f t="shared" ca="1" si="19"/>
        <v>0.96075566269717716</v>
      </c>
      <c r="M162" s="84">
        <f t="shared" ca="1" si="20"/>
        <v>0.981806100416031</v>
      </c>
      <c r="N162" s="84">
        <f t="shared" ca="1" si="21"/>
        <v>0.97327681727551807</v>
      </c>
      <c r="O162" s="84">
        <f t="shared" ca="1" si="22"/>
        <v>1.0808384517866878</v>
      </c>
      <c r="P162" s="84">
        <f t="shared" ca="1" si="23"/>
        <v>1.0382368641537094</v>
      </c>
      <c r="Q162" s="84">
        <f t="shared" ca="1" si="24"/>
        <v>0.99137781809694947</v>
      </c>
    </row>
    <row r="163" spans="1:17" ht="15" customHeight="1" x14ac:dyDescent="0.2">
      <c r="A163" s="15">
        <v>124</v>
      </c>
      <c r="B163" s="84">
        <f t="shared" ca="1" si="29"/>
        <v>0.28185712493880755</v>
      </c>
      <c r="C163" s="84">
        <f t="shared" ca="1" si="29"/>
        <v>0.91959514199713999</v>
      </c>
      <c r="D163" s="84">
        <f t="shared" ca="1" si="29"/>
        <v>0.48714206577211494</v>
      </c>
      <c r="F163" s="84">
        <f t="shared" ca="1" si="30"/>
        <v>9.2475533080823014E-2</v>
      </c>
      <c r="G163" s="84">
        <f t="shared" ca="1" si="30"/>
        <v>0.74613878390177035</v>
      </c>
      <c r="H163" s="84">
        <f t="shared" ca="1" si="30"/>
        <v>0.5840658056077167</v>
      </c>
      <c r="J163" s="85">
        <f t="shared" ca="1" si="18"/>
        <v>87440453.019070253</v>
      </c>
      <c r="K163" s="86">
        <f ca="1">IF(J163&gt;0,MIN(99,$B$12*Q163/(J163*12*(1-Inputs!$H$16))),99)</f>
        <v>5.9116602609640898</v>
      </c>
      <c r="L163" s="84">
        <f t="shared" ca="1" si="19"/>
        <v>0.95307000464877811</v>
      </c>
      <c r="M163" s="84">
        <f t="shared" ca="1" si="20"/>
        <v>0.97836762303007074</v>
      </c>
      <c r="N163" s="84">
        <f t="shared" ca="1" si="21"/>
        <v>1.0065970714815853</v>
      </c>
      <c r="O163" s="84">
        <f t="shared" ca="1" si="22"/>
        <v>0.9897679283164571</v>
      </c>
      <c r="P163" s="84">
        <f t="shared" ca="1" si="23"/>
        <v>1.3836492009098569</v>
      </c>
      <c r="Q163" s="84">
        <f t="shared" ca="1" si="24"/>
        <v>1.1341011945873012</v>
      </c>
    </row>
    <row r="164" spans="1:17" ht="15" customHeight="1" x14ac:dyDescent="0.2">
      <c r="A164" s="15">
        <v>125</v>
      </c>
      <c r="B164" s="84">
        <f t="shared" ca="1" si="29"/>
        <v>0.3962415219362212</v>
      </c>
      <c r="C164" s="84">
        <f t="shared" ca="1" si="29"/>
        <v>0.16572346871600518</v>
      </c>
      <c r="D164" s="84">
        <f t="shared" ca="1" si="29"/>
        <v>2.4136579963496496E-2</v>
      </c>
      <c r="F164" s="84">
        <f t="shared" ca="1" si="30"/>
        <v>0.97955289896946796</v>
      </c>
      <c r="G164" s="84">
        <f t="shared" ca="1" si="30"/>
        <v>0.57532893569214971</v>
      </c>
      <c r="H164" s="84">
        <f t="shared" ca="1" si="30"/>
        <v>7.6147292403916045E-2</v>
      </c>
      <c r="J164" s="85">
        <f t="shared" ca="1" si="18"/>
        <v>109501887.00692333</v>
      </c>
      <c r="K164" s="86">
        <f ca="1">IF(J164&gt;0,MIN(99,$B$12*Q164/(J164*12*(1-Inputs!$H$16))),99)</f>
        <v>3.8780490576793416</v>
      </c>
      <c r="L164" s="84">
        <f t="shared" ca="1" si="19"/>
        <v>0.98613306519307886</v>
      </c>
      <c r="M164" s="84">
        <f t="shared" ca="1" si="20"/>
        <v>0.99315966624566676</v>
      </c>
      <c r="N164" s="84">
        <f t="shared" ca="1" si="21"/>
        <v>0.95387403072724686</v>
      </c>
      <c r="O164" s="84">
        <f t="shared" ca="1" si="22"/>
        <v>1.0938178021137779</v>
      </c>
      <c r="P164" s="84">
        <f t="shared" ca="1" si="23"/>
        <v>1.2430829941138875</v>
      </c>
      <c r="Q164" s="84">
        <f t="shared" ca="1" si="24"/>
        <v>0.93167586088332643</v>
      </c>
    </row>
    <row r="165" spans="1:17" ht="15" customHeight="1" x14ac:dyDescent="0.2">
      <c r="A165" s="15">
        <v>126</v>
      </c>
      <c r="B165" s="84">
        <f t="shared" ca="1" si="29"/>
        <v>0.59768519619774796</v>
      </c>
      <c r="C165" s="84">
        <f t="shared" ca="1" si="29"/>
        <v>0.65637992650933319</v>
      </c>
      <c r="D165" s="84">
        <f t="shared" ca="1" si="29"/>
        <v>0.32980106893548267</v>
      </c>
      <c r="F165" s="84">
        <f t="shared" ca="1" si="30"/>
        <v>0.96281038100031091</v>
      </c>
      <c r="G165" s="84">
        <f t="shared" ca="1" si="30"/>
        <v>0.2891710817948554</v>
      </c>
      <c r="H165" s="84">
        <f t="shared" ca="1" si="30"/>
        <v>0.32935081913649389</v>
      </c>
      <c r="J165" s="85">
        <f t="shared" ca="1" si="18"/>
        <v>147443188.58553278</v>
      </c>
      <c r="K165" s="86">
        <f ca="1">IF(J165&gt;0,MIN(99,$B$12*Q165/(J165*12*(1-Inputs!$H$16))),99)</f>
        <v>3.1910091164669701</v>
      </c>
      <c r="L165" s="84">
        <f t="shared" ca="1" si="19"/>
        <v>1.0398016039110605</v>
      </c>
      <c r="M165" s="84">
        <f t="shared" ca="1" si="20"/>
        <v>1.0169700888338904</v>
      </c>
      <c r="N165" s="84">
        <f t="shared" ca="1" si="21"/>
        <v>0.99416232269033478</v>
      </c>
      <c r="O165" s="84">
        <f t="shared" ca="1" si="22"/>
        <v>1.0875366125092782</v>
      </c>
      <c r="P165" s="84">
        <f t="shared" ca="1" si="23"/>
        <v>1.0610402763081201</v>
      </c>
      <c r="Q165" s="84">
        <f t="shared" ca="1" si="24"/>
        <v>1.0322447926329643</v>
      </c>
    </row>
    <row r="166" spans="1:17" ht="15" customHeight="1" x14ac:dyDescent="0.2">
      <c r="A166" s="15">
        <v>127</v>
      </c>
      <c r="B166" s="84">
        <f t="shared" ca="1" si="29"/>
        <v>0.55393344410875456</v>
      </c>
      <c r="C166" s="84">
        <f t="shared" ca="1" si="29"/>
        <v>0.30225280160294932</v>
      </c>
      <c r="D166" s="84">
        <f t="shared" ca="1" si="29"/>
        <v>0.89585776153101604</v>
      </c>
      <c r="F166" s="84">
        <f t="shared" ca="1" si="30"/>
        <v>0.13052152737215228</v>
      </c>
      <c r="G166" s="84">
        <f t="shared" ca="1" si="30"/>
        <v>0.63363224653633654</v>
      </c>
      <c r="H166" s="84">
        <f t="shared" ca="1" si="30"/>
        <v>0.22007155779925602</v>
      </c>
      <c r="J166" s="85">
        <f t="shared" ca="1" si="18"/>
        <v>132581743.02501707</v>
      </c>
      <c r="K166" s="86">
        <f ca="1">IF(J166&gt;0,MIN(99,$B$12*Q166/(J166*12*(1-Inputs!$H$16))),99)</f>
        <v>3.4190725112211218</v>
      </c>
      <c r="L166" s="84">
        <f t="shared" ca="1" si="19"/>
        <v>1.0273426733669155</v>
      </c>
      <c r="M166" s="84">
        <f t="shared" ca="1" si="20"/>
        <v>1.0114599396193649</v>
      </c>
      <c r="N166" s="84">
        <f t="shared" ca="1" si="21"/>
        <v>1.0526292552262349</v>
      </c>
      <c r="O166" s="84">
        <f t="shared" ca="1" si="22"/>
        <v>0.99350639991692502</v>
      </c>
      <c r="P166" s="84">
        <f t="shared" ca="1" si="23"/>
        <v>1.2871910774269106</v>
      </c>
      <c r="Q166" s="84">
        <f t="shared" ca="1" si="24"/>
        <v>0.99453936363204321</v>
      </c>
    </row>
    <row r="167" spans="1:17" ht="15" customHeight="1" x14ac:dyDescent="0.2">
      <c r="A167" s="15">
        <v>128</v>
      </c>
      <c r="B167" s="84">
        <f t="shared" ca="1" si="29"/>
        <v>0.88502959266075087</v>
      </c>
      <c r="C167" s="84">
        <f t="shared" ca="1" si="29"/>
        <v>0.19275756962907087</v>
      </c>
      <c r="D167" s="84">
        <f t="shared" ca="1" si="29"/>
        <v>0.67075327782054561</v>
      </c>
      <c r="F167" s="84">
        <f t="shared" ca="1" si="30"/>
        <v>0.7464958554997696</v>
      </c>
      <c r="G167" s="84">
        <f t="shared" ca="1" si="30"/>
        <v>0.2838011221414185</v>
      </c>
      <c r="H167" s="84">
        <f t="shared" ca="1" si="30"/>
        <v>0.6386149182706562</v>
      </c>
      <c r="J167" s="85">
        <f t="shared" ca="1" si="18"/>
        <v>230525548.97193664</v>
      </c>
      <c r="K167" s="86">
        <f ca="1">IF(J167&gt;0,MIN(99,$B$12*Q167/(J167*12*(1-Inputs!$H$16))),99)</f>
        <v>2.2930139506478446</v>
      </c>
      <c r="L167" s="84">
        <f t="shared" ca="1" si="19"/>
        <v>1.1492684168192144</v>
      </c>
      <c r="M167" s="84">
        <f t="shared" ca="1" si="20"/>
        <v>1.0653834314579038</v>
      </c>
      <c r="N167" s="84">
        <f t="shared" ca="1" si="21"/>
        <v>1.0232512460441805</v>
      </c>
      <c r="O167" s="84">
        <f t="shared" ca="1" si="22"/>
        <v>1.0483968298598496</v>
      </c>
      <c r="P167" s="84">
        <f t="shared" ca="1" si="23"/>
        <v>1.0580176536607979</v>
      </c>
      <c r="Q167" s="84">
        <f t="shared" ca="1" si="24"/>
        <v>1.1597268266432681</v>
      </c>
    </row>
    <row r="168" spans="1:17" ht="15" customHeight="1" x14ac:dyDescent="0.2">
      <c r="A168" s="15">
        <v>129</v>
      </c>
      <c r="B168" s="84">
        <f t="shared" ca="1" si="29"/>
        <v>0.62803798167278868</v>
      </c>
      <c r="C168" s="84">
        <f t="shared" ca="1" si="29"/>
        <v>0.57691879164861903</v>
      </c>
      <c r="D168" s="84">
        <f t="shared" ca="1" si="29"/>
        <v>0.4982334123267349</v>
      </c>
      <c r="F168" s="84">
        <f t="shared" ca="1" si="30"/>
        <v>0.59500529859208207</v>
      </c>
      <c r="G168" s="84">
        <f t="shared" ca="1" si="30"/>
        <v>0.22711587465687622</v>
      </c>
      <c r="H168" s="84">
        <f t="shared" ca="1" si="30"/>
        <v>9.9364975526821442E-2</v>
      </c>
      <c r="J168" s="85">
        <f t="shared" ref="J168:J231" ca="1" si="31">$B$5*L168*M168-$B$6*L168*N168-$B$7*L168*M168-$B$8*L168*M168-$B$9*O168-$B$10*P168-$B$11</f>
        <v>161706322.75598967</v>
      </c>
      <c r="K168" s="86">
        <f ca="1">IF(J168&gt;0,MIN(99,$B$12*Q168/(J168*12*(1-Inputs!$H$16))),99)</f>
        <v>2.6621050784101072</v>
      </c>
      <c r="L168" s="84">
        <f t="shared" ref="L168:L231" ca="1" si="32">IF($D$16=$B$16,$C$16,IF(B168&lt;($C$16-$B$16)/($D$16-$B$16),$B$16+SQRT(B168*($D$16-$B$16)*($C$16-$B$16)),$D$16-SQRT((1-B168)*($D$16-$B$16)*($D$16-$C$16))))</f>
        <v>1.0488478885351906</v>
      </c>
      <c r="M168" s="84">
        <f t="shared" ref="M168:M231" ca="1" si="33">IF($D$17=$B$17,$C$17,IF(IF($B$33=1,B168,C168)&lt;($C$17-$B$17)/($D$17-$B$17),$B$17+SQRT(IF($B$33=1,B168,C168)*($D$17-$B$17)*($C$17-$B$17)),$D$17-SQRT((1-IF($B$33=1,B168,C168))*($D$17-$B$17)*($D$17-$C$17))))</f>
        <v>1.0209709441191339</v>
      </c>
      <c r="N168" s="84">
        <f t="shared" ref="N168:N231" ca="1" si="34">IF($D$18=$B$18,$C$18,IF(D168&lt;($C$18-$B$18)/($D$18-$B$18),$B$18+SQRT(D168*($D$18-$B$18)*($C$18-$B$18)),$D$18-SQRT((1-D168)*($D$18-$B$18)*($D$18-$C$18))))</f>
        <v>1.0075080684521192</v>
      </c>
      <c r="O168" s="84">
        <f t="shared" ref="O168:O231" ca="1" si="35">IF($D$19=$B$19,$C$19,IF(F168&lt;($C$19-$B$19)/($D$19-$B$19),$B$19+SQRT(F168*($D$19-$B$19)*($C$19-$B$19)),$D$19-SQRT((1-F168)*($D$19-$B$19)*($D$19-$C$19))))</f>
        <v>1.0316521132845169</v>
      </c>
      <c r="P168" s="84">
        <f t="shared" ref="P168:P231" ca="1" si="36">IF($D$20=$B$20,$C$20,IF(G168&lt;($C$20-$B$20)/($D$20-$B$20),$B$20+SQRT(G168*($D$20-$B$20)*($C$20-$B$20)),$D$20-SQRT((1-G168)*($D$20-$B$20)*($D$20-$C$20))))</f>
        <v>1.0267771763117828</v>
      </c>
      <c r="Q168" s="84">
        <f t="shared" ref="Q168:Q231" ca="1" si="37">IF($D$21=$B$21,$C$21,IF(H168&lt;($C$21-$B$21)/($D$21-$B$21),$B$21+SQRT(H168*($D$21-$B$21)*($C$21-$B$21)),$D$21-SQRT((1-H168)*($D$21-$B$21)*($D$21-$C$21))))</f>
        <v>0.94445688429674857</v>
      </c>
    </row>
    <row r="169" spans="1:17" ht="15" customHeight="1" x14ac:dyDescent="0.2">
      <c r="A169" s="15">
        <v>130</v>
      </c>
      <c r="B169" s="84">
        <f t="shared" ca="1" si="29"/>
        <v>0.47824361668561211</v>
      </c>
      <c r="C169" s="84">
        <f t="shared" ca="1" si="29"/>
        <v>0.45671846851361919</v>
      </c>
      <c r="D169" s="84">
        <f t="shared" ca="1" si="29"/>
        <v>0.31453894635480562</v>
      </c>
      <c r="F169" s="84">
        <f t="shared" ca="1" si="30"/>
        <v>0.81590305137641828</v>
      </c>
      <c r="G169" s="84">
        <f t="shared" ca="1" si="30"/>
        <v>0.71385877248865048</v>
      </c>
      <c r="H169" s="84">
        <f t="shared" ca="1" si="30"/>
        <v>0.58681293085810216</v>
      </c>
      <c r="J169" s="85">
        <f t="shared" ca="1" si="31"/>
        <v>117994670.32494684</v>
      </c>
      <c r="K169" s="86">
        <f ca="1">IF(J169&gt;0,MIN(99,$B$12*Q169/(J169*12*(1-Inputs!$H$16))),99)</f>
        <v>4.385684895669983</v>
      </c>
      <c r="L169" s="84">
        <f t="shared" ca="1" si="32"/>
        <v>1.0071539570840586</v>
      </c>
      <c r="M169" s="84">
        <f t="shared" ca="1" si="33"/>
        <v>1.0025311765305827</v>
      </c>
      <c r="N169" s="84">
        <f t="shared" ca="1" si="34"/>
        <v>0.99286926795594832</v>
      </c>
      <c r="O169" s="84">
        <f t="shared" ca="1" si="35"/>
        <v>1.0577742180735714</v>
      </c>
      <c r="P169" s="84">
        <f t="shared" ca="1" si="36"/>
        <v>1.3540991372851097</v>
      </c>
      <c r="Q169" s="84">
        <f t="shared" ca="1" si="37"/>
        <v>1.1353499828416957</v>
      </c>
    </row>
    <row r="170" spans="1:17" ht="15" customHeight="1" x14ac:dyDescent="0.2">
      <c r="A170" s="15">
        <v>131</v>
      </c>
      <c r="B170" s="84">
        <f t="shared" ca="1" si="29"/>
        <v>0.19861714520134699</v>
      </c>
      <c r="C170" s="84">
        <f t="shared" ca="1" si="29"/>
        <v>0.46324043535076331</v>
      </c>
      <c r="D170" s="84">
        <f t="shared" ca="1" si="29"/>
        <v>0.70372988748815701</v>
      </c>
      <c r="F170" s="84">
        <f t="shared" ca="1" si="30"/>
        <v>0.39994252462544821</v>
      </c>
      <c r="G170" s="84">
        <f t="shared" ca="1" si="30"/>
        <v>0.93625637580622389</v>
      </c>
      <c r="H170" s="84">
        <f t="shared" ca="1" si="30"/>
        <v>0.11359195494104801</v>
      </c>
      <c r="J170" s="85">
        <f t="shared" ca="1" si="31"/>
        <v>51005840.594132736</v>
      </c>
      <c r="K170" s="86">
        <f ca="1">IF(J170&gt;0,MIN(99,$B$12*Q170/(J170*12*(1-Inputs!$H$16))),99)</f>
        <v>8.503233877846748</v>
      </c>
      <c r="L170" s="84">
        <f t="shared" ca="1" si="32"/>
        <v>0.92448052995340746</v>
      </c>
      <c r="M170" s="84">
        <f t="shared" ca="1" si="33"/>
        <v>0.96557701205083368</v>
      </c>
      <c r="N170" s="84">
        <f t="shared" ca="1" si="34"/>
        <v>1.0267020190023455</v>
      </c>
      <c r="O170" s="84">
        <f t="shared" ca="1" si="35"/>
        <v>1.0142343523915633</v>
      </c>
      <c r="P170" s="84">
        <f t="shared" ca="1" si="36"/>
        <v>1.6226829702991092</v>
      </c>
      <c r="Q170" s="84">
        <f t="shared" ca="1" si="37"/>
        <v>0.95155517398771772</v>
      </c>
    </row>
    <row r="171" spans="1:17" ht="15" customHeight="1" x14ac:dyDescent="0.2">
      <c r="A171" s="15">
        <v>132</v>
      </c>
      <c r="B171" s="84">
        <f t="shared" ca="1" si="29"/>
        <v>0.65377444878675151</v>
      </c>
      <c r="C171" s="84">
        <f t="shared" ca="1" si="29"/>
        <v>0.94982661139731783</v>
      </c>
      <c r="D171" s="84">
        <f t="shared" ca="1" si="29"/>
        <v>0.93099609354423318</v>
      </c>
      <c r="F171" s="84">
        <f t="shared" ca="1" si="30"/>
        <v>0.3051343420075181</v>
      </c>
      <c r="G171" s="84">
        <f t="shared" ca="1" si="30"/>
        <v>0.34629109604724362</v>
      </c>
      <c r="H171" s="84">
        <f t="shared" ca="1" si="30"/>
        <v>0.62298906378309837</v>
      </c>
      <c r="J171" s="85">
        <f t="shared" ca="1" si="31"/>
        <v>157331323.51014864</v>
      </c>
      <c r="K171" s="86">
        <f ca="1">IF(J171&gt;0,MIN(99,$B$12*Q171/(J171*12*(1-Inputs!$H$16))),99)</f>
        <v>3.3379708181617258</v>
      </c>
      <c r="L171" s="84">
        <f t="shared" ca="1" si="32"/>
        <v>1.0568119772035558</v>
      </c>
      <c r="M171" s="84">
        <f t="shared" ca="1" si="33"/>
        <v>1.0244931819841669</v>
      </c>
      <c r="N171" s="84">
        <f t="shared" ca="1" si="34"/>
        <v>1.0596522882092958</v>
      </c>
      <c r="O171" s="84">
        <f t="shared" ca="1" si="35"/>
        <v>1.0068066708699066</v>
      </c>
      <c r="P171" s="84">
        <f t="shared" ca="1" si="36"/>
        <v>1.0939268829492059</v>
      </c>
      <c r="Q171" s="84">
        <f t="shared" ca="1" si="37"/>
        <v>1.1521994752042675</v>
      </c>
    </row>
    <row r="172" spans="1:17" ht="15" customHeight="1" x14ac:dyDescent="0.2">
      <c r="A172" s="15">
        <v>133</v>
      </c>
      <c r="B172" s="84">
        <f t="shared" ca="1" si="29"/>
        <v>0.82305747994777079</v>
      </c>
      <c r="C172" s="84">
        <f t="shared" ca="1" si="29"/>
        <v>0.6875449225967234</v>
      </c>
      <c r="D172" s="84">
        <f t="shared" ca="1" si="29"/>
        <v>0.12587075218511123</v>
      </c>
      <c r="F172" s="84">
        <f t="shared" ca="1" si="30"/>
        <v>0.86671332521103051</v>
      </c>
      <c r="G172" s="84">
        <f t="shared" ca="1" si="30"/>
        <v>0.79715195101696168</v>
      </c>
      <c r="H172" s="84">
        <f t="shared" ca="1" si="30"/>
        <v>0.91754661663225445</v>
      </c>
      <c r="J172" s="85">
        <f t="shared" ca="1" si="31"/>
        <v>201883469.48397774</v>
      </c>
      <c r="K172" s="86">
        <f ca="1">IF(J172&gt;0,MIN(99,$B$12*Q172/(J172*12*(1-Inputs!$H$16))),99)</f>
        <v>3.0333271814076102</v>
      </c>
      <c r="L172" s="84">
        <f t="shared" ca="1" si="32"/>
        <v>1.1190205253657344</v>
      </c>
      <c r="M172" s="84">
        <f t="shared" ca="1" si="33"/>
        <v>1.0520058470221536</v>
      </c>
      <c r="N172" s="84">
        <f t="shared" ca="1" si="34"/>
        <v>0.97305275257736612</v>
      </c>
      <c r="O172" s="84">
        <f t="shared" ca="1" si="35"/>
        <v>1.0658354613090897</v>
      </c>
      <c r="P172" s="84">
        <f t="shared" ca="1" si="36"/>
        <v>1.4344851833675205</v>
      </c>
      <c r="Q172" s="84">
        <f t="shared" ca="1" si="37"/>
        <v>1.3435380112253623</v>
      </c>
    </row>
    <row r="173" spans="1:17" ht="15" customHeight="1" x14ac:dyDescent="0.2">
      <c r="A173" s="15">
        <v>134</v>
      </c>
      <c r="B173" s="84">
        <f t="shared" ca="1" si="29"/>
        <v>0.99233426264252711</v>
      </c>
      <c r="C173" s="84">
        <f t="shared" ca="1" si="29"/>
        <v>0.14971250258978497</v>
      </c>
      <c r="D173" s="84">
        <f t="shared" ca="1" si="29"/>
        <v>0.99037110227787928</v>
      </c>
      <c r="F173" s="84">
        <f t="shared" ca="1" si="30"/>
        <v>0.34980905457440259</v>
      </c>
      <c r="G173" s="84">
        <f t="shared" ca="1" si="30"/>
        <v>0.18870182358705123</v>
      </c>
      <c r="H173" s="84">
        <f t="shared" ca="1" si="30"/>
        <v>0.23685544092140709</v>
      </c>
      <c r="J173" s="85">
        <f t="shared" ca="1" si="31"/>
        <v>299998515.15830404</v>
      </c>
      <c r="K173" s="86">
        <f ca="1">IF(J173&gt;0,MIN(99,$B$12*Q173/(J173*12*(1-Inputs!$H$16))),99)</f>
        <v>1.5197122153961544</v>
      </c>
      <c r="L173" s="84">
        <f t="shared" ca="1" si="32"/>
        <v>1.2425340349496194</v>
      </c>
      <c r="M173" s="84">
        <f t="shared" ca="1" si="33"/>
        <v>1.1066315522867816</v>
      </c>
      <c r="N173" s="84">
        <f t="shared" ca="1" si="34"/>
        <v>1.0789060450722467</v>
      </c>
      <c r="O173" s="84">
        <f t="shared" ca="1" si="35"/>
        <v>1.0102390026067121</v>
      </c>
      <c r="P173" s="84">
        <f t="shared" ca="1" si="36"/>
        <v>1.0062538469486064</v>
      </c>
      <c r="Q173" s="84">
        <f t="shared" ca="1" si="37"/>
        <v>1.0002542398596497</v>
      </c>
    </row>
    <row r="174" spans="1:17" ht="15" customHeight="1" x14ac:dyDescent="0.2">
      <c r="A174" s="15">
        <v>135</v>
      </c>
      <c r="B174" s="84">
        <f t="shared" ca="1" si="29"/>
        <v>0.83879953549723318</v>
      </c>
      <c r="C174" s="84">
        <f t="shared" ca="1" si="29"/>
        <v>0.77600807007317774</v>
      </c>
      <c r="D174" s="84">
        <f t="shared" ca="1" si="29"/>
        <v>0.3209820764874004</v>
      </c>
      <c r="F174" s="84">
        <f t="shared" ca="1" si="30"/>
        <v>0.74129874208383639</v>
      </c>
      <c r="G174" s="84">
        <f t="shared" ca="1" si="30"/>
        <v>0.67240371336688265</v>
      </c>
      <c r="H174" s="84">
        <f t="shared" ca="1" si="30"/>
        <v>0.53667135604494154</v>
      </c>
      <c r="J174" s="85">
        <f t="shared" ca="1" si="31"/>
        <v>209917483.57323968</v>
      </c>
      <c r="K174" s="86">
        <f ca="1">IF(J174&gt;0,MIN(99,$B$12*Q174/(J174*12*(1-Inputs!$H$16))),99)</f>
        <v>2.4170401572300784</v>
      </c>
      <c r="L174" s="84">
        <f t="shared" ca="1" si="32"/>
        <v>1.1261206398820494</v>
      </c>
      <c r="M174" s="84">
        <f t="shared" ca="1" si="33"/>
        <v>1.0551459793382054</v>
      </c>
      <c r="N174" s="84">
        <f t="shared" ca="1" si="34"/>
        <v>0.9934188930859803</v>
      </c>
      <c r="O174" s="84">
        <f t="shared" ca="1" si="35"/>
        <v>1.0477498607231592</v>
      </c>
      <c r="P174" s="84">
        <f t="shared" ca="1" si="36"/>
        <v>1.3184980992034072</v>
      </c>
      <c r="Q174" s="84">
        <f t="shared" ca="1" si="37"/>
        <v>1.1131723717849422</v>
      </c>
    </row>
    <row r="175" spans="1:17" ht="15" customHeight="1" x14ac:dyDescent="0.2">
      <c r="A175" s="15">
        <v>136</v>
      </c>
      <c r="B175" s="84">
        <f t="shared" ca="1" si="29"/>
        <v>0.60843849152691831</v>
      </c>
      <c r="C175" s="84">
        <f t="shared" ca="1" si="29"/>
        <v>0.2114268721026753</v>
      </c>
      <c r="D175" s="84">
        <f t="shared" ca="1" si="29"/>
        <v>0.18660975476778408</v>
      </c>
      <c r="F175" s="84">
        <f t="shared" ca="1" si="30"/>
        <v>0.53340286448901197</v>
      </c>
      <c r="G175" s="84">
        <f t="shared" ca="1" si="30"/>
        <v>0.33953005002084347</v>
      </c>
      <c r="H175" s="84">
        <f t="shared" ca="1" si="30"/>
        <v>0.98986471643583773</v>
      </c>
      <c r="J175" s="85">
        <f t="shared" ca="1" si="31"/>
        <v>162053739.67441171</v>
      </c>
      <c r="K175" s="86">
        <f ca="1">IF(J175&gt;0,MIN(99,$B$12*Q175/(J175*12*(1-Inputs!$H$16))),99)</f>
        <v>4.085876880135439</v>
      </c>
      <c r="L175" s="84">
        <f t="shared" ca="1" si="32"/>
        <v>1.0429661502817988</v>
      </c>
      <c r="M175" s="84">
        <f t="shared" ca="1" si="33"/>
        <v>1.0183696570100889</v>
      </c>
      <c r="N175" s="84">
        <f t="shared" ca="1" si="34"/>
        <v>0.98047723223035432</v>
      </c>
      <c r="O175" s="84">
        <f t="shared" ca="1" si="35"/>
        <v>1.0257697634922356</v>
      </c>
      <c r="P175" s="84">
        <f t="shared" ca="1" si="36"/>
        <v>1.0899612140736656</v>
      </c>
      <c r="Q175" s="84">
        <f t="shared" ca="1" si="37"/>
        <v>1.4526944419020524</v>
      </c>
    </row>
    <row r="176" spans="1:17" ht="15" customHeight="1" x14ac:dyDescent="0.2">
      <c r="A176" s="15">
        <v>137</v>
      </c>
      <c r="B176" s="84">
        <f t="shared" ca="1" si="29"/>
        <v>3.2844766302637662E-2</v>
      </c>
      <c r="C176" s="84">
        <f t="shared" ca="1" si="29"/>
        <v>0.35206354192028133</v>
      </c>
      <c r="D176" s="84">
        <f t="shared" ca="1" si="29"/>
        <v>0.8017145008614931</v>
      </c>
      <c r="F176" s="84">
        <f t="shared" ca="1" si="30"/>
        <v>0.82609818928067558</v>
      </c>
      <c r="G176" s="84">
        <f t="shared" ca="1" si="30"/>
        <v>0.42246123482002829</v>
      </c>
      <c r="H176" s="84">
        <f t="shared" ca="1" si="30"/>
        <v>0.20678559651197226</v>
      </c>
      <c r="J176" s="85">
        <f t="shared" ca="1" si="31"/>
        <v>3055184.4229579717</v>
      </c>
      <c r="K176" s="86">
        <f ca="1">IF(J176&gt;0,MIN(99,$B$12*Q176/(J176*12*(1-Inputs!$H$16))),99)</f>
        <v>99</v>
      </c>
      <c r="L176" s="84">
        <f t="shared" ca="1" si="32"/>
        <v>0.83578680949882744</v>
      </c>
      <c r="M176" s="84">
        <f t="shared" ca="1" si="33"/>
        <v>0.92589643426045465</v>
      </c>
      <c r="N176" s="84">
        <f t="shared" ca="1" si="34"/>
        <v>1.0382869170634996</v>
      </c>
      <c r="O176" s="84">
        <f t="shared" ca="1" si="35"/>
        <v>1.0592924364409617</v>
      </c>
      <c r="P176" s="84">
        <f t="shared" ca="1" si="36"/>
        <v>1.140106301152799</v>
      </c>
      <c r="Q176" s="84">
        <f t="shared" ca="1" si="37"/>
        <v>0.98985933489823019</v>
      </c>
    </row>
    <row r="177" spans="1:17" ht="15" customHeight="1" x14ac:dyDescent="0.2">
      <c r="A177" s="15">
        <v>138</v>
      </c>
      <c r="B177" s="84">
        <f t="shared" ca="1" si="29"/>
        <v>0.43669247272946232</v>
      </c>
      <c r="C177" s="84">
        <f t="shared" ca="1" si="29"/>
        <v>0.54707175756827986</v>
      </c>
      <c r="D177" s="84">
        <f t="shared" ca="1" si="29"/>
        <v>0.69836572313070111</v>
      </c>
      <c r="F177" s="84">
        <f t="shared" ca="1" si="30"/>
        <v>0.98583581852720925</v>
      </c>
      <c r="G177" s="84">
        <f t="shared" ca="1" si="30"/>
        <v>0.59311510485420516</v>
      </c>
      <c r="H177" s="84">
        <f t="shared" ca="1" si="30"/>
        <v>0.99390107502915914</v>
      </c>
      <c r="J177" s="85">
        <f t="shared" ca="1" si="31"/>
        <v>100549090.67184748</v>
      </c>
      <c r="K177" s="86">
        <f ca="1">IF(J177&gt;0,MIN(99,$B$12*Q177/(J177*12*(1-Inputs!$H$16))),99)</f>
        <v>6.6450708374584337</v>
      </c>
      <c r="L177" s="84">
        <f t="shared" ca="1" si="32"/>
        <v>0.99664815176776123</v>
      </c>
      <c r="M177" s="84">
        <f t="shared" ca="1" si="33"/>
        <v>0.99786399828474193</v>
      </c>
      <c r="N177" s="84">
        <f t="shared" ca="1" si="34"/>
        <v>1.0261280751317898</v>
      </c>
      <c r="O177" s="84">
        <f t="shared" ca="1" si="35"/>
        <v>1.0968391581993198</v>
      </c>
      <c r="P177" s="84">
        <f t="shared" ca="1" si="36"/>
        <v>1.25619864581874</v>
      </c>
      <c r="Q177" s="84">
        <f t="shared" ca="1" si="37"/>
        <v>1.4659113374801189</v>
      </c>
    </row>
    <row r="178" spans="1:17" ht="15" customHeight="1" x14ac:dyDescent="0.2">
      <c r="A178" s="15">
        <v>139</v>
      </c>
      <c r="B178" s="84">
        <f t="shared" ca="1" si="29"/>
        <v>0.29026015400377692</v>
      </c>
      <c r="C178" s="84">
        <f t="shared" ca="1" si="29"/>
        <v>0.12239439579538025</v>
      </c>
      <c r="D178" s="84">
        <f t="shared" ca="1" si="29"/>
        <v>0.14228526640197203</v>
      </c>
      <c r="F178" s="84">
        <f t="shared" ca="1" si="30"/>
        <v>0.62739780760323993</v>
      </c>
      <c r="G178" s="84">
        <f t="shared" ca="1" si="30"/>
        <v>0.85971113352449668</v>
      </c>
      <c r="H178" s="84">
        <f t="shared" ca="1" si="30"/>
        <v>0.1991111491513009</v>
      </c>
      <c r="J178" s="85">
        <f t="shared" ca="1" si="31"/>
        <v>83518585.855496004</v>
      </c>
      <c r="K178" s="86">
        <f ca="1">IF(J178&gt;0,MIN(99,$B$12*Q178/(J178*12*(1-Inputs!$H$16))),99)</f>
        <v>5.386944221104554</v>
      </c>
      <c r="L178" s="84">
        <f t="shared" ca="1" si="32"/>
        <v>0.95570491782302136</v>
      </c>
      <c r="M178" s="84">
        <f t="shared" ca="1" si="33"/>
        <v>0.9795464536918761</v>
      </c>
      <c r="N178" s="84">
        <f t="shared" ca="1" si="34"/>
        <v>0.97520933974576174</v>
      </c>
      <c r="O178" s="84">
        <f t="shared" ca="1" si="35"/>
        <v>1.034925516112889</v>
      </c>
      <c r="P178" s="84">
        <f t="shared" ca="1" si="36"/>
        <v>1.506598098631635</v>
      </c>
      <c r="Q178" s="84">
        <f t="shared" ca="1" si="37"/>
        <v>0.98708727286197551</v>
      </c>
    </row>
    <row r="179" spans="1:17" ht="15" customHeight="1" x14ac:dyDescent="0.2">
      <c r="A179" s="15">
        <v>140</v>
      </c>
      <c r="B179" s="84">
        <f t="shared" ca="1" si="29"/>
        <v>4.4917312694023992E-2</v>
      </c>
      <c r="C179" s="84">
        <f t="shared" ca="1" si="29"/>
        <v>0.29333629431785813</v>
      </c>
      <c r="D179" s="84">
        <f t="shared" ca="1" si="29"/>
        <v>0.92510548302295814</v>
      </c>
      <c r="F179" s="84">
        <f t="shared" ca="1" si="30"/>
        <v>0.69766885521535649</v>
      </c>
      <c r="G179" s="84">
        <f t="shared" ca="1" si="30"/>
        <v>0.53047954340557113</v>
      </c>
      <c r="H179" s="84">
        <f t="shared" ca="1" si="30"/>
        <v>0.55732825010390019</v>
      </c>
      <c r="J179" s="85">
        <f t="shared" ca="1" si="31"/>
        <v>5819921.7091881484</v>
      </c>
      <c r="K179" s="86">
        <f ca="1">IF(J179&gt;0,MIN(99,$B$12*Q179/(J179*12*(1-Inputs!$H$16))),99)</f>
        <v>87.883252294963341</v>
      </c>
      <c r="L179" s="84">
        <f t="shared" ca="1" si="32"/>
        <v>0.84608584724175206</v>
      </c>
      <c r="M179" s="84">
        <f t="shared" ca="1" si="33"/>
        <v>0.93050410847041687</v>
      </c>
      <c r="N179" s="84">
        <f t="shared" ca="1" si="34"/>
        <v>1.0583672910537489</v>
      </c>
      <c r="O179" s="84">
        <f t="shared" ca="1" si="35"/>
        <v>1.0425563978588819</v>
      </c>
      <c r="P179" s="84">
        <f t="shared" ca="1" si="36"/>
        <v>1.211181843901538</v>
      </c>
      <c r="Q179" s="84">
        <f t="shared" ca="1" si="37"/>
        <v>1.122155918495003</v>
      </c>
    </row>
    <row r="180" spans="1:17" ht="15" customHeight="1" x14ac:dyDescent="0.2">
      <c r="A180" s="15">
        <v>141</v>
      </c>
      <c r="B180" s="84">
        <f t="shared" ref="B180:D199" ca="1" si="38">RAND()</f>
        <v>0.91309952785607218</v>
      </c>
      <c r="C180" s="84">
        <f t="shared" ca="1" si="38"/>
        <v>0.42190015085619492</v>
      </c>
      <c r="D180" s="84">
        <f t="shared" ca="1" si="38"/>
        <v>0.34894218665376697</v>
      </c>
      <c r="F180" s="84">
        <f t="shared" ref="F180:H199" ca="1" si="39">RAND()</f>
        <v>0.87205706921251613</v>
      </c>
      <c r="G180" s="84">
        <f t="shared" ca="1" si="39"/>
        <v>0.89187576015886805</v>
      </c>
      <c r="H180" s="84">
        <f t="shared" ca="1" si="39"/>
        <v>0.31825612948790627</v>
      </c>
      <c r="J180" s="85">
        <f t="shared" ca="1" si="31"/>
        <v>228801050.21132845</v>
      </c>
      <c r="K180" s="86">
        <f ca="1">IF(J180&gt;0,MIN(99,$B$12*Q180/(J180*12*(1-Inputs!$H$16))),99)</f>
        <v>2.0484723569409007</v>
      </c>
      <c r="L180" s="84">
        <f t="shared" ca="1" si="32"/>
        <v>1.1656893650197289</v>
      </c>
      <c r="M180" s="84">
        <f t="shared" ca="1" si="33"/>
        <v>1.0726458425058047</v>
      </c>
      <c r="N180" s="84">
        <f t="shared" ca="1" si="34"/>
        <v>0.99574243070551993</v>
      </c>
      <c r="O180" s="84">
        <f t="shared" ca="1" si="35"/>
        <v>1.0667669874020034</v>
      </c>
      <c r="P180" s="84">
        <f t="shared" ca="1" si="36"/>
        <v>1.5500827028965722</v>
      </c>
      <c r="Q180" s="84">
        <f t="shared" ca="1" si="37"/>
        <v>1.0282958018355166</v>
      </c>
    </row>
    <row r="181" spans="1:17" ht="15" customHeight="1" x14ac:dyDescent="0.2">
      <c r="A181" s="15">
        <v>142</v>
      </c>
      <c r="B181" s="84">
        <f t="shared" ca="1" si="38"/>
        <v>0.53303797982778522</v>
      </c>
      <c r="C181" s="84">
        <f t="shared" ca="1" si="38"/>
        <v>0.37726242661376075</v>
      </c>
      <c r="D181" s="84">
        <f t="shared" ca="1" si="38"/>
        <v>0.5232461078330245</v>
      </c>
      <c r="F181" s="84">
        <f t="shared" ca="1" si="39"/>
        <v>0.63178533419145522</v>
      </c>
      <c r="G181" s="84">
        <f t="shared" ca="1" si="39"/>
        <v>0.9194073361239149</v>
      </c>
      <c r="H181" s="84">
        <f t="shared" ca="1" si="39"/>
        <v>5.6761850705383421E-2</v>
      </c>
      <c r="J181" s="85">
        <f t="shared" ca="1" si="31"/>
        <v>119426966.98305421</v>
      </c>
      <c r="K181" s="86">
        <f ca="1">IF(J181&gt;0,MIN(99,$B$12*Q181/(J181*12*(1-Inputs!$H$16))),99)</f>
        <v>3.5089358541291293</v>
      </c>
      <c r="L181" s="84">
        <f t="shared" ca="1" si="32"/>
        <v>1.0216084496797899</v>
      </c>
      <c r="M181" s="84">
        <f t="shared" ca="1" si="33"/>
        <v>1.0089238930434909</v>
      </c>
      <c r="N181" s="84">
        <f t="shared" ca="1" si="34"/>
        <v>1.0096002042159147</v>
      </c>
      <c r="O181" s="84">
        <f t="shared" ca="1" si="35"/>
        <v>1.0353796711070429</v>
      </c>
      <c r="P181" s="84">
        <f t="shared" ca="1" si="36"/>
        <v>1.5928113130387571</v>
      </c>
      <c r="Q181" s="84">
        <f t="shared" ca="1" si="37"/>
        <v>0.91940693107370297</v>
      </c>
    </row>
    <row r="182" spans="1:17" ht="15" customHeight="1" x14ac:dyDescent="0.2">
      <c r="A182" s="15">
        <v>143</v>
      </c>
      <c r="B182" s="84">
        <f t="shared" ca="1" si="38"/>
        <v>0.41559686942162577</v>
      </c>
      <c r="C182" s="84">
        <f t="shared" ca="1" si="38"/>
        <v>0.12426650806161721</v>
      </c>
      <c r="D182" s="84">
        <f t="shared" ca="1" si="38"/>
        <v>0.31630127100015581</v>
      </c>
      <c r="F182" s="84">
        <f t="shared" ca="1" si="39"/>
        <v>0.14506667557399278</v>
      </c>
      <c r="G182" s="84">
        <f t="shared" ca="1" si="39"/>
        <v>0.81174578087349269</v>
      </c>
      <c r="H182" s="84">
        <f t="shared" ca="1" si="39"/>
        <v>0.80652888042787807</v>
      </c>
      <c r="J182" s="85">
        <f t="shared" ca="1" si="31"/>
        <v>113505040.75423001</v>
      </c>
      <c r="K182" s="86">
        <f ca="1">IF(J182&gt;0,MIN(99,$B$12*Q182/(J182*12*(1-Inputs!$H$16))),99)</f>
        <v>5.0362064555309711</v>
      </c>
      <c r="L182" s="84">
        <f t="shared" ca="1" si="32"/>
        <v>0.99122823083476608</v>
      </c>
      <c r="M182" s="84">
        <f t="shared" ca="1" si="33"/>
        <v>0.9954391863240174</v>
      </c>
      <c r="N182" s="84">
        <f t="shared" ca="1" si="34"/>
        <v>0.99302015630650187</v>
      </c>
      <c r="O182" s="84">
        <f t="shared" ca="1" si="35"/>
        <v>0.99478777476146418</v>
      </c>
      <c r="P182" s="84">
        <f t="shared" ca="1" si="36"/>
        <v>1.4501789827150235</v>
      </c>
      <c r="Q182" s="84">
        <f t="shared" ca="1" si="37"/>
        <v>1.2541474970704594</v>
      </c>
    </row>
    <row r="183" spans="1:17" ht="15" customHeight="1" x14ac:dyDescent="0.2">
      <c r="A183" s="15">
        <v>144</v>
      </c>
      <c r="B183" s="84">
        <f t="shared" ca="1" si="38"/>
        <v>5.401615502046786E-2</v>
      </c>
      <c r="C183" s="84">
        <f t="shared" ca="1" si="38"/>
        <v>0.50427797401291896</v>
      </c>
      <c r="D183" s="84">
        <f t="shared" ca="1" si="38"/>
        <v>0.57196042394021929</v>
      </c>
      <c r="F183" s="84">
        <f t="shared" ca="1" si="39"/>
        <v>0.31687728386584924</v>
      </c>
      <c r="G183" s="84">
        <f t="shared" ca="1" si="39"/>
        <v>0.96685018059058847</v>
      </c>
      <c r="H183" s="84">
        <f t="shared" ca="1" si="39"/>
        <v>0.82523971888774628</v>
      </c>
      <c r="J183" s="85">
        <f t="shared" ca="1" si="31"/>
        <v>5951689.464749068</v>
      </c>
      <c r="K183" s="86">
        <f ca="1">IF(J183&gt;0,MIN(99,$B$12*Q183/(J183*12*(1-Inputs!$H$16))),99)</f>
        <v>97.023543457770316</v>
      </c>
      <c r="L183" s="84">
        <f t="shared" ca="1" si="32"/>
        <v>0.85295394435051142</v>
      </c>
      <c r="M183" s="84">
        <f t="shared" ca="1" si="33"/>
        <v>0.93357681824286998</v>
      </c>
      <c r="N183" s="84">
        <f t="shared" ca="1" si="34"/>
        <v>1.0138387635331447</v>
      </c>
      <c r="O183" s="84">
        <f t="shared" ca="1" si="35"/>
        <v>1.0076979134628226</v>
      </c>
      <c r="P183" s="84">
        <f t="shared" ca="1" si="36"/>
        <v>1.6896315200084693</v>
      </c>
      <c r="Q183" s="84">
        <f t="shared" ca="1" si="37"/>
        <v>1.2669145869334462</v>
      </c>
    </row>
    <row r="184" spans="1:17" ht="15" customHeight="1" x14ac:dyDescent="0.2">
      <c r="A184" s="15">
        <v>145</v>
      </c>
      <c r="B184" s="84">
        <f t="shared" ca="1" si="38"/>
        <v>0.13228298045622255</v>
      </c>
      <c r="C184" s="84">
        <f t="shared" ca="1" si="38"/>
        <v>0.8450799016638435</v>
      </c>
      <c r="D184" s="84">
        <f t="shared" ca="1" si="38"/>
        <v>0.70284471676196481</v>
      </c>
      <c r="F184" s="84">
        <f t="shared" ca="1" si="39"/>
        <v>7.6725206372285304E-2</v>
      </c>
      <c r="G184" s="84">
        <f t="shared" ca="1" si="39"/>
        <v>0.73681624492112707</v>
      </c>
      <c r="H184" s="84">
        <f t="shared" ca="1" si="39"/>
        <v>0.10425817650292468</v>
      </c>
      <c r="J184" s="85">
        <f t="shared" ca="1" si="31"/>
        <v>46744826.738611206</v>
      </c>
      <c r="K184" s="86">
        <f ca="1">IF(J184&gt;0,MIN(99,$B$12*Q184/(J184*12*(1-Inputs!$H$16))),99)</f>
        <v>9.2334635559554066</v>
      </c>
      <c r="L184" s="84">
        <f t="shared" ca="1" si="32"/>
        <v>0.89699112796152447</v>
      </c>
      <c r="M184" s="84">
        <f t="shared" ca="1" si="33"/>
        <v>0.95327856128612021</v>
      </c>
      <c r="N184" s="84">
        <f t="shared" ca="1" si="34"/>
        <v>1.0266069535001459</v>
      </c>
      <c r="O184" s="84">
        <f t="shared" ca="1" si="35"/>
        <v>0.98799579107458924</v>
      </c>
      <c r="P184" s="84">
        <f t="shared" ca="1" si="36"/>
        <v>1.3749312171401049</v>
      </c>
      <c r="Q184" s="84">
        <f t="shared" ca="1" si="37"/>
        <v>0.9469523697371548</v>
      </c>
    </row>
    <row r="185" spans="1:17" ht="15" customHeight="1" x14ac:dyDescent="0.2">
      <c r="A185" s="15">
        <v>146</v>
      </c>
      <c r="B185" s="84">
        <f t="shared" ca="1" si="38"/>
        <v>2.409038071718228E-2</v>
      </c>
      <c r="C185" s="84">
        <f t="shared" ca="1" si="38"/>
        <v>0.60027099272021034</v>
      </c>
      <c r="D185" s="84">
        <f t="shared" ca="1" si="38"/>
        <v>0.7281373355403099</v>
      </c>
      <c r="F185" s="84">
        <f t="shared" ca="1" si="39"/>
        <v>0.55604649348416479</v>
      </c>
      <c r="G185" s="84">
        <f t="shared" ca="1" si="39"/>
        <v>0.13376131535988511</v>
      </c>
      <c r="H185" s="84">
        <f t="shared" ca="1" si="39"/>
        <v>0.91197491073586234</v>
      </c>
      <c r="J185" s="85">
        <f t="shared" ca="1" si="31"/>
        <v>10784892.884005353</v>
      </c>
      <c r="K185" s="86">
        <f ca="1">IF(J185&gt;0,MIN(99,$B$12*Q185/(J185*12*(1-Inputs!$H$16))),99)</f>
        <v>56.545055814130322</v>
      </c>
      <c r="L185" s="84">
        <f t="shared" ca="1" si="32"/>
        <v>0.82705927228345599</v>
      </c>
      <c r="M185" s="84">
        <f t="shared" ca="1" si="33"/>
        <v>0.92199183179685273</v>
      </c>
      <c r="N185" s="84">
        <f t="shared" ca="1" si="34"/>
        <v>1.0293816596747665</v>
      </c>
      <c r="O185" s="84">
        <f t="shared" ca="1" si="35"/>
        <v>1.0278840576761044</v>
      </c>
      <c r="P185" s="84">
        <f t="shared" ca="1" si="36"/>
        <v>0.97586907186529048</v>
      </c>
      <c r="Q185" s="84">
        <f t="shared" ca="1" si="37"/>
        <v>1.3379516347956044</v>
      </c>
    </row>
    <row r="186" spans="1:17" ht="15" customHeight="1" x14ac:dyDescent="0.2">
      <c r="A186" s="15">
        <v>147</v>
      </c>
      <c r="B186" s="84">
        <f t="shared" ca="1" si="38"/>
        <v>0.65806873857487036</v>
      </c>
      <c r="C186" s="84">
        <f t="shared" ca="1" si="38"/>
        <v>0.71552260474671925</v>
      </c>
      <c r="D186" s="84">
        <f t="shared" ca="1" si="38"/>
        <v>5.7778999599417347E-2</v>
      </c>
      <c r="F186" s="84">
        <f t="shared" ca="1" si="39"/>
        <v>0.58647012666566678</v>
      </c>
      <c r="G186" s="84">
        <f t="shared" ca="1" si="39"/>
        <v>0.51829867377360239</v>
      </c>
      <c r="H186" s="84">
        <f t="shared" ca="1" si="39"/>
        <v>0.74379829232474992</v>
      </c>
      <c r="J186" s="85">
        <f t="shared" ca="1" si="31"/>
        <v>172426981.70609373</v>
      </c>
      <c r="K186" s="86">
        <f ca="1">IF(J186&gt;0,MIN(99,$B$12*Q186/(J186*12*(1-Inputs!$H$16))),99)</f>
        <v>3.2126209005435129</v>
      </c>
      <c r="L186" s="84">
        <f t="shared" ca="1" si="32"/>
        <v>1.0581693092619144</v>
      </c>
      <c r="M186" s="84">
        <f t="shared" ca="1" si="33"/>
        <v>1.0250934824793592</v>
      </c>
      <c r="N186" s="84">
        <f t="shared" ca="1" si="34"/>
        <v>0.96204982493724722</v>
      </c>
      <c r="O186" s="84">
        <f t="shared" ca="1" si="35"/>
        <v>1.0308116085340611</v>
      </c>
      <c r="P186" s="84">
        <f t="shared" ca="1" si="36"/>
        <v>1.2027838672858482</v>
      </c>
      <c r="Q186" s="84">
        <f t="shared" ca="1" si="37"/>
        <v>1.215331201826459</v>
      </c>
    </row>
    <row r="187" spans="1:17" ht="15" customHeight="1" x14ac:dyDescent="0.2">
      <c r="A187" s="15">
        <v>148</v>
      </c>
      <c r="B187" s="84">
        <f t="shared" ca="1" si="38"/>
        <v>0.13714532540804092</v>
      </c>
      <c r="C187" s="84">
        <f t="shared" ca="1" si="38"/>
        <v>0.27340603532435537</v>
      </c>
      <c r="D187" s="84">
        <f t="shared" ca="1" si="38"/>
        <v>0.38220578809062911</v>
      </c>
      <c r="F187" s="84">
        <f t="shared" ca="1" si="39"/>
        <v>0.56273866350627533</v>
      </c>
      <c r="G187" s="84">
        <f t="shared" ca="1" si="39"/>
        <v>0.84456545456816579</v>
      </c>
      <c r="H187" s="84">
        <f t="shared" ca="1" si="39"/>
        <v>0.68646549565550485</v>
      </c>
      <c r="J187" s="85">
        <f t="shared" ca="1" si="31"/>
        <v>42615709.934055641</v>
      </c>
      <c r="K187" s="86">
        <f ca="1">IF(J187&gt;0,MIN(99,$B$12*Q187/(J187*12*(1-Inputs!$H$16))),99)</f>
        <v>12.661856707503906</v>
      </c>
      <c r="L187" s="84">
        <f t="shared" ca="1" si="32"/>
        <v>0.89921291844411599</v>
      </c>
      <c r="M187" s="84">
        <f t="shared" ca="1" si="33"/>
        <v>0.9542725654797265</v>
      </c>
      <c r="N187" s="84">
        <f t="shared" ca="1" si="34"/>
        <v>0.99838854218415263</v>
      </c>
      <c r="O187" s="84">
        <f t="shared" ca="1" si="35"/>
        <v>1.0285191941481993</v>
      </c>
      <c r="P187" s="84">
        <f t="shared" ca="1" si="36"/>
        <v>1.4878646908534803</v>
      </c>
      <c r="Q187" s="84">
        <f t="shared" ca="1" si="37"/>
        <v>1.1838510495812704</v>
      </c>
    </row>
    <row r="188" spans="1:17" ht="15" customHeight="1" x14ac:dyDescent="0.2">
      <c r="A188" s="15">
        <v>149</v>
      </c>
      <c r="B188" s="84">
        <f t="shared" ca="1" si="38"/>
        <v>0.10000739539500014</v>
      </c>
      <c r="C188" s="84">
        <f t="shared" ca="1" si="38"/>
        <v>0.65856200247930452</v>
      </c>
      <c r="D188" s="84">
        <f t="shared" ca="1" si="38"/>
        <v>7.4273087493909484E-2</v>
      </c>
      <c r="F188" s="84">
        <f t="shared" ca="1" si="39"/>
        <v>0.1494012991995548</v>
      </c>
      <c r="G188" s="84">
        <f t="shared" ca="1" si="39"/>
        <v>0.91093387115247004</v>
      </c>
      <c r="H188" s="84">
        <f t="shared" ca="1" si="39"/>
        <v>0.52755975703450131</v>
      </c>
      <c r="J188" s="85">
        <f t="shared" ca="1" si="31"/>
        <v>39258229.011472285</v>
      </c>
      <c r="K188" s="86">
        <f ca="1">IF(J188&gt;0,MIN(99,$B$12*Q188/(J188*12*(1-Inputs!$H$16))),99)</f>
        <v>12.878877404347286</v>
      </c>
      <c r="L188" s="84">
        <f t="shared" ca="1" si="32"/>
        <v>0.88106993910593856</v>
      </c>
      <c r="M188" s="84">
        <f t="shared" ca="1" si="33"/>
        <v>0.94615559959659545</v>
      </c>
      <c r="N188" s="84">
        <f t="shared" ca="1" si="34"/>
        <v>0.96514251701886566</v>
      </c>
      <c r="O188" s="84">
        <f t="shared" ca="1" si="35"/>
        <v>0.99515707628506833</v>
      </c>
      <c r="P188" s="84">
        <f t="shared" ca="1" si="36"/>
        <v>1.5789744784239983</v>
      </c>
      <c r="Q188" s="84">
        <f t="shared" ca="1" si="37"/>
        <v>1.1092735424929008</v>
      </c>
    </row>
    <row r="189" spans="1:17" ht="15" customHeight="1" x14ac:dyDescent="0.2">
      <c r="A189" s="15">
        <v>150</v>
      </c>
      <c r="B189" s="84">
        <f t="shared" ca="1" si="38"/>
        <v>0.50776939791411169</v>
      </c>
      <c r="C189" s="84">
        <f t="shared" ca="1" si="38"/>
        <v>0.20619438702844795</v>
      </c>
      <c r="D189" s="84">
        <f t="shared" ca="1" si="38"/>
        <v>0.83636166444908044</v>
      </c>
      <c r="F189" s="84">
        <f t="shared" ca="1" si="39"/>
        <v>0.9602940972178281</v>
      </c>
      <c r="G189" s="84">
        <f t="shared" ca="1" si="39"/>
        <v>0.13596884281605659</v>
      </c>
      <c r="H189" s="84">
        <f t="shared" ca="1" si="39"/>
        <v>0.5360419914812925</v>
      </c>
      <c r="J189" s="85">
        <f t="shared" ca="1" si="31"/>
        <v>121951109.97964762</v>
      </c>
      <c r="K189" s="86">
        <f ca="1">IF(J189&gt;0,MIN(99,$B$12*Q189/(J189*12*(1-Inputs!$H$16))),99)</f>
        <v>4.1595003243956743</v>
      </c>
      <c r="L189" s="84">
        <f t="shared" ca="1" si="32"/>
        <v>1.0148429170927502</v>
      </c>
      <c r="M189" s="84">
        <f t="shared" ca="1" si="33"/>
        <v>1.0059317346123773</v>
      </c>
      <c r="N189" s="84">
        <f t="shared" ca="1" si="34"/>
        <v>1.0430571233734007</v>
      </c>
      <c r="O189" s="84">
        <f t="shared" ca="1" si="35"/>
        <v>1.0867280658138783</v>
      </c>
      <c r="P189" s="84">
        <f t="shared" ca="1" si="36"/>
        <v>0.97719365257477109</v>
      </c>
      <c r="Q189" s="84">
        <f t="shared" ca="1" si="37"/>
        <v>1.1129018426260835</v>
      </c>
    </row>
    <row r="190" spans="1:17" ht="15" customHeight="1" x14ac:dyDescent="0.2">
      <c r="A190" s="15">
        <v>151</v>
      </c>
      <c r="B190" s="84">
        <f t="shared" ca="1" si="38"/>
        <v>0.74828710760329853</v>
      </c>
      <c r="C190" s="84">
        <f t="shared" ca="1" si="38"/>
        <v>0.41117779136240629</v>
      </c>
      <c r="D190" s="84">
        <f t="shared" ca="1" si="38"/>
        <v>0.29063490390810465</v>
      </c>
      <c r="F190" s="84">
        <f t="shared" ca="1" si="39"/>
        <v>0.8519577515157094</v>
      </c>
      <c r="G190" s="84">
        <f t="shared" ca="1" si="39"/>
        <v>0.91513611682129281</v>
      </c>
      <c r="H190" s="84">
        <f t="shared" ca="1" si="39"/>
        <v>4.8096326962374536E-2</v>
      </c>
      <c r="J190" s="85">
        <f t="shared" ca="1" si="31"/>
        <v>169167045.49272126</v>
      </c>
      <c r="K190" s="86">
        <f ca="1">IF(J190&gt;0,MIN(99,$B$12*Q190/(J190*12*(1-Inputs!$H$16))),99)</f>
        <v>2.4605997271284443</v>
      </c>
      <c r="L190" s="84">
        <f t="shared" ca="1" si="32"/>
        <v>1.0889609645677916</v>
      </c>
      <c r="M190" s="84">
        <f t="shared" ca="1" si="33"/>
        <v>1.0387115546482704</v>
      </c>
      <c r="N190" s="84">
        <f t="shared" ca="1" si="34"/>
        <v>0.99077927375174069</v>
      </c>
      <c r="O190" s="84">
        <f t="shared" ca="1" si="35"/>
        <v>1.063356120324916</v>
      </c>
      <c r="P190" s="84">
        <f t="shared" ca="1" si="36"/>
        <v>1.5857501793371813</v>
      </c>
      <c r="Q190" s="84">
        <f t="shared" ca="1" si="37"/>
        <v>0.9132436840612046</v>
      </c>
    </row>
    <row r="191" spans="1:17" ht="15" customHeight="1" x14ac:dyDescent="0.2">
      <c r="A191" s="15">
        <v>152</v>
      </c>
      <c r="B191" s="84">
        <f t="shared" ca="1" si="38"/>
        <v>0.75252870695173879</v>
      </c>
      <c r="C191" s="84">
        <f t="shared" ca="1" si="38"/>
        <v>0.3810754419490342</v>
      </c>
      <c r="D191" s="84">
        <f t="shared" ca="1" si="38"/>
        <v>1.6549505270891607E-2</v>
      </c>
      <c r="F191" s="84">
        <f t="shared" ca="1" si="39"/>
        <v>0.65872408271609728</v>
      </c>
      <c r="G191" s="84">
        <f t="shared" ca="1" si="39"/>
        <v>0.6662728890944466</v>
      </c>
      <c r="H191" s="84">
        <f t="shared" ca="1" si="39"/>
        <v>0.48248081011810029</v>
      </c>
      <c r="J191" s="85">
        <f t="shared" ca="1" si="31"/>
        <v>194110646.18576044</v>
      </c>
      <c r="K191" s="86">
        <f ca="1">IF(J191&gt;0,MIN(99,$B$12*Q191/(J191*12*(1-Inputs!$H$16))),99)</f>
        <v>2.5606627959092458</v>
      </c>
      <c r="L191" s="84">
        <f t="shared" ca="1" si="32"/>
        <v>1.0905350906157598</v>
      </c>
      <c r="M191" s="84">
        <f t="shared" ca="1" si="33"/>
        <v>1.0394077355424527</v>
      </c>
      <c r="N191" s="84">
        <f t="shared" ca="1" si="34"/>
        <v>0.95130485772495033</v>
      </c>
      <c r="O191" s="84">
        <f t="shared" ca="1" si="35"/>
        <v>1.0382295096821599</v>
      </c>
      <c r="P191" s="84">
        <f t="shared" ca="1" si="36"/>
        <v>1.3134288347675893</v>
      </c>
      <c r="Q191" s="84">
        <f t="shared" ca="1" si="37"/>
        <v>1.0905151122934231</v>
      </c>
    </row>
    <row r="192" spans="1:17" ht="15" customHeight="1" x14ac:dyDescent="0.2">
      <c r="A192" s="15">
        <v>153</v>
      </c>
      <c r="B192" s="84">
        <f t="shared" ca="1" si="38"/>
        <v>0.13974728715182172</v>
      </c>
      <c r="C192" s="84">
        <f t="shared" ca="1" si="38"/>
        <v>0.16736309323137943</v>
      </c>
      <c r="D192" s="84">
        <f t="shared" ca="1" si="38"/>
        <v>0.1288474365540655</v>
      </c>
      <c r="F192" s="84">
        <f t="shared" ca="1" si="39"/>
        <v>0.98712431812907764</v>
      </c>
      <c r="G192" s="84">
        <f t="shared" ca="1" si="39"/>
        <v>0.90067192363691917</v>
      </c>
      <c r="H192" s="84">
        <f t="shared" ca="1" si="39"/>
        <v>0.22109163835037138</v>
      </c>
      <c r="J192" s="85">
        <f t="shared" ca="1" si="31"/>
        <v>33854864.955842599</v>
      </c>
      <c r="K192" s="86">
        <f ca="1">IF(J192&gt;0,MIN(99,$B$12*Q192/(J192*12*(1-Inputs!$H$16))),99)</f>
        <v>13.394461225551613</v>
      </c>
      <c r="L192" s="84">
        <f t="shared" ca="1" si="32"/>
        <v>0.90038568420908327</v>
      </c>
      <c r="M192" s="84">
        <f t="shared" ca="1" si="33"/>
        <v>0.95479724775630903</v>
      </c>
      <c r="N192" s="84">
        <f t="shared" ca="1" si="34"/>
        <v>0.97345384021949533</v>
      </c>
      <c r="O192" s="84">
        <f t="shared" ca="1" si="35"/>
        <v>1.0975374601797785</v>
      </c>
      <c r="P192" s="84">
        <f t="shared" ca="1" si="36"/>
        <v>1.5630712379160874</v>
      </c>
      <c r="Q192" s="84">
        <f t="shared" ca="1" si="37"/>
        <v>0.99489277403488097</v>
      </c>
    </row>
    <row r="193" spans="1:17" ht="15" customHeight="1" x14ac:dyDescent="0.2">
      <c r="A193" s="15">
        <v>154</v>
      </c>
      <c r="B193" s="84">
        <f t="shared" ca="1" si="38"/>
        <v>0.62381485432371708</v>
      </c>
      <c r="C193" s="84">
        <f t="shared" ca="1" si="38"/>
        <v>0.3546645849361787</v>
      </c>
      <c r="D193" s="84">
        <f t="shared" ca="1" si="38"/>
        <v>0.21747250309602661</v>
      </c>
      <c r="F193" s="84">
        <f t="shared" ca="1" si="39"/>
        <v>0.98539547599272759</v>
      </c>
      <c r="G193" s="84">
        <f t="shared" ca="1" si="39"/>
        <v>0.6963399184695005</v>
      </c>
      <c r="H193" s="84">
        <f t="shared" ca="1" si="39"/>
        <v>0.32734211615826325</v>
      </c>
      <c r="J193" s="85">
        <f t="shared" ca="1" si="31"/>
        <v>143487802.06715685</v>
      </c>
      <c r="K193" s="86">
        <f ca="1">IF(J193&gt;0,MIN(99,$B$12*Q193/(J193*12*(1-Inputs!$H$16))),99)</f>
        <v>3.2766937349115848</v>
      </c>
      <c r="L193" s="84">
        <f t="shared" ca="1" si="32"/>
        <v>1.0475676858261147</v>
      </c>
      <c r="M193" s="84">
        <f t="shared" ca="1" si="33"/>
        <v>1.0204047552374433</v>
      </c>
      <c r="N193" s="84">
        <f t="shared" ca="1" si="34"/>
        <v>0.9837812786691682</v>
      </c>
      <c r="O193" s="84">
        <f t="shared" ca="1" si="35"/>
        <v>1.0966078553117997</v>
      </c>
      <c r="P193" s="84">
        <f t="shared" ca="1" si="36"/>
        <v>1.3387590053140936</v>
      </c>
      <c r="Q193" s="84">
        <f t="shared" ca="1" si="37"/>
        <v>1.031527416422457</v>
      </c>
    </row>
    <row r="194" spans="1:17" ht="15" customHeight="1" x14ac:dyDescent="0.2">
      <c r="A194" s="15">
        <v>155</v>
      </c>
      <c r="B194" s="84">
        <f t="shared" ca="1" si="38"/>
        <v>0.64440294054512759</v>
      </c>
      <c r="C194" s="84">
        <f t="shared" ca="1" si="38"/>
        <v>0.32429655082752373</v>
      </c>
      <c r="D194" s="84">
        <f t="shared" ca="1" si="38"/>
        <v>0.82980141947675268</v>
      </c>
      <c r="F194" s="84">
        <f t="shared" ca="1" si="39"/>
        <v>0.71946842367435582</v>
      </c>
      <c r="G194" s="84">
        <f t="shared" ca="1" si="39"/>
        <v>0.83740727030326356</v>
      </c>
      <c r="H194" s="84">
        <f t="shared" ca="1" si="39"/>
        <v>0.41497463269044044</v>
      </c>
      <c r="J194" s="85">
        <f t="shared" ca="1" si="31"/>
        <v>138223716.22296649</v>
      </c>
      <c r="K194" s="86">
        <f ca="1">IF(J194&gt;0,MIN(99,$B$12*Q194/(J194*12*(1-Inputs!$H$16))),99)</f>
        <v>3.5082037361301883</v>
      </c>
      <c r="L194" s="84">
        <f t="shared" ca="1" si="32"/>
        <v>1.0538787760637958</v>
      </c>
      <c r="M194" s="84">
        <f t="shared" ca="1" si="33"/>
        <v>1.0231959297120696</v>
      </c>
      <c r="N194" s="84">
        <f t="shared" ca="1" si="34"/>
        <v>1.0421177187547945</v>
      </c>
      <c r="O194" s="84">
        <f t="shared" ca="1" si="35"/>
        <v>1.04510075804667</v>
      </c>
      <c r="P194" s="84">
        <f t="shared" ca="1" si="36"/>
        <v>1.479329238267995</v>
      </c>
      <c r="Q194" s="84">
        <f t="shared" ca="1" si="37"/>
        <v>1.063891436562042</v>
      </c>
    </row>
    <row r="195" spans="1:17" ht="15" customHeight="1" x14ac:dyDescent="0.2">
      <c r="A195" s="15">
        <v>156</v>
      </c>
      <c r="B195" s="84">
        <f t="shared" ca="1" si="38"/>
        <v>0.6761205675816444</v>
      </c>
      <c r="C195" s="84">
        <f t="shared" ca="1" si="38"/>
        <v>0.62729506793231815</v>
      </c>
      <c r="D195" s="84">
        <f t="shared" ca="1" si="38"/>
        <v>0.78472664728732466</v>
      </c>
      <c r="F195" s="84">
        <f t="shared" ca="1" si="39"/>
        <v>0.55091530763799335</v>
      </c>
      <c r="G195" s="84">
        <f t="shared" ca="1" si="39"/>
        <v>0.13825527114268754</v>
      </c>
      <c r="H195" s="84">
        <f t="shared" ca="1" si="39"/>
        <v>1.7684396203946906E-2</v>
      </c>
      <c r="J195" s="85">
        <f t="shared" ca="1" si="31"/>
        <v>168873903.99322504</v>
      </c>
      <c r="K195" s="86">
        <f ca="1">IF(J195&gt;0,MIN(99,$B$12*Q195/(J195*12*(1-Inputs!$H$16))),99)</f>
        <v>2.3890466468880192</v>
      </c>
      <c r="L195" s="84">
        <f t="shared" ca="1" si="32"/>
        <v>1.0639705661346648</v>
      </c>
      <c r="M195" s="84">
        <f t="shared" ca="1" si="33"/>
        <v>1.0276591754886735</v>
      </c>
      <c r="N195" s="84">
        <f t="shared" ca="1" si="34"/>
        <v>1.0361009664088623</v>
      </c>
      <c r="O195" s="84">
        <f t="shared" ca="1" si="35"/>
        <v>1.0274003061188262</v>
      </c>
      <c r="P195" s="84">
        <f t="shared" ca="1" si="36"/>
        <v>0.97855428862793581</v>
      </c>
      <c r="Q195" s="84">
        <f t="shared" ca="1" si="37"/>
        <v>0.88515049062986462</v>
      </c>
    </row>
    <row r="196" spans="1:17" ht="15" customHeight="1" x14ac:dyDescent="0.2">
      <c r="A196" s="15">
        <v>157</v>
      </c>
      <c r="B196" s="84">
        <f t="shared" ca="1" si="38"/>
        <v>0.85086655130954569</v>
      </c>
      <c r="C196" s="84">
        <f t="shared" ca="1" si="38"/>
        <v>0.32281607279951985</v>
      </c>
      <c r="D196" s="84">
        <f t="shared" ca="1" si="38"/>
        <v>6.2383392378299041E-2</v>
      </c>
      <c r="F196" s="84">
        <f t="shared" ca="1" si="39"/>
        <v>0.3781724766821154</v>
      </c>
      <c r="G196" s="84">
        <f t="shared" ca="1" si="39"/>
        <v>0.98917167248158522</v>
      </c>
      <c r="H196" s="84">
        <f t="shared" ca="1" si="39"/>
        <v>0.67360541230852267</v>
      </c>
      <c r="J196" s="85">
        <f t="shared" ca="1" si="31"/>
        <v>210854609.78956741</v>
      </c>
      <c r="K196" s="86">
        <f ca="1">IF(J196&gt;0,MIN(99,$B$12*Q196/(J196*12*(1-Inputs!$H$16))),99)</f>
        <v>2.5446960823995832</v>
      </c>
      <c r="L196" s="84">
        <f t="shared" ca="1" si="32"/>
        <v>1.1318013645493175</v>
      </c>
      <c r="M196" s="84">
        <f t="shared" ca="1" si="33"/>
        <v>1.0576583651687848</v>
      </c>
      <c r="N196" s="84">
        <f t="shared" ca="1" si="34"/>
        <v>0.96295325989789393</v>
      </c>
      <c r="O196" s="84">
        <f t="shared" ca="1" si="35"/>
        <v>1.0124796667961997</v>
      </c>
      <c r="P196" s="84">
        <f t="shared" ca="1" si="36"/>
        <v>1.7638142688032081</v>
      </c>
      <c r="Q196" s="84">
        <f t="shared" ca="1" si="37"/>
        <v>1.17719650163486</v>
      </c>
    </row>
    <row r="197" spans="1:17" ht="15" customHeight="1" x14ac:dyDescent="0.2">
      <c r="A197" s="15">
        <v>158</v>
      </c>
      <c r="B197" s="84">
        <f t="shared" ca="1" si="38"/>
        <v>0.34593238548433636</v>
      </c>
      <c r="C197" s="84">
        <f t="shared" ca="1" si="38"/>
        <v>0.10359881036515306</v>
      </c>
      <c r="D197" s="84">
        <f t="shared" ca="1" si="38"/>
        <v>0.8086507934720214</v>
      </c>
      <c r="F197" s="84">
        <f t="shared" ca="1" si="39"/>
        <v>0.9093449769539822</v>
      </c>
      <c r="G197" s="84">
        <f t="shared" ca="1" si="39"/>
        <v>0.49378987397133101</v>
      </c>
      <c r="H197" s="84">
        <f t="shared" ca="1" si="39"/>
        <v>0.65905066782632826</v>
      </c>
      <c r="J197" s="85">
        <f t="shared" ca="1" si="31"/>
        <v>87276978.979634091</v>
      </c>
      <c r="K197" s="86">
        <f ca="1">IF(J197&gt;0,MIN(99,$B$12*Q197/(J197*12*(1-Inputs!$H$16))),99)</f>
        <v>6.1092778237027607</v>
      </c>
      <c r="L197" s="84">
        <f t="shared" ca="1" si="32"/>
        <v>0.97227491824098633</v>
      </c>
      <c r="M197" s="84">
        <f t="shared" ca="1" si="33"/>
        <v>0.98695968641231868</v>
      </c>
      <c r="N197" s="84">
        <f t="shared" ca="1" si="34"/>
        <v>1.0392062961965967</v>
      </c>
      <c r="O197" s="84">
        <f t="shared" ca="1" si="35"/>
        <v>1.0738984714130426</v>
      </c>
      <c r="P197" s="84">
        <f t="shared" ca="1" si="36"/>
        <v>1.1862023292709969</v>
      </c>
      <c r="Q197" s="84">
        <f t="shared" ca="1" si="37"/>
        <v>1.1698212925982077</v>
      </c>
    </row>
    <row r="198" spans="1:17" ht="15" customHeight="1" x14ac:dyDescent="0.2">
      <c r="A198" s="15">
        <v>159</v>
      </c>
      <c r="B198" s="84">
        <f t="shared" ca="1" si="38"/>
        <v>0.81945993529794092</v>
      </c>
      <c r="C198" s="84">
        <f t="shared" ca="1" si="38"/>
        <v>6.9646893315566616E-2</v>
      </c>
      <c r="D198" s="84">
        <f t="shared" ca="1" si="38"/>
        <v>0.24682063782482522</v>
      </c>
      <c r="F198" s="84">
        <f t="shared" ca="1" si="39"/>
        <v>0.87066757229107228</v>
      </c>
      <c r="G198" s="84">
        <f t="shared" ca="1" si="39"/>
        <v>0.16822277388166706</v>
      </c>
      <c r="H198" s="84">
        <f t="shared" ca="1" si="39"/>
        <v>0.66436200980001392</v>
      </c>
      <c r="J198" s="85">
        <f t="shared" ca="1" si="31"/>
        <v>213835029.87875527</v>
      </c>
      <c r="K198" s="86">
        <f ca="1">IF(J198&gt;0,MIN(99,$B$12*Q198/(J198*12*(1-Inputs!$H$16))),99)</f>
        <v>2.4992049111956152</v>
      </c>
      <c r="L198" s="84">
        <f t="shared" ca="1" si="32"/>
        <v>1.1174428392724307</v>
      </c>
      <c r="M198" s="84">
        <f t="shared" ca="1" si="33"/>
        <v>1.0513080916444362</v>
      </c>
      <c r="N198" s="84">
        <f t="shared" ca="1" si="34"/>
        <v>0.98671170400570851</v>
      </c>
      <c r="O198" s="84">
        <f t="shared" ca="1" si="35"/>
        <v>1.0665229266565019</v>
      </c>
      <c r="P198" s="84">
        <f t="shared" ca="1" si="36"/>
        <v>0.99544333797413487</v>
      </c>
      <c r="Q198" s="84">
        <f t="shared" ca="1" si="37"/>
        <v>1.172494080256802</v>
      </c>
    </row>
    <row r="199" spans="1:17" ht="15" customHeight="1" x14ac:dyDescent="0.2">
      <c r="A199" s="15">
        <v>160</v>
      </c>
      <c r="B199" s="84">
        <f t="shared" ca="1" si="38"/>
        <v>0.98276575395517818</v>
      </c>
      <c r="C199" s="84">
        <f t="shared" ca="1" si="38"/>
        <v>0.82164867253116425</v>
      </c>
      <c r="D199" s="84">
        <f t="shared" ca="1" si="38"/>
        <v>0.17892447306321679</v>
      </c>
      <c r="F199" s="84">
        <f t="shared" ca="1" si="39"/>
        <v>0.79936128294709596</v>
      </c>
      <c r="G199" s="84">
        <f t="shared" ca="1" si="39"/>
        <v>0.69412535108122242</v>
      </c>
      <c r="H199" s="84">
        <f t="shared" ca="1" si="39"/>
        <v>0.29795124196108758</v>
      </c>
      <c r="J199" s="85">
        <f t="shared" ca="1" si="31"/>
        <v>292798523.31885237</v>
      </c>
      <c r="K199" s="86">
        <f ca="1">IF(J199&gt;0,MIN(99,$B$12*Q199/(J199*12*(1-Inputs!$H$16))),99)</f>
        <v>1.5896119024990945</v>
      </c>
      <c r="L199" s="84">
        <f t="shared" ca="1" si="32"/>
        <v>1.2263203447920694</v>
      </c>
      <c r="M199" s="84">
        <f t="shared" ca="1" si="33"/>
        <v>1.0994608042222</v>
      </c>
      <c r="N199" s="84">
        <f t="shared" ca="1" si="34"/>
        <v>0.97961276441973799</v>
      </c>
      <c r="O199" s="84">
        <f t="shared" ca="1" si="35"/>
        <v>1.0553977116460922</v>
      </c>
      <c r="P199" s="84">
        <f t="shared" ca="1" si="36"/>
        <v>1.3368517064699641</v>
      </c>
      <c r="Q199" s="84">
        <f t="shared" ca="1" si="37"/>
        <v>1.0211509118477775</v>
      </c>
    </row>
    <row r="200" spans="1:17" ht="15" customHeight="1" x14ac:dyDescent="0.2">
      <c r="A200" s="15">
        <v>161</v>
      </c>
      <c r="B200" s="84">
        <f t="shared" ref="B200:D219" ca="1" si="40">RAND()</f>
        <v>0.94133642800737916</v>
      </c>
      <c r="C200" s="84">
        <f t="shared" ca="1" si="40"/>
        <v>0.68181168846325113</v>
      </c>
      <c r="D200" s="84">
        <f t="shared" ca="1" si="40"/>
        <v>5.14912370838706E-2</v>
      </c>
      <c r="F200" s="84">
        <f t="shared" ref="F200:H219" ca="1" si="41">RAND()</f>
        <v>3.5313183191225672E-3</v>
      </c>
      <c r="G200" s="84">
        <f t="shared" ca="1" si="41"/>
        <v>9.1550105489784039E-2</v>
      </c>
      <c r="H200" s="84">
        <f t="shared" ca="1" si="41"/>
        <v>0.67148641169347278</v>
      </c>
      <c r="J200" s="85">
        <f t="shared" ca="1" si="31"/>
        <v>291771963.15239185</v>
      </c>
      <c r="K200" s="86">
        <f ca="1">IF(J200&gt;0,MIN(99,$B$12*Q200/(J200*12*(1-Inputs!$H$16))),99)</f>
        <v>1.8372803538355063</v>
      </c>
      <c r="L200" s="84">
        <f t="shared" ca="1" si="32"/>
        <v>1.1851877449955444</v>
      </c>
      <c r="M200" s="84">
        <f t="shared" ca="1" si="33"/>
        <v>1.0812692939912736</v>
      </c>
      <c r="N200" s="84">
        <f t="shared" ca="1" si="34"/>
        <v>0.96075576549237562</v>
      </c>
      <c r="O200" s="84">
        <f t="shared" ca="1" si="35"/>
        <v>0.97377094734056413</v>
      </c>
      <c r="P200" s="84">
        <f t="shared" ca="1" si="36"/>
        <v>0.94803347141989902</v>
      </c>
      <c r="Q200" s="84">
        <f t="shared" ca="1" si="37"/>
        <v>1.176112674000396</v>
      </c>
    </row>
    <row r="201" spans="1:17" ht="15" customHeight="1" x14ac:dyDescent="0.2">
      <c r="A201" s="15">
        <v>162</v>
      </c>
      <c r="B201" s="84">
        <f t="shared" ca="1" si="40"/>
        <v>0.66270205180741071</v>
      </c>
      <c r="C201" s="84">
        <f t="shared" ca="1" si="40"/>
        <v>0.4258781179201</v>
      </c>
      <c r="D201" s="84">
        <f t="shared" ca="1" si="40"/>
        <v>0.27086403931507241</v>
      </c>
      <c r="F201" s="84">
        <f t="shared" ca="1" si="41"/>
        <v>0.44612107817913449</v>
      </c>
      <c r="G201" s="84">
        <f t="shared" ca="1" si="41"/>
        <v>3.1182989463952149E-2</v>
      </c>
      <c r="H201" s="84">
        <f t="shared" ca="1" si="41"/>
        <v>0.47446676673317034</v>
      </c>
      <c r="J201" s="85">
        <f t="shared" ca="1" si="31"/>
        <v>181239494.79019022</v>
      </c>
      <c r="K201" s="86">
        <f ca="1">IF(J201&gt;0,MIN(99,$B$12*Q201/(J201*12*(1-Inputs!$H$16))),99)</f>
        <v>2.734345905494914</v>
      </c>
      <c r="L201" s="84">
        <f t="shared" ca="1" si="32"/>
        <v>1.0596433937013283</v>
      </c>
      <c r="M201" s="84">
        <f t="shared" ca="1" si="33"/>
        <v>1.0257454184691459</v>
      </c>
      <c r="N201" s="84">
        <f t="shared" ca="1" si="34"/>
        <v>0.98898475671609565</v>
      </c>
      <c r="O201" s="84">
        <f t="shared" ca="1" si="35"/>
        <v>1.0180650179517687</v>
      </c>
      <c r="P201" s="84">
        <f t="shared" ca="1" si="36"/>
        <v>0.8925110092019507</v>
      </c>
      <c r="Q201" s="84">
        <f t="shared" ca="1" si="37"/>
        <v>1.0872670780378271</v>
      </c>
    </row>
    <row r="202" spans="1:17" ht="15" customHeight="1" x14ac:dyDescent="0.2">
      <c r="A202" s="15">
        <v>163</v>
      </c>
      <c r="B202" s="84">
        <f t="shared" ca="1" si="40"/>
        <v>2.0989884924495383E-2</v>
      </c>
      <c r="C202" s="84">
        <f t="shared" ca="1" si="40"/>
        <v>0.57624433362055538</v>
      </c>
      <c r="D202" s="84">
        <f t="shared" ca="1" si="40"/>
        <v>0.35479290820345644</v>
      </c>
      <c r="F202" s="84">
        <f t="shared" ca="1" si="41"/>
        <v>0.28796350068188614</v>
      </c>
      <c r="G202" s="84">
        <f t="shared" ca="1" si="41"/>
        <v>0.75440870046184838</v>
      </c>
      <c r="H202" s="84">
        <f t="shared" ca="1" si="41"/>
        <v>3.9797692182181876E-3</v>
      </c>
      <c r="J202" s="85">
        <f t="shared" ca="1" si="31"/>
        <v>2595603.2451003343</v>
      </c>
      <c r="K202" s="86">
        <f ca="1">IF(J202&gt;0,MIN(99,$B$12*Q202/(J202*12*(1-Inputs!$H$16))),99)</f>
        <v>99</v>
      </c>
      <c r="L202" s="84">
        <f t="shared" ca="1" si="32"/>
        <v>0.82359384790285428</v>
      </c>
      <c r="M202" s="84">
        <f t="shared" ca="1" si="33"/>
        <v>0.9204414397171613</v>
      </c>
      <c r="N202" s="84">
        <f t="shared" ca="1" si="34"/>
        <v>0.99621671379049603</v>
      </c>
      <c r="O202" s="84">
        <f t="shared" ca="1" si="35"/>
        <v>1.005516920767394</v>
      </c>
      <c r="P202" s="84">
        <f t="shared" ca="1" si="36"/>
        <v>1.3915177972633372</v>
      </c>
      <c r="Q202" s="84">
        <f t="shared" ca="1" si="37"/>
        <v>0.86240373416741489</v>
      </c>
    </row>
    <row r="203" spans="1:17" ht="15" customHeight="1" x14ac:dyDescent="0.2">
      <c r="A203" s="15">
        <v>164</v>
      </c>
      <c r="B203" s="84">
        <f t="shared" ca="1" si="40"/>
        <v>0.10872716902188861</v>
      </c>
      <c r="C203" s="84">
        <f t="shared" ca="1" si="40"/>
        <v>1.2589331744550902E-2</v>
      </c>
      <c r="D203" s="84">
        <f t="shared" ca="1" si="40"/>
        <v>8.5093845078814567E-2</v>
      </c>
      <c r="F203" s="84">
        <f t="shared" ca="1" si="41"/>
        <v>0.92620358195441566</v>
      </c>
      <c r="G203" s="84">
        <f t="shared" ca="1" si="41"/>
        <v>0.63723651695560646</v>
      </c>
      <c r="H203" s="84">
        <f t="shared" ca="1" si="41"/>
        <v>2.4193584063616158E-2</v>
      </c>
      <c r="J203" s="85">
        <f t="shared" ca="1" si="31"/>
        <v>39016220.394772097</v>
      </c>
      <c r="K203" s="86">
        <f ca="1">IF(J203&gt;0,MIN(99,$B$12*Q203/(J203*12*(1-Inputs!$H$16))),99)</f>
        <v>10.426278690394705</v>
      </c>
      <c r="L203" s="84">
        <f t="shared" ca="1" si="32"/>
        <v>0.88559749777893926</v>
      </c>
      <c r="M203" s="84">
        <f t="shared" ca="1" si="33"/>
        <v>0.94818117867033058</v>
      </c>
      <c r="N203" s="84">
        <f t="shared" ca="1" si="34"/>
        <v>0.96698684572678006</v>
      </c>
      <c r="O203" s="84">
        <f t="shared" ca="1" si="35"/>
        <v>1.0776071006756642</v>
      </c>
      <c r="P203" s="84">
        <f t="shared" ca="1" si="36"/>
        <v>1.2900292852898612</v>
      </c>
      <c r="Q203" s="84">
        <f t="shared" ca="1" si="37"/>
        <v>0.89249227659276986</v>
      </c>
    </row>
    <row r="204" spans="1:17" ht="15" customHeight="1" x14ac:dyDescent="0.2">
      <c r="A204" s="15">
        <v>165</v>
      </c>
      <c r="B204" s="84">
        <f t="shared" ca="1" si="40"/>
        <v>0.53893129312654831</v>
      </c>
      <c r="C204" s="84">
        <f t="shared" ca="1" si="40"/>
        <v>0.52273014871985435</v>
      </c>
      <c r="D204" s="84">
        <f t="shared" ca="1" si="40"/>
        <v>0.96977425868038547</v>
      </c>
      <c r="F204" s="84">
        <f t="shared" ca="1" si="41"/>
        <v>0.31274709943056445</v>
      </c>
      <c r="G204" s="84">
        <f t="shared" ca="1" si="41"/>
        <v>0.98401644898288765</v>
      </c>
      <c r="H204" s="84">
        <f t="shared" ca="1" si="41"/>
        <v>0.17210399307096491</v>
      </c>
      <c r="J204" s="85">
        <f t="shared" ca="1" si="31"/>
        <v>106288889.31337027</v>
      </c>
      <c r="K204" s="86">
        <f ca="1">IF(J204&gt;0,MIN(99,$B$12*Q204/(J204*12*(1-Inputs!$H$16))),99)</f>
        <v>4.1891270210104334</v>
      </c>
      <c r="L204" s="84">
        <f t="shared" ca="1" si="32"/>
        <v>1.0232124959512494</v>
      </c>
      <c r="M204" s="84">
        <f t="shared" ca="1" si="33"/>
        <v>1.0096333066060297</v>
      </c>
      <c r="N204" s="84">
        <f t="shared" ca="1" si="34"/>
        <v>1.070045639327911</v>
      </c>
      <c r="O204" s="84">
        <f t="shared" ca="1" si="35"/>
        <v>1.0073835819051473</v>
      </c>
      <c r="P204" s="84">
        <f t="shared" ca="1" si="36"/>
        <v>1.7425452436675093</v>
      </c>
      <c r="Q204" s="84">
        <f t="shared" ca="1" si="37"/>
        <v>0.97688027235237029</v>
      </c>
    </row>
    <row r="205" spans="1:17" ht="15" customHeight="1" x14ac:dyDescent="0.2">
      <c r="A205" s="15">
        <v>166</v>
      </c>
      <c r="B205" s="84">
        <f t="shared" ca="1" si="40"/>
        <v>0.42710725888301959</v>
      </c>
      <c r="C205" s="84">
        <f t="shared" ca="1" si="40"/>
        <v>0.96219514339702872</v>
      </c>
      <c r="D205" s="84">
        <f t="shared" ca="1" si="40"/>
        <v>0.27652956293630671</v>
      </c>
      <c r="F205" s="84">
        <f t="shared" ca="1" si="41"/>
        <v>0.42897807193440562</v>
      </c>
      <c r="G205" s="84">
        <f t="shared" ca="1" si="41"/>
        <v>0.22086574484879973</v>
      </c>
      <c r="H205" s="84">
        <f t="shared" ca="1" si="41"/>
        <v>0.62172237621768012</v>
      </c>
      <c r="J205" s="85">
        <f t="shared" ca="1" si="31"/>
        <v>128843883.82380925</v>
      </c>
      <c r="K205" s="86">
        <f ca="1">IF(J205&gt;0,MIN(99,$B$12*Q205/(J205*12*(1-Inputs!$H$16))),99)</f>
        <v>4.0738634267411289</v>
      </c>
      <c r="L205" s="84">
        <f t="shared" ca="1" si="32"/>
        <v>0.99420211364021949</v>
      </c>
      <c r="M205" s="84">
        <f t="shared" ca="1" si="33"/>
        <v>0.99676966820476898</v>
      </c>
      <c r="N205" s="84">
        <f t="shared" ca="1" si="34"/>
        <v>0.98950550167038975</v>
      </c>
      <c r="O205" s="84">
        <f t="shared" ca="1" si="35"/>
        <v>1.0166249588151286</v>
      </c>
      <c r="P205" s="84">
        <f t="shared" ca="1" si="36"/>
        <v>1.0234037607474433</v>
      </c>
      <c r="Q205" s="84">
        <f t="shared" ca="1" si="37"/>
        <v>1.1515961770707124</v>
      </c>
    </row>
    <row r="206" spans="1:17" ht="15" customHeight="1" x14ac:dyDescent="0.2">
      <c r="A206" s="15">
        <v>167</v>
      </c>
      <c r="B206" s="84">
        <f t="shared" ca="1" si="40"/>
        <v>0.90977825211768926</v>
      </c>
      <c r="C206" s="84">
        <f t="shared" ca="1" si="40"/>
        <v>0.91541653146152624</v>
      </c>
      <c r="D206" s="84">
        <f t="shared" ca="1" si="40"/>
        <v>0.99193132119493177</v>
      </c>
      <c r="F206" s="84">
        <f t="shared" ca="1" si="41"/>
        <v>0.58333479120278375</v>
      </c>
      <c r="G206" s="84">
        <f t="shared" ca="1" si="41"/>
        <v>0.15669664366185487</v>
      </c>
      <c r="H206" s="84">
        <f t="shared" ca="1" si="41"/>
        <v>0.49137361759298448</v>
      </c>
      <c r="J206" s="85">
        <f t="shared" ca="1" si="31"/>
        <v>233312665.08447248</v>
      </c>
      <c r="K206" s="86">
        <f ca="1">IF(J206&gt;0,MIN(99,$B$12*Q206/(J206*12*(1-Inputs!$H$16))),99)</f>
        <v>2.1375100456734279</v>
      </c>
      <c r="L206" s="84">
        <f t="shared" ca="1" si="32"/>
        <v>1.1636200631450271</v>
      </c>
      <c r="M206" s="84">
        <f t="shared" ca="1" si="33"/>
        <v>1.0717306626627914</v>
      </c>
      <c r="N206" s="84">
        <f t="shared" ca="1" si="34"/>
        <v>1.079877294217418</v>
      </c>
      <c r="O206" s="84">
        <f t="shared" ca="1" si="35"/>
        <v>1.0305050364770287</v>
      </c>
      <c r="P206" s="84">
        <f t="shared" ca="1" si="36"/>
        <v>0.98914106130892254</v>
      </c>
      <c r="Q206" s="84">
        <f t="shared" ca="1" si="37"/>
        <v>1.0941488807841457</v>
      </c>
    </row>
    <row r="207" spans="1:17" ht="15" customHeight="1" x14ac:dyDescent="0.2">
      <c r="A207" s="15">
        <v>168</v>
      </c>
      <c r="B207" s="84">
        <f t="shared" ca="1" si="40"/>
        <v>0.20238869286245542</v>
      </c>
      <c r="C207" s="84">
        <f t="shared" ca="1" si="40"/>
        <v>0.70515360922748882</v>
      </c>
      <c r="D207" s="84">
        <f t="shared" ca="1" si="40"/>
        <v>0.2076867908408605</v>
      </c>
      <c r="F207" s="84">
        <f t="shared" ca="1" si="41"/>
        <v>0.32993317339169626</v>
      </c>
      <c r="G207" s="84">
        <f t="shared" ca="1" si="41"/>
        <v>0.76643812745951168</v>
      </c>
      <c r="H207" s="84">
        <f t="shared" ca="1" si="41"/>
        <v>0.44769734124708938</v>
      </c>
      <c r="J207" s="85">
        <f t="shared" ca="1" si="31"/>
        <v>69913184.466493949</v>
      </c>
      <c r="K207" s="86">
        <f ca="1">IF(J207&gt;0,MIN(99,$B$12*Q207/(J207*12*(1-Inputs!$H$16))),99)</f>
        <v>7.0187969472099043</v>
      </c>
      <c r="L207" s="84">
        <f t="shared" ca="1" si="32"/>
        <v>0.92589310105841893</v>
      </c>
      <c r="M207" s="84">
        <f t="shared" ca="1" si="33"/>
        <v>0.96620898055243187</v>
      </c>
      <c r="N207" s="84">
        <f t="shared" ca="1" si="34"/>
        <v>0.98276063434056116</v>
      </c>
      <c r="O207" s="84">
        <f t="shared" ca="1" si="35"/>
        <v>1.0086978445278669</v>
      </c>
      <c r="P207" s="84">
        <f t="shared" ca="1" si="36"/>
        <v>1.4032039171816528</v>
      </c>
      <c r="Q207" s="84">
        <f t="shared" ca="1" si="37"/>
        <v>1.0765933778687222</v>
      </c>
    </row>
    <row r="208" spans="1:17" ht="15" customHeight="1" x14ac:dyDescent="0.2">
      <c r="A208" s="15">
        <v>169</v>
      </c>
      <c r="B208" s="84">
        <f t="shared" ca="1" si="40"/>
        <v>0.72202407726898254</v>
      </c>
      <c r="C208" s="84">
        <f t="shared" ca="1" si="40"/>
        <v>3.0155103810918238E-2</v>
      </c>
      <c r="D208" s="84">
        <f t="shared" ca="1" si="40"/>
        <v>0.81772489329135578</v>
      </c>
      <c r="F208" s="84">
        <f t="shared" ca="1" si="41"/>
        <v>0.58498036883665328</v>
      </c>
      <c r="G208" s="84">
        <f t="shared" ca="1" si="41"/>
        <v>0.24981454129628433</v>
      </c>
      <c r="H208" s="84">
        <f t="shared" ca="1" si="41"/>
        <v>0.40990047846941902</v>
      </c>
      <c r="J208" s="85">
        <f t="shared" ca="1" si="31"/>
        <v>176553777.81703603</v>
      </c>
      <c r="K208" s="86">
        <f ca="1">IF(J208&gt;0,MIN(99,$B$12*Q208/(J208*12*(1-Inputs!$H$16))),99)</f>
        <v>2.7415661130728179</v>
      </c>
      <c r="L208" s="84">
        <f t="shared" ca="1" si="32"/>
        <v>1.079496318767357</v>
      </c>
      <c r="M208" s="84">
        <f t="shared" ca="1" si="33"/>
        <v>1.0345256728474015</v>
      </c>
      <c r="N208" s="84">
        <f t="shared" ca="1" si="34"/>
        <v>1.0404345747323265</v>
      </c>
      <c r="O208" s="84">
        <f t="shared" ca="1" si="35"/>
        <v>1.0306657961274097</v>
      </c>
      <c r="P208" s="84">
        <f t="shared" ca="1" si="36"/>
        <v>1.0391446469899535</v>
      </c>
      <c r="Q208" s="84">
        <f t="shared" ca="1" si="37"/>
        <v>1.0619539377817491</v>
      </c>
    </row>
    <row r="209" spans="1:17" ht="15" customHeight="1" x14ac:dyDescent="0.2">
      <c r="A209" s="15">
        <v>170</v>
      </c>
      <c r="B209" s="84">
        <f t="shared" ca="1" si="40"/>
        <v>0.2335835907865319</v>
      </c>
      <c r="C209" s="84">
        <f t="shared" ca="1" si="40"/>
        <v>0.34293192029180553</v>
      </c>
      <c r="D209" s="84">
        <f t="shared" ca="1" si="40"/>
        <v>0.55519927318911322</v>
      </c>
      <c r="F209" s="84">
        <f t="shared" ca="1" si="41"/>
        <v>0.75332344445205313</v>
      </c>
      <c r="G209" s="84">
        <f t="shared" ca="1" si="41"/>
        <v>0.90979370406411852</v>
      </c>
      <c r="H209" s="84">
        <f t="shared" ca="1" si="41"/>
        <v>0.69981103388824673</v>
      </c>
      <c r="J209" s="85">
        <f t="shared" ca="1" si="31"/>
        <v>58193038.989661321</v>
      </c>
      <c r="K209" s="86">
        <f ca="1">IF(J209&gt;0,MIN(99,$B$12*Q209/(J209*12*(1-Inputs!$H$16))),99)</f>
        <v>9.327716132339706</v>
      </c>
      <c r="L209" s="84">
        <f t="shared" ca="1" si="32"/>
        <v>0.93710537919355064</v>
      </c>
      <c r="M209" s="84">
        <f t="shared" ca="1" si="33"/>
        <v>0.97122522829204838</v>
      </c>
      <c r="N209" s="84">
        <f t="shared" ca="1" si="34"/>
        <v>1.0123544169910832</v>
      </c>
      <c r="O209" s="84">
        <f t="shared" ca="1" si="35"/>
        <v>1.04925693565739</v>
      </c>
      <c r="P209" s="84">
        <f t="shared" ca="1" si="36"/>
        <v>1.5771637959120355</v>
      </c>
      <c r="Q209" s="84">
        <f t="shared" ca="1" si="37"/>
        <v>1.1909027552517333</v>
      </c>
    </row>
    <row r="210" spans="1:17" ht="15" customHeight="1" x14ac:dyDescent="0.2">
      <c r="A210" s="15">
        <v>171</v>
      </c>
      <c r="B210" s="84">
        <f t="shared" ca="1" si="40"/>
        <v>0.9363677121011309</v>
      </c>
      <c r="C210" s="84">
        <f t="shared" ca="1" si="40"/>
        <v>0.37957652798596231</v>
      </c>
      <c r="D210" s="84">
        <f t="shared" ca="1" si="40"/>
        <v>0.72166981965519639</v>
      </c>
      <c r="F210" s="84">
        <f t="shared" ca="1" si="41"/>
        <v>0.82903547680104095</v>
      </c>
      <c r="G210" s="84">
        <f t="shared" ca="1" si="41"/>
        <v>0.39718629781445391</v>
      </c>
      <c r="H210" s="84">
        <f t="shared" ca="1" si="41"/>
        <v>0.59096983784477553</v>
      </c>
      <c r="J210" s="85">
        <f t="shared" ca="1" si="31"/>
        <v>250433788.39239061</v>
      </c>
      <c r="K210" s="86">
        <f ca="1">IF(J210&gt;0,MIN(99,$B$12*Q210/(J210*12*(1-Inputs!$H$16))),99)</f>
        <v>2.0698179323885593</v>
      </c>
      <c r="L210" s="84">
        <f t="shared" ca="1" si="32"/>
        <v>1.1814615609169443</v>
      </c>
      <c r="M210" s="84">
        <f t="shared" ca="1" si="33"/>
        <v>1.0796213331008002</v>
      </c>
      <c r="N210" s="84">
        <f t="shared" ca="1" si="34"/>
        <v>1.0286602758767736</v>
      </c>
      <c r="O210" s="84">
        <f t="shared" ca="1" si="35"/>
        <v>1.0597380545745188</v>
      </c>
      <c r="P210" s="84">
        <f t="shared" ca="1" si="36"/>
        <v>1.1244626732122738</v>
      </c>
      <c r="Q210" s="84">
        <f t="shared" ca="1" si="37"/>
        <v>1.1372475501196433</v>
      </c>
    </row>
    <row r="211" spans="1:17" ht="15" customHeight="1" x14ac:dyDescent="0.2">
      <c r="A211" s="15">
        <v>172</v>
      </c>
      <c r="B211" s="84">
        <f t="shared" ca="1" si="40"/>
        <v>0.67340843755577195</v>
      </c>
      <c r="C211" s="84">
        <f t="shared" ca="1" si="40"/>
        <v>0.49014418416537375</v>
      </c>
      <c r="D211" s="84">
        <f t="shared" ca="1" si="40"/>
        <v>0.80891145773900053</v>
      </c>
      <c r="F211" s="84">
        <f t="shared" ca="1" si="41"/>
        <v>0.54650306125654191</v>
      </c>
      <c r="G211" s="84">
        <f t="shared" ca="1" si="41"/>
        <v>0.51813942702707272</v>
      </c>
      <c r="H211" s="84">
        <f t="shared" ca="1" si="41"/>
        <v>0.71697144030275095</v>
      </c>
      <c r="J211" s="85">
        <f t="shared" ca="1" si="31"/>
        <v>159108460.00654536</v>
      </c>
      <c r="K211" s="86">
        <f ca="1">IF(J211&gt;0,MIN(99,$B$12*Q211/(J211*12*(1-Inputs!$H$16))),99)</f>
        <v>3.438207971655328</v>
      </c>
      <c r="L211" s="84">
        <f t="shared" ca="1" si="32"/>
        <v>1.0630888397557094</v>
      </c>
      <c r="M211" s="84">
        <f t="shared" ca="1" si="33"/>
        <v>1.0272692187506363</v>
      </c>
      <c r="N211" s="84">
        <f t="shared" ca="1" si="34"/>
        <v>1.0392411684487388</v>
      </c>
      <c r="O211" s="84">
        <f t="shared" ca="1" si="35"/>
        <v>1.0269865392958821</v>
      </c>
      <c r="P211" s="84">
        <f t="shared" ca="1" si="36"/>
        <v>1.2026747837725091</v>
      </c>
      <c r="Q211" s="84">
        <f t="shared" ca="1" si="37"/>
        <v>1.2002047925255594</v>
      </c>
    </row>
    <row r="212" spans="1:17" ht="15" customHeight="1" x14ac:dyDescent="0.2">
      <c r="A212" s="15">
        <v>173</v>
      </c>
      <c r="B212" s="84">
        <f t="shared" ca="1" si="40"/>
        <v>2.7076836635743007E-2</v>
      </c>
      <c r="C212" s="84">
        <f t="shared" ca="1" si="40"/>
        <v>0.13478924573071449</v>
      </c>
      <c r="D212" s="84">
        <f t="shared" ca="1" si="40"/>
        <v>5.8611258436713776E-2</v>
      </c>
      <c r="F212" s="84">
        <f t="shared" ca="1" si="41"/>
        <v>6.9592482501036335E-3</v>
      </c>
      <c r="G212" s="84">
        <f t="shared" ca="1" si="41"/>
        <v>7.8714568327267309E-2</v>
      </c>
      <c r="H212" s="84">
        <f t="shared" ca="1" si="41"/>
        <v>0.7767840086232366</v>
      </c>
      <c r="J212" s="85">
        <f t="shared" ca="1" si="31"/>
        <v>34875826.757093921</v>
      </c>
      <c r="K212" s="86">
        <f ca="1">IF(J212&gt;0,MIN(99,$B$12*Q212/(J212*12*(1-Inputs!$H$16))),99)</f>
        <v>16.141144070386744</v>
      </c>
      <c r="L212" s="84">
        <f t="shared" ca="1" si="32"/>
        <v>0.83019188456214454</v>
      </c>
      <c r="M212" s="84">
        <f t="shared" ca="1" si="33"/>
        <v>0.92339332746728464</v>
      </c>
      <c r="N212" s="84">
        <f t="shared" ca="1" si="34"/>
        <v>0.96221571941695028</v>
      </c>
      <c r="O212" s="84">
        <f t="shared" ca="1" si="35"/>
        <v>0.97533991058648406</v>
      </c>
      <c r="P212" s="84">
        <f t="shared" ca="1" si="36"/>
        <v>0.93833296572713243</v>
      </c>
      <c r="Q212" s="84">
        <f t="shared" ca="1" si="37"/>
        <v>1.2350620207720964</v>
      </c>
    </row>
    <row r="213" spans="1:17" ht="15" customHeight="1" x14ac:dyDescent="0.2">
      <c r="A213" s="15">
        <v>174</v>
      </c>
      <c r="B213" s="84">
        <f t="shared" ca="1" si="40"/>
        <v>0.76559611910337566</v>
      </c>
      <c r="C213" s="84">
        <f t="shared" ca="1" si="40"/>
        <v>0.1123267387441369</v>
      </c>
      <c r="D213" s="84">
        <f t="shared" ca="1" si="40"/>
        <v>0.50524121585353665</v>
      </c>
      <c r="F213" s="84">
        <f t="shared" ca="1" si="41"/>
        <v>5.5358881632866175E-2</v>
      </c>
      <c r="G213" s="84">
        <f t="shared" ca="1" si="41"/>
        <v>0.69921724544485064</v>
      </c>
      <c r="H213" s="84">
        <f t="shared" ca="1" si="41"/>
        <v>0.65967438488655539</v>
      </c>
      <c r="J213" s="85">
        <f t="shared" ca="1" si="31"/>
        <v>192325724.77194947</v>
      </c>
      <c r="K213" s="86">
        <f ca="1">IF(J213&gt;0,MIN(99,$B$12*Q213/(J213*12*(1-Inputs!$H$16))),99)</f>
        <v>2.7731177335324277</v>
      </c>
      <c r="L213" s="84">
        <f t="shared" ca="1" si="32"/>
        <v>1.09547135709507</v>
      </c>
      <c r="M213" s="84">
        <f t="shared" ca="1" si="33"/>
        <v>1.0415908735547632</v>
      </c>
      <c r="N213" s="84">
        <f t="shared" ca="1" si="34"/>
        <v>1.0080888586378631</v>
      </c>
      <c r="O213" s="84">
        <f t="shared" ca="1" si="35"/>
        <v>0.98526884698243067</v>
      </c>
      <c r="P213" s="84">
        <f t="shared" ca="1" si="36"/>
        <v>1.3412475256093632</v>
      </c>
      <c r="Q213" s="84">
        <f t="shared" ca="1" si="37"/>
        <v>1.1701340771061048</v>
      </c>
    </row>
    <row r="214" spans="1:17" ht="15" customHeight="1" x14ac:dyDescent="0.2">
      <c r="A214" s="15">
        <v>175</v>
      </c>
      <c r="B214" s="84">
        <f t="shared" ca="1" si="40"/>
        <v>0.95118769745437293</v>
      </c>
      <c r="C214" s="84">
        <f t="shared" ca="1" si="40"/>
        <v>0.9777098314199667</v>
      </c>
      <c r="D214" s="84">
        <f t="shared" ca="1" si="40"/>
        <v>0.1231767652339214</v>
      </c>
      <c r="F214" s="84">
        <f t="shared" ca="1" si="41"/>
        <v>0.34867560509124862</v>
      </c>
      <c r="G214" s="84">
        <f t="shared" ca="1" si="41"/>
        <v>0.11774087967465396</v>
      </c>
      <c r="H214" s="84">
        <f t="shared" ca="1" si="41"/>
        <v>0.47510562451896321</v>
      </c>
      <c r="J214" s="85">
        <f t="shared" ca="1" si="31"/>
        <v>288467377.49874091</v>
      </c>
      <c r="K214" s="86">
        <f ca="1">IF(J214&gt;0,MIN(99,$B$12*Q214/(J214*12*(1-Inputs!$H$16))),99)</f>
        <v>1.7183539972937592</v>
      </c>
      <c r="L214" s="84">
        <f t="shared" ca="1" si="32"/>
        <v>1.193075085596482</v>
      </c>
      <c r="M214" s="84">
        <f t="shared" ca="1" si="33"/>
        <v>1.0847575888704337</v>
      </c>
      <c r="N214" s="84">
        <f t="shared" ca="1" si="34"/>
        <v>0.97268564800749246</v>
      </c>
      <c r="O214" s="84">
        <f t="shared" ca="1" si="35"/>
        <v>1.0101504879027006</v>
      </c>
      <c r="P214" s="84">
        <f t="shared" ca="1" si="36"/>
        <v>0.96590911471034524</v>
      </c>
      <c r="Q214" s="84">
        <f t="shared" ca="1" si="37"/>
        <v>1.0875250900484721</v>
      </c>
    </row>
    <row r="215" spans="1:17" ht="15" customHeight="1" x14ac:dyDescent="0.2">
      <c r="A215" s="15">
        <v>176</v>
      </c>
      <c r="B215" s="84">
        <f t="shared" ca="1" si="40"/>
        <v>0.46853301481242204</v>
      </c>
      <c r="C215" s="84">
        <f t="shared" ca="1" si="40"/>
        <v>0.81536105097360445</v>
      </c>
      <c r="D215" s="84">
        <f t="shared" ca="1" si="40"/>
        <v>5.215556864059101E-2</v>
      </c>
      <c r="F215" s="84">
        <f t="shared" ca="1" si="41"/>
        <v>0.2507995689410657</v>
      </c>
      <c r="G215" s="84">
        <f t="shared" ca="1" si="41"/>
        <v>0.96313692182682953</v>
      </c>
      <c r="H215" s="84">
        <f t="shared" ca="1" si="41"/>
        <v>0.78426438241635343</v>
      </c>
      <c r="J215" s="85">
        <f t="shared" ca="1" si="31"/>
        <v>119997177.78285618</v>
      </c>
      <c r="K215" s="86">
        <f ca="1">IF(J215&gt;0,MIN(99,$B$12*Q215/(J215*12*(1-Inputs!$H$16))),99)</f>
        <v>4.7089935844047739</v>
      </c>
      <c r="L215" s="84">
        <f t="shared" ca="1" si="32"/>
        <v>1.0046729564707002</v>
      </c>
      <c r="M215" s="84">
        <f t="shared" ca="1" si="33"/>
        <v>1.0014339167350892</v>
      </c>
      <c r="N215" s="84">
        <f t="shared" ca="1" si="34"/>
        <v>0.96089609151337141</v>
      </c>
      <c r="O215" s="84">
        <f t="shared" ca="1" si="35"/>
        <v>1.0027776540875746</v>
      </c>
      <c r="P215" s="84">
        <f t="shared" ca="1" si="36"/>
        <v>1.6801920543605273</v>
      </c>
      <c r="Q215" s="84">
        <f t="shared" ca="1" si="37"/>
        <v>1.2397355990353329</v>
      </c>
    </row>
    <row r="216" spans="1:17" ht="15" customHeight="1" x14ac:dyDescent="0.2">
      <c r="A216" s="15">
        <v>177</v>
      </c>
      <c r="B216" s="84">
        <f t="shared" ca="1" si="40"/>
        <v>0.17476125047154212</v>
      </c>
      <c r="C216" s="84">
        <f t="shared" ca="1" si="40"/>
        <v>0.35579320440637519</v>
      </c>
      <c r="D216" s="84">
        <f t="shared" ca="1" si="40"/>
        <v>0.82235973092787784</v>
      </c>
      <c r="F216" s="84">
        <f t="shared" ca="1" si="41"/>
        <v>0.95509679240981071</v>
      </c>
      <c r="G216" s="84">
        <f t="shared" ca="1" si="41"/>
        <v>0.57097523436659947</v>
      </c>
      <c r="H216" s="84">
        <f t="shared" ca="1" si="41"/>
        <v>0.46920847206900274</v>
      </c>
      <c r="J216" s="85">
        <f t="shared" ca="1" si="31"/>
        <v>44679819.448657081</v>
      </c>
      <c r="K216" s="86">
        <f ca="1">IF(J216&gt;0,MIN(99,$B$12*Q216/(J216*12*(1-Inputs!$H$16))),99)</f>
        <v>11.070014029757035</v>
      </c>
      <c r="L216" s="84">
        <f t="shared" ca="1" si="32"/>
        <v>0.9152164065936953</v>
      </c>
      <c r="M216" s="84">
        <f t="shared" ca="1" si="33"/>
        <v>0.96143234695221524</v>
      </c>
      <c r="N216" s="84">
        <f t="shared" ca="1" si="34"/>
        <v>1.0410737532571153</v>
      </c>
      <c r="O216" s="84">
        <f t="shared" ca="1" si="35"/>
        <v>1.0851354441762078</v>
      </c>
      <c r="P216" s="84">
        <f t="shared" ca="1" si="36"/>
        <v>1.2399146173411024</v>
      </c>
      <c r="Q216" s="84">
        <f t="shared" ca="1" si="37"/>
        <v>1.0851493689043583</v>
      </c>
    </row>
    <row r="217" spans="1:17" ht="15" customHeight="1" x14ac:dyDescent="0.2">
      <c r="A217" s="15">
        <v>178</v>
      </c>
      <c r="B217" s="84">
        <f t="shared" ca="1" si="40"/>
        <v>0.83187012719193654</v>
      </c>
      <c r="C217" s="84">
        <f t="shared" ca="1" si="40"/>
        <v>0.88513670508105802</v>
      </c>
      <c r="D217" s="84">
        <f t="shared" ca="1" si="40"/>
        <v>0.58926369102778808</v>
      </c>
      <c r="F217" s="84">
        <f t="shared" ca="1" si="41"/>
        <v>0.32003502872836187</v>
      </c>
      <c r="G217" s="84">
        <f t="shared" ca="1" si="41"/>
        <v>0.84278996322598432</v>
      </c>
      <c r="H217" s="84">
        <f t="shared" ca="1" si="41"/>
        <v>0.31781492583834636</v>
      </c>
      <c r="J217" s="85">
        <f t="shared" ca="1" si="31"/>
        <v>202459712.87643939</v>
      </c>
      <c r="K217" s="86">
        <f ca="1">IF(J217&gt;0,MIN(99,$B$12*Q217/(J217*12*(1-Inputs!$H$16))),99)</f>
        <v>2.314640013000214</v>
      </c>
      <c r="L217" s="84">
        <f t="shared" ca="1" si="32"/>
        <v>1.1229544229150064</v>
      </c>
      <c r="M217" s="84">
        <f t="shared" ca="1" si="33"/>
        <v>1.0537456723156922</v>
      </c>
      <c r="N217" s="84">
        <f t="shared" ca="1" si="34"/>
        <v>1.0154019367198237</v>
      </c>
      <c r="O217" s="84">
        <f t="shared" ca="1" si="35"/>
        <v>1.0079388780866927</v>
      </c>
      <c r="P217" s="84">
        <f t="shared" ca="1" si="36"/>
        <v>1.4857295663095249</v>
      </c>
      <c r="Q217" s="84">
        <f t="shared" ca="1" si="37"/>
        <v>1.0281394287505752</v>
      </c>
    </row>
    <row r="218" spans="1:17" ht="15" customHeight="1" x14ac:dyDescent="0.2">
      <c r="A218" s="15">
        <v>179</v>
      </c>
      <c r="B218" s="84">
        <f t="shared" ca="1" si="40"/>
        <v>0.6523605576485586</v>
      </c>
      <c r="C218" s="84">
        <f t="shared" ca="1" si="40"/>
        <v>0.48494882728894051</v>
      </c>
      <c r="D218" s="84">
        <f t="shared" ca="1" si="40"/>
        <v>0.6293982155144775</v>
      </c>
      <c r="F218" s="84">
        <f t="shared" ca="1" si="41"/>
        <v>0.66454731397444644</v>
      </c>
      <c r="G218" s="84">
        <f t="shared" ca="1" si="41"/>
        <v>0.25805158116070037</v>
      </c>
      <c r="H218" s="84">
        <f t="shared" ca="1" si="41"/>
        <v>0.36560310037756205</v>
      </c>
      <c r="J218" s="85">
        <f t="shared" ca="1" si="31"/>
        <v>162760104.25313431</v>
      </c>
      <c r="K218" s="86">
        <f ca="1">IF(J218&gt;0,MIN(99,$B$12*Q218/(J218*12*(1-Inputs!$H$16))),99)</f>
        <v>2.9274997474025719</v>
      </c>
      <c r="L218" s="84">
        <f t="shared" ca="1" si="32"/>
        <v>1.0563669207934829</v>
      </c>
      <c r="M218" s="84">
        <f t="shared" ca="1" si="33"/>
        <v>1.0242963491003416</v>
      </c>
      <c r="N218" s="84">
        <f t="shared" ca="1" si="34"/>
        <v>1.0191596258447964</v>
      </c>
      <c r="O218" s="84">
        <f t="shared" ca="1" si="35"/>
        <v>1.0388601745635626</v>
      </c>
      <c r="P218" s="84">
        <f t="shared" ca="1" si="36"/>
        <v>1.0436788116081828</v>
      </c>
      <c r="Q218" s="84">
        <f t="shared" ca="1" si="37"/>
        <v>1.0453813962198311</v>
      </c>
    </row>
    <row r="219" spans="1:17" ht="15" customHeight="1" x14ac:dyDescent="0.2">
      <c r="A219" s="15">
        <v>180</v>
      </c>
      <c r="B219" s="84">
        <f t="shared" ca="1" si="40"/>
        <v>0.78217581450553453</v>
      </c>
      <c r="C219" s="84">
        <f t="shared" ca="1" si="40"/>
        <v>0.11796035914883751</v>
      </c>
      <c r="D219" s="84">
        <f t="shared" ca="1" si="40"/>
        <v>0.59041656629450623</v>
      </c>
      <c r="F219" s="84">
        <f t="shared" ca="1" si="41"/>
        <v>3.5426026234916974E-2</v>
      </c>
      <c r="G219" s="84">
        <f t="shared" ca="1" si="41"/>
        <v>0.33239470797774251</v>
      </c>
      <c r="H219" s="84">
        <f t="shared" ca="1" si="41"/>
        <v>0.22619545328095392</v>
      </c>
      <c r="J219" s="85">
        <f t="shared" ca="1" si="31"/>
        <v>205665075.63288391</v>
      </c>
      <c r="K219" s="86">
        <f ca="1">IF(J219&gt;0,MIN(99,$B$12*Q219/(J219*12*(1-Inputs!$H$16))),99)</f>
        <v>2.2087761085445927</v>
      </c>
      <c r="L219" s="84">
        <f t="shared" ca="1" si="32"/>
        <v>1.1019369320002417</v>
      </c>
      <c r="M219" s="84">
        <f t="shared" ca="1" si="33"/>
        <v>1.0444503711945448</v>
      </c>
      <c r="N219" s="84">
        <f t="shared" ca="1" si="34"/>
        <v>1.0155072467396833</v>
      </c>
      <c r="O219" s="84">
        <f t="shared" ca="1" si="35"/>
        <v>0.98219157915699939</v>
      </c>
      <c r="P219" s="84">
        <f t="shared" ca="1" si="36"/>
        <v>1.0857979555481014</v>
      </c>
      <c r="Q219" s="84">
        <f t="shared" ca="1" si="37"/>
        <v>0.99664888927895312</v>
      </c>
    </row>
    <row r="220" spans="1:17" ht="15" customHeight="1" x14ac:dyDescent="0.2">
      <c r="A220" s="15">
        <v>181</v>
      </c>
      <c r="B220" s="84">
        <f t="shared" ref="B220:D239" ca="1" si="42">RAND()</f>
        <v>0.28082190013181896</v>
      </c>
      <c r="C220" s="84">
        <f t="shared" ca="1" si="42"/>
        <v>0.79361391715574925</v>
      </c>
      <c r="D220" s="84">
        <f t="shared" ca="1" si="42"/>
        <v>0.5818366318060888</v>
      </c>
      <c r="F220" s="84">
        <f t="shared" ref="F220:H239" ca="1" si="43">RAND()</f>
        <v>0.51770648459991842</v>
      </c>
      <c r="G220" s="84">
        <f t="shared" ca="1" si="43"/>
        <v>3.8600819733300318E-2</v>
      </c>
      <c r="H220" s="84">
        <f t="shared" ca="1" si="43"/>
        <v>0.42066090260305</v>
      </c>
      <c r="J220" s="85">
        <f t="shared" ca="1" si="31"/>
        <v>98001765.950386658</v>
      </c>
      <c r="K220" s="86">
        <f ca="1">IF(J220&gt;0,MIN(99,$B$12*Q220/(J220*12*(1-Inputs!$H$16))),99)</f>
        <v>4.9581877583364529</v>
      </c>
      <c r="L220" s="84">
        <f t="shared" ca="1" si="32"/>
        <v>0.95274268976481036</v>
      </c>
      <c r="M220" s="84">
        <f t="shared" ca="1" si="33"/>
        <v>0.97822118601459029</v>
      </c>
      <c r="N220" s="84">
        <f t="shared" ca="1" si="34"/>
        <v>1.0147270216779332</v>
      </c>
      <c r="O220" s="84">
        <f t="shared" ca="1" si="35"/>
        <v>1.0243341281852414</v>
      </c>
      <c r="P220" s="84">
        <f t="shared" ca="1" si="36"/>
        <v>0.9012739321615042</v>
      </c>
      <c r="Q220" s="84">
        <f t="shared" ca="1" si="37"/>
        <v>1.0660726746328895</v>
      </c>
    </row>
    <row r="221" spans="1:17" ht="15" customHeight="1" x14ac:dyDescent="0.2">
      <c r="A221" s="15">
        <v>182</v>
      </c>
      <c r="B221" s="84">
        <f t="shared" ca="1" si="42"/>
        <v>0.43499138316621855</v>
      </c>
      <c r="C221" s="84">
        <f t="shared" ca="1" si="42"/>
        <v>0.57596163356502483</v>
      </c>
      <c r="D221" s="84">
        <f t="shared" ca="1" si="42"/>
        <v>0.63693056263259462</v>
      </c>
      <c r="F221" s="84">
        <f t="shared" ca="1" si="43"/>
        <v>0.30135701877206889</v>
      </c>
      <c r="G221" s="84">
        <f t="shared" ca="1" si="43"/>
        <v>0.69252914022312451</v>
      </c>
      <c r="H221" s="84">
        <f t="shared" ca="1" si="43"/>
        <v>4.7387551092964997E-2</v>
      </c>
      <c r="J221" s="85">
        <f t="shared" ca="1" si="31"/>
        <v>113662294.93031128</v>
      </c>
      <c r="K221" s="86">
        <f ca="1">IF(J221&gt;0,MIN(99,$B$12*Q221/(J221*12*(1-Inputs!$H$16))),99)</f>
        <v>3.6600686738459918</v>
      </c>
      <c r="L221" s="84">
        <f t="shared" ca="1" si="32"/>
        <v>0.9962160270102498</v>
      </c>
      <c r="M221" s="84">
        <f t="shared" ca="1" si="33"/>
        <v>0.99767067050496561</v>
      </c>
      <c r="N221" s="84">
        <f t="shared" ca="1" si="34"/>
        <v>1.019887178036081</v>
      </c>
      <c r="O221" s="84">
        <f t="shared" ca="1" si="35"/>
        <v>1.0065215903294897</v>
      </c>
      <c r="P221" s="84">
        <f t="shared" ca="1" si="36"/>
        <v>1.335481246386774</v>
      </c>
      <c r="Q221" s="84">
        <f t="shared" ca="1" si="37"/>
        <v>0.91271585767294983</v>
      </c>
    </row>
    <row r="222" spans="1:17" ht="15" customHeight="1" x14ac:dyDescent="0.2">
      <c r="A222" s="15">
        <v>183</v>
      </c>
      <c r="B222" s="84">
        <f t="shared" ca="1" si="42"/>
        <v>0.94834933552534795</v>
      </c>
      <c r="C222" s="84">
        <f t="shared" ca="1" si="42"/>
        <v>0.47148079835968371</v>
      </c>
      <c r="D222" s="84">
        <f t="shared" ca="1" si="42"/>
        <v>0.8205498231475119</v>
      </c>
      <c r="F222" s="84">
        <f t="shared" ca="1" si="43"/>
        <v>0.34666800056358638</v>
      </c>
      <c r="G222" s="84">
        <f t="shared" ca="1" si="43"/>
        <v>0.15451050304116853</v>
      </c>
      <c r="H222" s="84">
        <f t="shared" ca="1" si="43"/>
        <v>6.622970192572275E-2</v>
      </c>
      <c r="J222" s="85">
        <f t="shared" ca="1" si="31"/>
        <v>268268420.16532612</v>
      </c>
      <c r="K222" s="86">
        <f ca="1">IF(J222&gt;0,MIN(99,$B$12*Q222/(J222*12*(1-Inputs!$H$16))),99)</f>
        <v>1.5726608592670757</v>
      </c>
      <c r="L222" s="84">
        <f t="shared" ca="1" si="32"/>
        <v>1.190726834844865</v>
      </c>
      <c r="M222" s="84">
        <f t="shared" ca="1" si="33"/>
        <v>1.0837190396957124</v>
      </c>
      <c r="N222" s="84">
        <f t="shared" ca="1" si="34"/>
        <v>1.040823172582845</v>
      </c>
      <c r="O222" s="84">
        <f t="shared" ca="1" si="35"/>
        <v>1.0099938964408124</v>
      </c>
      <c r="P222" s="84">
        <f t="shared" ca="1" si="36"/>
        <v>0.98791985392570769</v>
      </c>
      <c r="Q222" s="84">
        <f t="shared" ca="1" si="37"/>
        <v>0.92562392445937469</v>
      </c>
    </row>
    <row r="223" spans="1:17" ht="15" customHeight="1" x14ac:dyDescent="0.2">
      <c r="A223" s="15">
        <v>184</v>
      </c>
      <c r="B223" s="84">
        <f t="shared" ca="1" si="42"/>
        <v>0.94762034352309943</v>
      </c>
      <c r="C223" s="84">
        <f t="shared" ca="1" si="42"/>
        <v>0.70961560680761748</v>
      </c>
      <c r="D223" s="84">
        <f t="shared" ca="1" si="42"/>
        <v>0.48466474283174166</v>
      </c>
      <c r="F223" s="84">
        <f t="shared" ca="1" si="43"/>
        <v>0.18731232582683088</v>
      </c>
      <c r="G223" s="84">
        <f t="shared" ca="1" si="43"/>
        <v>0.97058114158949849</v>
      </c>
      <c r="H223" s="84">
        <f t="shared" ca="1" si="43"/>
        <v>0.23316366318893356</v>
      </c>
      <c r="J223" s="85">
        <f t="shared" ca="1" si="31"/>
        <v>251692486.0894503</v>
      </c>
      <c r="K223" s="86">
        <f ca="1">IF(J223&gt;0,MIN(99,$B$12*Q223/(J223*12*(1-Inputs!$H$16))),99)</f>
        <v>1.809138176792481</v>
      </c>
      <c r="L223" s="84">
        <f t="shared" ca="1" si="32"/>
        <v>1.1901342073296086</v>
      </c>
      <c r="M223" s="84">
        <f t="shared" ca="1" si="33"/>
        <v>1.0834569412735304</v>
      </c>
      <c r="N223" s="84">
        <f t="shared" ca="1" si="34"/>
        <v>1.0063949444375189</v>
      </c>
      <c r="O223" s="84">
        <f t="shared" ca="1" si="35"/>
        <v>0.99818234289642227</v>
      </c>
      <c r="P223" s="84">
        <f t="shared" ca="1" si="36"/>
        <v>1.6996652835885866</v>
      </c>
      <c r="Q223" s="84">
        <f t="shared" ca="1" si="37"/>
        <v>0.99901481854579166</v>
      </c>
    </row>
    <row r="224" spans="1:17" ht="15" customHeight="1" x14ac:dyDescent="0.2">
      <c r="A224" s="15">
        <v>185</v>
      </c>
      <c r="B224" s="84">
        <f t="shared" ca="1" si="42"/>
        <v>0.14228737016648074</v>
      </c>
      <c r="C224" s="84">
        <f t="shared" ca="1" si="42"/>
        <v>0.30188588431640628</v>
      </c>
      <c r="D224" s="84">
        <f t="shared" ca="1" si="42"/>
        <v>3.9633571797636047E-2</v>
      </c>
      <c r="F224" s="84">
        <f t="shared" ca="1" si="43"/>
        <v>0.12809791955249406</v>
      </c>
      <c r="G224" s="84">
        <f t="shared" ca="1" si="43"/>
        <v>0.43697312042241032</v>
      </c>
      <c r="H224" s="84">
        <f t="shared" ca="1" si="43"/>
        <v>0.72572989428576917</v>
      </c>
      <c r="J224" s="85">
        <f t="shared" ca="1" si="31"/>
        <v>70620096.645349309</v>
      </c>
      <c r="K224" s="86">
        <f ca="1">IF(J224&gt;0,MIN(99,$B$12*Q224/(J224*12*(1-Inputs!$H$16))),99)</f>
        <v>7.7776940712408393</v>
      </c>
      <c r="L224" s="84">
        <f t="shared" ca="1" si="32"/>
        <v>0.90152007407415269</v>
      </c>
      <c r="M224" s="84">
        <f t="shared" ca="1" si="33"/>
        <v>0.95530476108481521</v>
      </c>
      <c r="N224" s="84">
        <f t="shared" ca="1" si="34"/>
        <v>0.95807884764533979</v>
      </c>
      <c r="O224" s="84">
        <f t="shared" ca="1" si="35"/>
        <v>0.99328606998522861</v>
      </c>
      <c r="P224" s="84">
        <f t="shared" ca="1" si="36"/>
        <v>1.1492432427474437</v>
      </c>
      <c r="Q224" s="84">
        <f t="shared" ca="1" si="37"/>
        <v>1.2050612057789465</v>
      </c>
    </row>
    <row r="225" spans="1:17" ht="15" customHeight="1" x14ac:dyDescent="0.2">
      <c r="A225" s="15">
        <v>186</v>
      </c>
      <c r="B225" s="84">
        <f t="shared" ca="1" si="42"/>
        <v>0.39136634703394468</v>
      </c>
      <c r="C225" s="84">
        <f t="shared" ca="1" si="42"/>
        <v>3.9654440813338243E-2</v>
      </c>
      <c r="D225" s="84">
        <f t="shared" ca="1" si="42"/>
        <v>0.61180062104438981</v>
      </c>
      <c r="F225" s="84">
        <f t="shared" ca="1" si="43"/>
        <v>0.22274855540206329</v>
      </c>
      <c r="G225" s="84">
        <f t="shared" ca="1" si="43"/>
        <v>0.16523168415351286</v>
      </c>
      <c r="H225" s="84">
        <f t="shared" ca="1" si="43"/>
        <v>0.25641074335864034</v>
      </c>
      <c r="J225" s="85">
        <f t="shared" ca="1" si="31"/>
        <v>120038394.88323362</v>
      </c>
      <c r="K225" s="86">
        <f ca="1">IF(J225&gt;0,MIN(99,$B$12*Q225/(J225*12*(1-Inputs!$H$16))),99)</f>
        <v>3.8230859297899253</v>
      </c>
      <c r="L225" s="84">
        <f t="shared" ca="1" si="32"/>
        <v>0.98483020288156509</v>
      </c>
      <c r="M225" s="84">
        <f t="shared" ca="1" si="33"/>
        <v>0.99257678023031859</v>
      </c>
      <c r="N225" s="84">
        <f t="shared" ca="1" si="34"/>
        <v>1.0174881605567123</v>
      </c>
      <c r="O225" s="84">
        <f t="shared" ca="1" si="35"/>
        <v>1.0007548063621343</v>
      </c>
      <c r="P225" s="84">
        <f t="shared" ca="1" si="36"/>
        <v>0.99382916907677499</v>
      </c>
      <c r="Q225" s="84">
        <f t="shared" ca="1" si="37"/>
        <v>1.0068486231956641</v>
      </c>
    </row>
    <row r="226" spans="1:17" ht="15" customHeight="1" x14ac:dyDescent="0.2">
      <c r="A226" s="15">
        <v>187</v>
      </c>
      <c r="B226" s="84">
        <f t="shared" ca="1" si="42"/>
        <v>0.36421108256643686</v>
      </c>
      <c r="C226" s="84">
        <f t="shared" ca="1" si="42"/>
        <v>0.57147530417967929</v>
      </c>
      <c r="D226" s="84">
        <f t="shared" ca="1" si="42"/>
        <v>0.69426311388381468</v>
      </c>
      <c r="F226" s="84">
        <f t="shared" ca="1" si="43"/>
        <v>0.49505712078407804</v>
      </c>
      <c r="G226" s="84">
        <f t="shared" ca="1" si="43"/>
        <v>0.65392741281161515</v>
      </c>
      <c r="H226" s="84">
        <f t="shared" ca="1" si="43"/>
        <v>0.81974397394057963</v>
      </c>
      <c r="J226" s="85">
        <f t="shared" ca="1" si="31"/>
        <v>97852890.794237092</v>
      </c>
      <c r="K226" s="86">
        <f ca="1">IF(J226&gt;0,MIN(99,$B$12*Q226/(J226*12*(1-Inputs!$H$16))),99)</f>
        <v>5.8834621678529393</v>
      </c>
      <c r="L226" s="84">
        <f t="shared" ca="1" si="32"/>
        <v>0.97741972924772957</v>
      </c>
      <c r="M226" s="84">
        <f t="shared" ca="1" si="33"/>
        <v>0.98926141727131922</v>
      </c>
      <c r="N226" s="84">
        <f t="shared" ca="1" si="34"/>
        <v>1.0256925488230118</v>
      </c>
      <c r="O226" s="84">
        <f t="shared" ca="1" si="35"/>
        <v>1.0223031191026624</v>
      </c>
      <c r="P226" s="84">
        <f t="shared" ca="1" si="36"/>
        <v>1.3033603613272269</v>
      </c>
      <c r="Q226" s="84">
        <f t="shared" ca="1" si="37"/>
        <v>1.2630966020578371</v>
      </c>
    </row>
    <row r="227" spans="1:17" ht="15" customHeight="1" x14ac:dyDescent="0.2">
      <c r="A227" s="15">
        <v>188</v>
      </c>
      <c r="B227" s="84">
        <f t="shared" ca="1" si="42"/>
        <v>0.89524150702196481</v>
      </c>
      <c r="C227" s="84">
        <f t="shared" ca="1" si="42"/>
        <v>0.93622064018339901</v>
      </c>
      <c r="D227" s="84">
        <f t="shared" ca="1" si="42"/>
        <v>0.31060458169025673</v>
      </c>
      <c r="F227" s="84">
        <f t="shared" ca="1" si="43"/>
        <v>0.81634179622842118</v>
      </c>
      <c r="G227" s="84">
        <f t="shared" ca="1" si="43"/>
        <v>0.36703111913523245</v>
      </c>
      <c r="H227" s="84">
        <f t="shared" ca="1" si="43"/>
        <v>0.7227895332536397</v>
      </c>
      <c r="J227" s="85">
        <f t="shared" ca="1" si="31"/>
        <v>239280016.33874917</v>
      </c>
      <c r="K227" s="86">
        <f ca="1">IF(J227&gt;0,MIN(99,$B$12*Q227/(J227*12*(1-Inputs!$H$16))),99)</f>
        <v>2.2923539801735489</v>
      </c>
      <c r="L227" s="84">
        <f t="shared" ca="1" si="32"/>
        <v>1.1549821147308459</v>
      </c>
      <c r="M227" s="84">
        <f t="shared" ca="1" si="33"/>
        <v>1.0679104002011888</v>
      </c>
      <c r="N227" s="84">
        <f t="shared" ca="1" si="34"/>
        <v>0.99253087917917404</v>
      </c>
      <c r="O227" s="84">
        <f t="shared" ca="1" si="35"/>
        <v>1.0578386751472859</v>
      </c>
      <c r="P227" s="84">
        <f t="shared" ca="1" si="36"/>
        <v>1.1062215507134345</v>
      </c>
      <c r="Q227" s="84">
        <f t="shared" ca="1" si="37"/>
        <v>1.2034222929000076</v>
      </c>
    </row>
    <row r="228" spans="1:17" ht="15" customHeight="1" x14ac:dyDescent="0.2">
      <c r="A228" s="15">
        <v>189</v>
      </c>
      <c r="B228" s="84">
        <f t="shared" ca="1" si="42"/>
        <v>9.3301784325760528E-2</v>
      </c>
      <c r="C228" s="84">
        <f t="shared" ca="1" si="42"/>
        <v>0.60478304992561338</v>
      </c>
      <c r="D228" s="84">
        <f t="shared" ca="1" si="42"/>
        <v>0.75186772134928626</v>
      </c>
      <c r="F228" s="84">
        <f t="shared" ca="1" si="43"/>
        <v>0.41605020694431838</v>
      </c>
      <c r="G228" s="84">
        <f t="shared" ca="1" si="43"/>
        <v>0.91040681330856343</v>
      </c>
      <c r="H228" s="84">
        <f t="shared" ca="1" si="43"/>
        <v>0.99337983411424657</v>
      </c>
      <c r="J228" s="85">
        <f t="shared" ca="1" si="31"/>
        <v>20888000.308876589</v>
      </c>
      <c r="K228" s="86">
        <f ca="1">IF(J228&gt;0,MIN(99,$B$12*Q228/(J228*12*(1-Inputs!$H$16))),99)</f>
        <v>31.945790483160433</v>
      </c>
      <c r="L228" s="84">
        <f t="shared" ca="1" si="32"/>
        <v>0.87745218756399523</v>
      </c>
      <c r="M228" s="84">
        <f t="shared" ca="1" si="33"/>
        <v>0.9445370580499044</v>
      </c>
      <c r="N228" s="84">
        <f t="shared" ca="1" si="34"/>
        <v>1.0321049706338632</v>
      </c>
      <c r="O228" s="84">
        <f t="shared" ca="1" si="35"/>
        <v>1.0155532278186592</v>
      </c>
      <c r="P228" s="84">
        <f t="shared" ca="1" si="36"/>
        <v>1.5781360340064883</v>
      </c>
      <c r="Q228" s="84">
        <f t="shared" ca="1" si="37"/>
        <v>1.4639978727227581</v>
      </c>
    </row>
    <row r="229" spans="1:17" ht="15" customHeight="1" x14ac:dyDescent="0.2">
      <c r="A229" s="15">
        <v>190</v>
      </c>
      <c r="B229" s="84">
        <f t="shared" ca="1" si="42"/>
        <v>0.36321147869360049</v>
      </c>
      <c r="C229" s="84">
        <f t="shared" ca="1" si="42"/>
        <v>0.45838516109057303</v>
      </c>
      <c r="D229" s="84">
        <f t="shared" ca="1" si="42"/>
        <v>0.79499316915630924</v>
      </c>
      <c r="F229" s="84">
        <f t="shared" ca="1" si="43"/>
        <v>0.10560700835105941</v>
      </c>
      <c r="G229" s="84">
        <f t="shared" ca="1" si="43"/>
        <v>0.64430923741808221</v>
      </c>
      <c r="H229" s="84">
        <f t="shared" ca="1" si="43"/>
        <v>0.96693979319251222</v>
      </c>
      <c r="J229" s="85">
        <f t="shared" ca="1" si="31"/>
        <v>100690109.46435888</v>
      </c>
      <c r="K229" s="86">
        <f ca="1">IF(J229&gt;0,MIN(99,$B$12*Q229/(J229*12*(1-Inputs!$H$16))),99)</f>
        <v>6.3609005576012159</v>
      </c>
      <c r="L229" s="84">
        <f t="shared" ca="1" si="32"/>
        <v>0.97714176053707968</v>
      </c>
      <c r="M229" s="84">
        <f t="shared" ca="1" si="33"/>
        <v>0.98913705718145373</v>
      </c>
      <c r="N229" s="84">
        <f t="shared" ca="1" si="34"/>
        <v>1.0374112494751464</v>
      </c>
      <c r="O229" s="84">
        <f t="shared" ca="1" si="35"/>
        <v>0.99113272000213859</v>
      </c>
      <c r="P229" s="84">
        <f t="shared" ca="1" si="36"/>
        <v>1.2956400305847677</v>
      </c>
      <c r="Q229" s="84">
        <f t="shared" ca="1" si="37"/>
        <v>1.405191003254141</v>
      </c>
    </row>
    <row r="230" spans="1:17" ht="15" customHeight="1" x14ac:dyDescent="0.2">
      <c r="A230" s="15">
        <v>191</v>
      </c>
      <c r="B230" s="84">
        <f t="shared" ca="1" si="42"/>
        <v>0.54110821760733263</v>
      </c>
      <c r="C230" s="84">
        <f t="shared" ca="1" si="42"/>
        <v>8.9349673989024159E-2</v>
      </c>
      <c r="D230" s="84">
        <f t="shared" ca="1" si="42"/>
        <v>0.90506945649584158</v>
      </c>
      <c r="F230" s="84">
        <f t="shared" ca="1" si="43"/>
        <v>0.10038387172967633</v>
      </c>
      <c r="G230" s="84">
        <f t="shared" ca="1" si="43"/>
        <v>0.12917449705101713</v>
      </c>
      <c r="H230" s="84">
        <f t="shared" ca="1" si="43"/>
        <v>0.23988772433542171</v>
      </c>
      <c r="J230" s="85">
        <f t="shared" ca="1" si="31"/>
        <v>142037597.17280984</v>
      </c>
      <c r="K230" s="86">
        <f ca="1">IF(J230&gt;0,MIN(99,$B$12*Q230/(J230*12*(1-Inputs!$H$16))),99)</f>
        <v>3.2130572554005083</v>
      </c>
      <c r="L230" s="84">
        <f t="shared" ca="1" si="32"/>
        <v>1.0238076034610288</v>
      </c>
      <c r="M230" s="84">
        <f t="shared" ca="1" si="33"/>
        <v>1.0098965018430488</v>
      </c>
      <c r="N230" s="84">
        <f t="shared" ca="1" si="34"/>
        <v>1.0543378095217908</v>
      </c>
      <c r="O230" s="84">
        <f t="shared" ca="1" si="35"/>
        <v>0.99060063713273205</v>
      </c>
      <c r="P230" s="84">
        <f t="shared" ca="1" si="36"/>
        <v>0.97308143231264577</v>
      </c>
      <c r="Q230" s="84">
        <f t="shared" ca="1" si="37"/>
        <v>1.0012711959766354</v>
      </c>
    </row>
    <row r="231" spans="1:17" ht="15" customHeight="1" x14ac:dyDescent="0.2">
      <c r="A231" s="15">
        <v>192</v>
      </c>
      <c r="B231" s="84">
        <f t="shared" ca="1" si="42"/>
        <v>0.21780444837288326</v>
      </c>
      <c r="C231" s="84">
        <f t="shared" ca="1" si="42"/>
        <v>0.11218958125034473</v>
      </c>
      <c r="D231" s="84">
        <f t="shared" ca="1" si="42"/>
        <v>0.16944381936333974</v>
      </c>
      <c r="F231" s="84">
        <f t="shared" ca="1" si="43"/>
        <v>0.8165160001617725</v>
      </c>
      <c r="G231" s="84">
        <f t="shared" ca="1" si="43"/>
        <v>0.46114764371822592</v>
      </c>
      <c r="H231" s="84">
        <f t="shared" ca="1" si="43"/>
        <v>0.8600062508207087</v>
      </c>
      <c r="J231" s="85">
        <f t="shared" ca="1" si="31"/>
        <v>75374097.215127394</v>
      </c>
      <c r="K231" s="86">
        <f ca="1">IF(J231&gt;0,MIN(99,$B$12*Q231/(J231*12*(1-Inputs!$H$16))),99)</f>
        <v>7.8165218066053779</v>
      </c>
      <c r="L231" s="84">
        <f t="shared" ca="1" si="32"/>
        <v>0.93153434269178559</v>
      </c>
      <c r="M231" s="84">
        <f t="shared" ca="1" si="33"/>
        <v>0.96873280891727953</v>
      </c>
      <c r="N231" s="84">
        <f t="shared" ca="1" si="34"/>
        <v>0.97852034792276965</v>
      </c>
      <c r="O231" s="84">
        <f t="shared" ca="1" si="35"/>
        <v>1.0578642892219394</v>
      </c>
      <c r="P231" s="84">
        <f t="shared" ca="1" si="36"/>
        <v>1.164729462261987</v>
      </c>
      <c r="Q231" s="84">
        <f t="shared" ca="1" si="37"/>
        <v>1.2926043368743458</v>
      </c>
    </row>
    <row r="232" spans="1:17" ht="15" customHeight="1" x14ac:dyDescent="0.2">
      <c r="A232" s="15">
        <v>193</v>
      </c>
      <c r="B232" s="84">
        <f t="shared" ca="1" si="42"/>
        <v>0.14671012894742463</v>
      </c>
      <c r="C232" s="84">
        <f t="shared" ca="1" si="42"/>
        <v>0.25341530959729963</v>
      </c>
      <c r="D232" s="84">
        <f t="shared" ca="1" si="42"/>
        <v>0.63423282230002009</v>
      </c>
      <c r="F232" s="84">
        <f t="shared" ca="1" si="43"/>
        <v>0.97832192303770982</v>
      </c>
      <c r="G232" s="84">
        <f t="shared" ca="1" si="43"/>
        <v>0.74054839356298074</v>
      </c>
      <c r="H232" s="84">
        <f t="shared" ca="1" si="43"/>
        <v>0.39765443970058723</v>
      </c>
      <c r="J232" s="85">
        <f t="shared" ref="J232:J295" ca="1" si="44">$B$5*L232*M232-$B$6*L232*N232-$B$7*L232*M232-$B$8*L232*M232-$B$9*O232-$B$10*P232-$B$11</f>
        <v>34606129.531242952</v>
      </c>
      <c r="K232" s="86">
        <f ca="1">IF(J232&gt;0,MIN(99,$B$12*Q232/(J232*12*(1-Inputs!$H$16))),99)</f>
        <v>13.925800964921486</v>
      </c>
      <c r="L232" s="84">
        <f t="shared" ref="L232:L295" ca="1" si="45">IF($D$16=$B$16,$C$16,IF(B232&lt;($C$16-$B$16)/($D$16-$B$16),$B$16+SQRT(B232*($D$16-$B$16)*($C$16-$B$16)),$D$16-SQRT((1-B232)*($D$16-$B$16)*($D$16-$C$16))))</f>
        <v>0.90347135675544676</v>
      </c>
      <c r="M232" s="84">
        <f t="shared" ref="M232:M295" ca="1" si="46">IF($D$17=$B$17,$C$17,IF(IF($B$33=1,B232,C232)&lt;($C$17-$B$17)/($D$17-$B$17),$B$17+SQRT(IF($B$33=1,B232,C232)*($D$17-$B$17)*($C$17-$B$17)),$D$17-SQRT((1-IF($B$33=1,B232,C232))*($D$17-$B$17)*($D$17-$C$17))))</f>
        <v>0.95617774311589099</v>
      </c>
      <c r="N232" s="84">
        <f t="shared" ref="N232:N295" ca="1" si="47">IF($D$18=$B$18,$C$18,IF(D232&lt;($C$18-$B$18)/($D$18-$B$18),$B$18+SQRT(D232*($D$18-$B$18)*($C$18-$B$18)),$D$18-SQRT((1-D232)*($D$18-$B$18)*($D$18-$C$18))))</f>
        <v>1.0196257424848267</v>
      </c>
      <c r="O232" s="84">
        <f t="shared" ref="O232:O295" ca="1" si="48">IF($D$19=$B$19,$C$19,IF(F232&lt;($C$19-$B$19)/($D$19-$B$19),$B$19+SQRT(F232*($D$19-$B$19)*($C$19-$B$19)),$D$19-SQRT((1-F232)*($D$19-$B$19)*($D$19-$C$19))))</f>
        <v>1.093283406462215</v>
      </c>
      <c r="P232" s="84">
        <f t="shared" ref="P232:P295" ca="1" si="49">IF($D$20=$B$20,$C$20,IF(G232&lt;($C$20-$B$20)/($D$20-$B$20),$B$20+SQRT(G232*($D$20-$B$20)*($C$20-$B$20)),$D$20-SQRT((1-G232)*($D$20-$B$20)*($D$20-$C$20))))</f>
        <v>1.3784025052608528</v>
      </c>
      <c r="Q232" s="84">
        <f t="shared" ref="Q232:Q295" ca="1" si="50">IF($D$21=$B$21,$C$21,IF(H232&lt;($C$21-$B$21)/($D$21-$B$21),$B$21+SQRT(H232*($D$21-$B$21)*($C$21-$B$21)),$D$21-SQRT((1-H232)*($D$21-$B$21)*($D$21-$C$21))))</f>
        <v>1.0573119826596153</v>
      </c>
    </row>
    <row r="233" spans="1:17" ht="15" customHeight="1" x14ac:dyDescent="0.2">
      <c r="A233" s="15">
        <v>194</v>
      </c>
      <c r="B233" s="84">
        <f t="shared" ca="1" si="42"/>
        <v>0.8242338878934683</v>
      </c>
      <c r="C233" s="84">
        <f t="shared" ca="1" si="42"/>
        <v>0.77370391219551149</v>
      </c>
      <c r="D233" s="84">
        <f t="shared" ca="1" si="42"/>
        <v>0.64377487375096287</v>
      </c>
      <c r="F233" s="84">
        <f t="shared" ca="1" si="43"/>
        <v>0.57682566209656372</v>
      </c>
      <c r="G233" s="84">
        <f t="shared" ca="1" si="43"/>
        <v>0.99750604748923299</v>
      </c>
      <c r="H233" s="84">
        <f t="shared" ca="1" si="43"/>
        <v>2.2152705758732405E-2</v>
      </c>
      <c r="J233" s="85">
        <f t="shared" ca="1" si="44"/>
        <v>182464323.80817252</v>
      </c>
      <c r="K233" s="86">
        <f ca="1">IF(J233&gt;0,MIN(99,$B$12*Q233/(J233*12*(1-Inputs!$H$16))),99)</f>
        <v>2.2239932871706425</v>
      </c>
      <c r="L233" s="84">
        <f t="shared" ca="1" si="45"/>
        <v>1.1195399073245866</v>
      </c>
      <c r="M233" s="84">
        <f t="shared" ca="1" si="46"/>
        <v>1.052235551496584</v>
      </c>
      <c r="N233" s="84">
        <f t="shared" ca="1" si="47"/>
        <v>1.0205548453513413</v>
      </c>
      <c r="O233" s="84">
        <f t="shared" ca="1" si="48"/>
        <v>1.0298722373907661</v>
      </c>
      <c r="P233" s="84">
        <f t="shared" ca="1" si="49"/>
        <v>1.8152777581538806</v>
      </c>
      <c r="Q233" s="84">
        <f t="shared" ca="1" si="50"/>
        <v>0.89031025433498534</v>
      </c>
    </row>
    <row r="234" spans="1:17" ht="15" customHeight="1" x14ac:dyDescent="0.2">
      <c r="A234" s="15">
        <v>195</v>
      </c>
      <c r="B234" s="84">
        <f t="shared" ca="1" si="42"/>
        <v>0.53624869432924116</v>
      </c>
      <c r="C234" s="84">
        <f t="shared" ca="1" si="42"/>
        <v>0.7905368422588448</v>
      </c>
      <c r="D234" s="84">
        <f t="shared" ca="1" si="42"/>
        <v>0.52760748194708873</v>
      </c>
      <c r="F234" s="84">
        <f t="shared" ca="1" si="43"/>
        <v>0.59012248635545539</v>
      </c>
      <c r="G234" s="84">
        <f t="shared" ca="1" si="43"/>
        <v>0.78992697375946175</v>
      </c>
      <c r="H234" s="84">
        <f t="shared" ca="1" si="43"/>
        <v>0.90072168253976859</v>
      </c>
      <c r="J234" s="85">
        <f t="shared" ca="1" si="44"/>
        <v>126942194.13550039</v>
      </c>
      <c r="K234" s="86">
        <f ca="1">IF(J234&gt;0,MIN(99,$B$12*Q234/(J234*12*(1-Inputs!$H$16))),99)</f>
        <v>4.7653543890691941</v>
      </c>
      <c r="L234" s="84">
        <f t="shared" ca="1" si="45"/>
        <v>1.0224810808479305</v>
      </c>
      <c r="M234" s="84">
        <f t="shared" ca="1" si="46"/>
        <v>1.0093098272879002</v>
      </c>
      <c r="N234" s="84">
        <f t="shared" ca="1" si="47"/>
        <v>1.0099705750079924</v>
      </c>
      <c r="O234" s="84">
        <f t="shared" ca="1" si="48"/>
        <v>1.0311702042416817</v>
      </c>
      <c r="P234" s="84">
        <f t="shared" ca="1" si="49"/>
        <v>1.4269247282693103</v>
      </c>
      <c r="Q234" s="84">
        <f t="shared" ca="1" si="50"/>
        <v>1.3271840256235821</v>
      </c>
    </row>
    <row r="235" spans="1:17" ht="15" customHeight="1" x14ac:dyDescent="0.2">
      <c r="A235" s="15">
        <v>196</v>
      </c>
      <c r="B235" s="84">
        <f t="shared" ca="1" si="42"/>
        <v>0.61027513755679319</v>
      </c>
      <c r="C235" s="84">
        <f t="shared" ca="1" si="42"/>
        <v>0.6629726537190348</v>
      </c>
      <c r="D235" s="84">
        <f t="shared" ca="1" si="42"/>
        <v>0.96439064286721388</v>
      </c>
      <c r="F235" s="84">
        <f t="shared" ca="1" si="43"/>
        <v>0.30020649996519411</v>
      </c>
      <c r="G235" s="84">
        <f t="shared" ca="1" si="43"/>
        <v>0.73569724005532622</v>
      </c>
      <c r="H235" s="84">
        <f t="shared" ca="1" si="43"/>
        <v>0.81577420702717829</v>
      </c>
      <c r="J235" s="85">
        <f t="shared" ca="1" si="44"/>
        <v>135234625.41252261</v>
      </c>
      <c r="K235" s="86">
        <f ca="1">IF(J235&gt;0,MIN(99,$B$12*Q235/(J235*12*(1-Inputs!$H$16))),99)</f>
        <v>4.2479742609453384</v>
      </c>
      <c r="L235" s="84">
        <f t="shared" ca="1" si="45"/>
        <v>1.0435109752365332</v>
      </c>
      <c r="M235" s="84">
        <f t="shared" ca="1" si="46"/>
        <v>1.0186106140317006</v>
      </c>
      <c r="N235" s="84">
        <f t="shared" ca="1" si="47"/>
        <v>1.068308286226757</v>
      </c>
      <c r="O235" s="84">
        <f t="shared" ca="1" si="48"/>
        <v>1.0064349120577076</v>
      </c>
      <c r="P235" s="84">
        <f t="shared" ca="1" si="49"/>
        <v>1.3738952287335424</v>
      </c>
      <c r="Q235" s="84">
        <f t="shared" ca="1" si="50"/>
        <v>1.2603748266359691</v>
      </c>
    </row>
    <row r="236" spans="1:17" ht="15" customHeight="1" x14ac:dyDescent="0.2">
      <c r="A236" s="15">
        <v>197</v>
      </c>
      <c r="B236" s="84">
        <f t="shared" ca="1" si="42"/>
        <v>0.27099935633753813</v>
      </c>
      <c r="C236" s="84">
        <f t="shared" ca="1" si="42"/>
        <v>0.65973619796503258</v>
      </c>
      <c r="D236" s="84">
        <f t="shared" ca="1" si="42"/>
        <v>0.61112322993334833</v>
      </c>
      <c r="F236" s="84">
        <f t="shared" ca="1" si="43"/>
        <v>0.46739778744407556</v>
      </c>
      <c r="G236" s="84">
        <f t="shared" ca="1" si="43"/>
        <v>0.72046369614577521</v>
      </c>
      <c r="H236" s="84">
        <f t="shared" ca="1" si="43"/>
        <v>2.669110884557957E-2</v>
      </c>
      <c r="J236" s="85">
        <f t="shared" ca="1" si="44"/>
        <v>78728766.935773298</v>
      </c>
      <c r="K236" s="86">
        <f ca="1">IF(J236&gt;0,MIN(99,$B$12*Q236/(J236*12*(1-Inputs!$H$16))),99)</f>
        <v>5.1817857178390803</v>
      </c>
      <c r="L236" s="84">
        <f t="shared" ca="1" si="45"/>
        <v>0.94960649354469329</v>
      </c>
      <c r="M236" s="84">
        <f t="shared" ca="1" si="46"/>
        <v>0.97681808692887795</v>
      </c>
      <c r="N236" s="84">
        <f t="shared" ca="1" si="47"/>
        <v>1.0174245855240074</v>
      </c>
      <c r="O236" s="84">
        <f t="shared" ca="1" si="48"/>
        <v>1.0198836801651179</v>
      </c>
      <c r="P236" s="84">
        <f t="shared" ca="1" si="49"/>
        <v>1.360004126326499</v>
      </c>
      <c r="Q236" s="84">
        <f t="shared" ca="1" si="50"/>
        <v>0.89504081588523798</v>
      </c>
    </row>
    <row r="237" spans="1:17" ht="15" customHeight="1" x14ac:dyDescent="0.2">
      <c r="A237" s="15">
        <v>198</v>
      </c>
      <c r="B237" s="84">
        <f t="shared" ca="1" si="42"/>
        <v>7.987383222962019E-2</v>
      </c>
      <c r="C237" s="84">
        <f t="shared" ca="1" si="42"/>
        <v>0.61208422506331917</v>
      </c>
      <c r="D237" s="84">
        <f t="shared" ca="1" si="42"/>
        <v>0.15499299645369091</v>
      </c>
      <c r="F237" s="84">
        <f t="shared" ca="1" si="43"/>
        <v>4.2329383996539849E-2</v>
      </c>
      <c r="G237" s="84">
        <f t="shared" ca="1" si="43"/>
        <v>0.8115728775114176</v>
      </c>
      <c r="H237" s="84">
        <f t="shared" ca="1" si="43"/>
        <v>0.88359806281055231</v>
      </c>
      <c r="J237" s="85">
        <f t="shared" ca="1" si="44"/>
        <v>36610472.000164196</v>
      </c>
      <c r="K237" s="86">
        <f ca="1">IF(J237&gt;0,MIN(99,$B$12*Q237/(J237*12*(1-Inputs!$H$16))),99)</f>
        <v>16.333106309390399</v>
      </c>
      <c r="L237" s="84">
        <f t="shared" ca="1" si="45"/>
        <v>0.86979349200146749</v>
      </c>
      <c r="M237" s="84">
        <f t="shared" ca="1" si="46"/>
        <v>0.94111064337833417</v>
      </c>
      <c r="N237" s="84">
        <f t="shared" ca="1" si="47"/>
        <v>0.97679465167875001</v>
      </c>
      <c r="O237" s="84">
        <f t="shared" ca="1" si="48"/>
        <v>0.98333725361427105</v>
      </c>
      <c r="P237" s="84">
        <f t="shared" ca="1" si="49"/>
        <v>1.4499895544628343</v>
      </c>
      <c r="Q237" s="84">
        <f t="shared" ca="1" si="50"/>
        <v>1.3119100478017665</v>
      </c>
    </row>
    <row r="238" spans="1:17" ht="15" customHeight="1" x14ac:dyDescent="0.2">
      <c r="A238" s="15">
        <v>199</v>
      </c>
      <c r="B238" s="84">
        <f t="shared" ca="1" si="42"/>
        <v>0.48729202372179325</v>
      </c>
      <c r="C238" s="84">
        <f t="shared" ca="1" si="42"/>
        <v>0.5353167078973502</v>
      </c>
      <c r="D238" s="84">
        <f t="shared" ca="1" si="42"/>
        <v>0.64251798765057067</v>
      </c>
      <c r="F238" s="84">
        <f t="shared" ca="1" si="43"/>
        <v>0.25635853912643836</v>
      </c>
      <c r="G238" s="84">
        <f t="shared" ca="1" si="43"/>
        <v>0.58899365062412157</v>
      </c>
      <c r="H238" s="84">
        <f t="shared" ca="1" si="43"/>
        <v>0.51349737278544449</v>
      </c>
      <c r="J238" s="85">
        <f t="shared" ca="1" si="44"/>
        <v>126601436.50941806</v>
      </c>
      <c r="K238" s="86">
        <f ca="1">IF(J238&gt;0,MIN(99,$B$12*Q238/(J238*12*(1-Inputs!$H$16))),99)</f>
        <v>3.9722501967790165</v>
      </c>
      <c r="L238" s="84">
        <f t="shared" ca="1" si="45"/>
        <v>1.0094866354808982</v>
      </c>
      <c r="M238" s="84">
        <f t="shared" ca="1" si="46"/>
        <v>1.0035628385974464</v>
      </c>
      <c r="N238" s="84">
        <f t="shared" ca="1" si="47"/>
        <v>1.0204317575770294</v>
      </c>
      <c r="O238" s="84">
        <f t="shared" ca="1" si="48"/>
        <v>1.0031830002332993</v>
      </c>
      <c r="P238" s="84">
        <f t="shared" ca="1" si="49"/>
        <v>1.2531343376631894</v>
      </c>
      <c r="Q238" s="84">
        <f t="shared" ca="1" si="50"/>
        <v>1.1033293475528168</v>
      </c>
    </row>
    <row r="239" spans="1:17" ht="15" customHeight="1" x14ac:dyDescent="0.2">
      <c r="A239" s="15">
        <v>200</v>
      </c>
      <c r="B239" s="84">
        <f t="shared" ca="1" si="42"/>
        <v>0.79714055598213607</v>
      </c>
      <c r="C239" s="84">
        <f t="shared" ca="1" si="42"/>
        <v>0.82852392763698612</v>
      </c>
      <c r="D239" s="84">
        <f t="shared" ca="1" si="42"/>
        <v>0.44867476253438443</v>
      </c>
      <c r="F239" s="84">
        <f t="shared" ca="1" si="43"/>
        <v>0.92548431742469173</v>
      </c>
      <c r="G239" s="84">
        <f t="shared" ca="1" si="43"/>
        <v>0.83219121511074268</v>
      </c>
      <c r="H239" s="84">
        <f t="shared" ca="1" si="43"/>
        <v>0.71489659799243654</v>
      </c>
      <c r="J239" s="85">
        <f t="shared" ca="1" si="44"/>
        <v>182623038.59006441</v>
      </c>
      <c r="K239" s="86">
        <f ca="1">IF(J239&gt;0,MIN(99,$B$12*Q239/(J239*12*(1-Inputs!$H$16))),99)</f>
        <v>2.9926598628643064</v>
      </c>
      <c r="L239" s="84">
        <f t="shared" ca="1" si="45"/>
        <v>1.1079875048014183</v>
      </c>
      <c r="M239" s="84">
        <f t="shared" ca="1" si="46"/>
        <v>1.0471263279188963</v>
      </c>
      <c r="N239" s="84">
        <f t="shared" ca="1" si="47"/>
        <v>1.0035115159848806</v>
      </c>
      <c r="O239" s="84">
        <f t="shared" ca="1" si="48"/>
        <v>1.0774407059773448</v>
      </c>
      <c r="P239" s="84">
        <f t="shared" ca="1" si="49"/>
        <v>1.4732273668541418</v>
      </c>
      <c r="Q239" s="84">
        <f t="shared" ca="1" si="50"/>
        <v>1.1990653826387039</v>
      </c>
    </row>
    <row r="240" spans="1:17" ht="15" customHeight="1" x14ac:dyDescent="0.2">
      <c r="A240" s="15">
        <v>201</v>
      </c>
      <c r="B240" s="84">
        <f t="shared" ref="B240:D259" ca="1" si="51">RAND()</f>
        <v>0.29199612376739459</v>
      </c>
      <c r="C240" s="84">
        <f t="shared" ca="1" si="51"/>
        <v>0.53185494545784395</v>
      </c>
      <c r="D240" s="84">
        <f t="shared" ca="1" si="51"/>
        <v>0.18704154774580051</v>
      </c>
      <c r="F240" s="84">
        <f t="shared" ref="F240:H259" ca="1" si="52">RAND()</f>
        <v>0.82984011426073789</v>
      </c>
      <c r="G240" s="84">
        <f t="shared" ca="1" si="52"/>
        <v>0.79989920800110581</v>
      </c>
      <c r="H240" s="84">
        <f t="shared" ca="1" si="52"/>
        <v>0.58002999970389246</v>
      </c>
      <c r="J240" s="85">
        <f t="shared" ca="1" si="44"/>
        <v>81250533.240287527</v>
      </c>
      <c r="K240" s="86">
        <f ca="1">IF(J240&gt;0,MIN(99,$B$12*Q240/(J240*12*(1-Inputs!$H$16))),99)</f>
        <v>6.3517792197063905</v>
      </c>
      <c r="L240" s="84">
        <f t="shared" ca="1" si="45"/>
        <v>0.95624448660257744</v>
      </c>
      <c r="M240" s="84">
        <f t="shared" ca="1" si="46"/>
        <v>0.97978785072450369</v>
      </c>
      <c r="N240" s="84">
        <f t="shared" ca="1" si="47"/>
        <v>0.98052526874141865</v>
      </c>
      <c r="O240" s="84">
        <f t="shared" ca="1" si="48"/>
        <v>1.0598607934127686</v>
      </c>
      <c r="P240" s="84">
        <f t="shared" ca="1" si="49"/>
        <v>1.4373952652626067</v>
      </c>
      <c r="Q240" s="84">
        <f t="shared" ca="1" si="50"/>
        <v>1.1322740536018463</v>
      </c>
    </row>
    <row r="241" spans="1:17" ht="15" customHeight="1" x14ac:dyDescent="0.2">
      <c r="A241" s="15">
        <v>202</v>
      </c>
      <c r="B241" s="84">
        <f t="shared" ca="1" si="51"/>
        <v>2.3835199074636493E-2</v>
      </c>
      <c r="C241" s="84">
        <f t="shared" ca="1" si="51"/>
        <v>0.10867110245910305</v>
      </c>
      <c r="D241" s="84">
        <f t="shared" ca="1" si="51"/>
        <v>0.1221475792950879</v>
      </c>
      <c r="F241" s="84">
        <f t="shared" ca="1" si="52"/>
        <v>0.78268250083362378</v>
      </c>
      <c r="G241" s="84">
        <f t="shared" ca="1" si="52"/>
        <v>0.15431545689195159</v>
      </c>
      <c r="H241" s="84">
        <f t="shared" ca="1" si="52"/>
        <v>0.63725498104393585</v>
      </c>
      <c r="J241" s="85">
        <f t="shared" ca="1" si="44"/>
        <v>16069831.823983029</v>
      </c>
      <c r="K241" s="86">
        <f ca="1">IF(J241&gt;0,MIN(99,$B$12*Q241/(J241*12*(1-Inputs!$H$16))),99)</f>
        <v>32.875066586957864</v>
      </c>
      <c r="L241" s="84">
        <f t="shared" ca="1" si="45"/>
        <v>0.82678281467723247</v>
      </c>
      <c r="M241" s="84">
        <f t="shared" ca="1" si="46"/>
        <v>0.92186814775819392</v>
      </c>
      <c r="N241" s="84">
        <f t="shared" ca="1" si="47"/>
        <v>0.97254434430713876</v>
      </c>
      <c r="O241" s="84">
        <f t="shared" ca="1" si="48"/>
        <v>1.0530987946084502</v>
      </c>
      <c r="P241" s="84">
        <f t="shared" ca="1" si="49"/>
        <v>0.98781047996697624</v>
      </c>
      <c r="Q241" s="84">
        <f t="shared" ca="1" si="50"/>
        <v>1.1590653271306848</v>
      </c>
    </row>
    <row r="242" spans="1:17" ht="15" customHeight="1" x14ac:dyDescent="0.2">
      <c r="A242" s="15">
        <v>203</v>
      </c>
      <c r="B242" s="84">
        <f t="shared" ca="1" si="51"/>
        <v>0.16300923389017696</v>
      </c>
      <c r="C242" s="84">
        <f t="shared" ca="1" si="51"/>
        <v>0.44749699904122953</v>
      </c>
      <c r="D242" s="84">
        <f t="shared" ca="1" si="51"/>
        <v>0.83986515140533902</v>
      </c>
      <c r="F242" s="84">
        <f t="shared" ca="1" si="52"/>
        <v>5.623120489230915E-2</v>
      </c>
      <c r="G242" s="84">
        <f t="shared" ca="1" si="52"/>
        <v>0.90360124172631751</v>
      </c>
      <c r="H242" s="84">
        <f t="shared" ca="1" si="52"/>
        <v>0.6356005396630181</v>
      </c>
      <c r="J242" s="85">
        <f t="shared" ca="1" si="44"/>
        <v>45329896.167224064</v>
      </c>
      <c r="K242" s="86">
        <f ca="1">IF(J242&gt;0,MIN(99,$B$12*Q242/(J242*12*(1-Inputs!$H$16))),99)</f>
        <v>11.64641427726689</v>
      </c>
      <c r="L242" s="84">
        <f t="shared" ca="1" si="45"/>
        <v>0.91041986121926466</v>
      </c>
      <c r="M242" s="84">
        <f t="shared" ca="1" si="46"/>
        <v>0.95928642623900484</v>
      </c>
      <c r="N242" s="84">
        <f t="shared" ca="1" si="47"/>
        <v>1.0435665307982487</v>
      </c>
      <c r="O242" s="84">
        <f t="shared" ca="1" si="48"/>
        <v>0.98538957412988326</v>
      </c>
      <c r="P242" s="84">
        <f t="shared" ca="1" si="49"/>
        <v>1.5675235117236823</v>
      </c>
      <c r="Q242" s="84">
        <f t="shared" ca="1" si="50"/>
        <v>1.1582622447741604</v>
      </c>
    </row>
    <row r="243" spans="1:17" ht="15" customHeight="1" x14ac:dyDescent="0.2">
      <c r="A243" s="15">
        <v>204</v>
      </c>
      <c r="B243" s="84">
        <f t="shared" ca="1" si="51"/>
        <v>0.75633373316541452</v>
      </c>
      <c r="C243" s="84">
        <f t="shared" ca="1" si="51"/>
        <v>0.78771618853186298</v>
      </c>
      <c r="D243" s="84">
        <f t="shared" ca="1" si="51"/>
        <v>0.18450026688575227</v>
      </c>
      <c r="F243" s="84">
        <f t="shared" ca="1" si="52"/>
        <v>0.19643982403868754</v>
      </c>
      <c r="G243" s="84">
        <f t="shared" ca="1" si="52"/>
        <v>0.65158236961078986</v>
      </c>
      <c r="H243" s="84">
        <f t="shared" ca="1" si="52"/>
        <v>0.38102284651368024</v>
      </c>
      <c r="J243" s="85">
        <f t="shared" ca="1" si="44"/>
        <v>195431408.33746207</v>
      </c>
      <c r="K243" s="86">
        <f ca="1">IF(J243&gt;0,MIN(99,$B$12*Q243/(J243*12*(1-Inputs!$H$16))),99)</f>
        <v>2.4513906705025366</v>
      </c>
      <c r="L243" s="84">
        <f t="shared" ca="1" si="45"/>
        <v>1.0919587158869466</v>
      </c>
      <c r="M243" s="84">
        <f t="shared" ca="1" si="46"/>
        <v>1.0400373552069988</v>
      </c>
      <c r="N243" s="84">
        <f t="shared" ca="1" si="47"/>
        <v>0.98024175088583898</v>
      </c>
      <c r="O243" s="84">
        <f t="shared" ca="1" si="48"/>
        <v>0.99886357332721165</v>
      </c>
      <c r="P243" s="84">
        <f t="shared" ca="1" si="49"/>
        <v>1.3014682496881531</v>
      </c>
      <c r="Q243" s="84">
        <f t="shared" ca="1" si="50"/>
        <v>1.0510825645752901</v>
      </c>
    </row>
    <row r="244" spans="1:17" ht="15" customHeight="1" x14ac:dyDescent="0.2">
      <c r="A244" s="15">
        <v>205</v>
      </c>
      <c r="B244" s="84">
        <f t="shared" ca="1" si="51"/>
        <v>0.58170242302480302</v>
      </c>
      <c r="C244" s="84">
        <f t="shared" ca="1" si="51"/>
        <v>0.18629763285960643</v>
      </c>
      <c r="D244" s="84">
        <f t="shared" ca="1" si="51"/>
        <v>0.47695020338125338</v>
      </c>
      <c r="F244" s="84">
        <f t="shared" ca="1" si="52"/>
        <v>0.57809404094104699</v>
      </c>
      <c r="G244" s="84">
        <f t="shared" ca="1" si="52"/>
        <v>0.43218612957317692</v>
      </c>
      <c r="H244" s="84">
        <f t="shared" ca="1" si="52"/>
        <v>0.6599233501713363</v>
      </c>
      <c r="J244" s="85">
        <f t="shared" ca="1" si="44"/>
        <v>147859655.67604148</v>
      </c>
      <c r="K244" s="86">
        <f ca="1">IF(J244&gt;0,MIN(99,$B$12*Q244/(J244*12*(1-Inputs!$H$16))),99)</f>
        <v>3.6074669531710524</v>
      </c>
      <c r="L244" s="84">
        <f t="shared" ca="1" si="45"/>
        <v>1.0351752372374996</v>
      </c>
      <c r="M244" s="84">
        <f t="shared" ca="1" si="46"/>
        <v>1.0149240086665674</v>
      </c>
      <c r="N244" s="84">
        <f t="shared" ca="1" si="47"/>
        <v>1.0057686008524749</v>
      </c>
      <c r="O244" s="84">
        <f t="shared" ca="1" si="48"/>
        <v>1.0299951617579033</v>
      </c>
      <c r="P244" s="84">
        <f t="shared" ca="1" si="49"/>
        <v>1.14621639063867</v>
      </c>
      <c r="Q244" s="84">
        <f t="shared" ca="1" si="50"/>
        <v>1.1702590093962768</v>
      </c>
    </row>
    <row r="245" spans="1:17" ht="15" customHeight="1" x14ac:dyDescent="0.2">
      <c r="A245" s="15">
        <v>206</v>
      </c>
      <c r="B245" s="84">
        <f t="shared" ca="1" si="51"/>
        <v>0.48102888912483388</v>
      </c>
      <c r="C245" s="84">
        <f t="shared" ca="1" si="51"/>
        <v>0.97487818396581871</v>
      </c>
      <c r="D245" s="84">
        <f t="shared" ca="1" si="51"/>
        <v>0.26875555757965586</v>
      </c>
      <c r="F245" s="84">
        <f t="shared" ca="1" si="52"/>
        <v>0.61981361550094261</v>
      </c>
      <c r="G245" s="84">
        <f t="shared" ca="1" si="52"/>
        <v>0.57373015232053004</v>
      </c>
      <c r="H245" s="84">
        <f t="shared" ca="1" si="52"/>
        <v>0.97317985380888039</v>
      </c>
      <c r="J245" s="85">
        <f t="shared" ca="1" si="44"/>
        <v>127572440.62459259</v>
      </c>
      <c r="K245" s="86">
        <f ca="1">IF(J245&gt;0,MIN(99,$B$12*Q245/(J245*12*(1-Inputs!$H$16))),99)</f>
        <v>5.0582816581329251</v>
      </c>
      <c r="L245" s="84">
        <f t="shared" ca="1" si="45"/>
        <v>1.007869829960494</v>
      </c>
      <c r="M245" s="84">
        <f t="shared" ca="1" si="46"/>
        <v>1.0028477820653687</v>
      </c>
      <c r="N245" s="84">
        <f t="shared" ca="1" si="47"/>
        <v>0.98878956747541691</v>
      </c>
      <c r="O245" s="84">
        <f t="shared" ca="1" si="48"/>
        <v>1.0341467336159429</v>
      </c>
      <c r="P245" s="84">
        <f t="shared" ca="1" si="49"/>
        <v>1.241917611676266</v>
      </c>
      <c r="Q245" s="84">
        <f t="shared" ca="1" si="50"/>
        <v>1.4157605739842045</v>
      </c>
    </row>
    <row r="246" spans="1:17" ht="15" customHeight="1" x14ac:dyDescent="0.2">
      <c r="A246" s="15">
        <v>207</v>
      </c>
      <c r="B246" s="84">
        <f t="shared" ca="1" si="51"/>
        <v>4.5550904940581116E-2</v>
      </c>
      <c r="C246" s="84">
        <f t="shared" ca="1" si="51"/>
        <v>0.33086266187708913</v>
      </c>
      <c r="D246" s="84">
        <f t="shared" ca="1" si="51"/>
        <v>0.27068954124674516</v>
      </c>
      <c r="F246" s="84">
        <f t="shared" ca="1" si="52"/>
        <v>0.68914286238008127</v>
      </c>
      <c r="G246" s="84">
        <f t="shared" ca="1" si="52"/>
        <v>0.13118691335786403</v>
      </c>
      <c r="H246" s="84">
        <f t="shared" ca="1" si="52"/>
        <v>0.24449859330914347</v>
      </c>
      <c r="J246" s="85">
        <f t="shared" ca="1" si="44"/>
        <v>27877943.139242575</v>
      </c>
      <c r="K246" s="86">
        <f ca="1">IF(J246&gt;0,MIN(99,$B$12*Q246/(J246*12*(1-Inputs!$H$16))),99)</f>
        <v>16.395812873559269</v>
      </c>
      <c r="L246" s="84">
        <f t="shared" ca="1" si="45"/>
        <v>0.84658545107642602</v>
      </c>
      <c r="M246" s="84">
        <f t="shared" ca="1" si="46"/>
        <v>0.93072762563402833</v>
      </c>
      <c r="N246" s="84">
        <f t="shared" ca="1" si="47"/>
        <v>0.98896863174396821</v>
      </c>
      <c r="O246" s="84">
        <f t="shared" ca="1" si="48"/>
        <v>1.041586342781845</v>
      </c>
      <c r="P246" s="84">
        <f t="shared" ca="1" si="49"/>
        <v>0.97431047280826344</v>
      </c>
      <c r="Q246" s="84">
        <f t="shared" ca="1" si="50"/>
        <v>1.0028214676085605</v>
      </c>
    </row>
    <row r="247" spans="1:17" ht="15" customHeight="1" x14ac:dyDescent="0.2">
      <c r="A247" s="15">
        <v>208</v>
      </c>
      <c r="B247" s="84">
        <f t="shared" ca="1" si="51"/>
        <v>3.2027737160235659E-2</v>
      </c>
      <c r="C247" s="84">
        <f t="shared" ca="1" si="51"/>
        <v>0.81809826040096922</v>
      </c>
      <c r="D247" s="84">
        <f t="shared" ca="1" si="51"/>
        <v>0.92926338858251367</v>
      </c>
      <c r="F247" s="84">
        <f t="shared" ca="1" si="52"/>
        <v>3.2053763162145255E-2</v>
      </c>
      <c r="G247" s="84">
        <f t="shared" ca="1" si="52"/>
        <v>7.8481209620531844E-2</v>
      </c>
      <c r="H247" s="84">
        <f t="shared" ca="1" si="52"/>
        <v>0.72035374318930623</v>
      </c>
      <c r="J247" s="85">
        <f t="shared" ca="1" si="44"/>
        <v>19418721.520003468</v>
      </c>
      <c r="K247" s="86">
        <f ca="1">IF(J247&gt;0,MIN(99,$B$12*Q247/(J247*12*(1-Inputs!$H$16))),99)</f>
        <v>28.214971377227346</v>
      </c>
      <c r="L247" s="84">
        <f t="shared" ca="1" si="45"/>
        <v>0.83502599795527366</v>
      </c>
      <c r="M247" s="84">
        <f t="shared" ca="1" si="46"/>
        <v>0.92555605569156529</v>
      </c>
      <c r="N247" s="84">
        <f t="shared" ca="1" si="47"/>
        <v>1.0592688012156792</v>
      </c>
      <c r="O247" s="84">
        <f t="shared" ca="1" si="48"/>
        <v>0.98159122534947807</v>
      </c>
      <c r="P247" s="84">
        <f t="shared" ca="1" si="49"/>
        <v>0.93814954976868814</v>
      </c>
      <c r="Q247" s="84">
        <f t="shared" ca="1" si="50"/>
        <v>1.2020711915293099</v>
      </c>
    </row>
    <row r="248" spans="1:17" ht="15" customHeight="1" x14ac:dyDescent="0.2">
      <c r="A248" s="15">
        <v>209</v>
      </c>
      <c r="B248" s="84">
        <f t="shared" ca="1" si="51"/>
        <v>0.85302904487310804</v>
      </c>
      <c r="C248" s="84">
        <f t="shared" ca="1" si="51"/>
        <v>0.39978642877397852</v>
      </c>
      <c r="D248" s="84">
        <f t="shared" ca="1" si="51"/>
        <v>0.94545657607617517</v>
      </c>
      <c r="F248" s="84">
        <f t="shared" ca="1" si="52"/>
        <v>8.4626728260506212E-2</v>
      </c>
      <c r="G248" s="84">
        <f t="shared" ca="1" si="52"/>
        <v>0.76107492004214183</v>
      </c>
      <c r="H248" s="84">
        <f t="shared" ca="1" si="52"/>
        <v>0.8037357551176062</v>
      </c>
      <c r="J248" s="85">
        <f t="shared" ca="1" si="44"/>
        <v>205030416.35429597</v>
      </c>
      <c r="K248" s="86">
        <f ca="1">IF(J248&gt;0,MIN(99,$B$12*Q248/(J248*12*(1-Inputs!$H$16))),99)</f>
        <v>2.7839318811560796</v>
      </c>
      <c r="L248" s="84">
        <f t="shared" ca="1" si="45"/>
        <v>1.1328433739499011</v>
      </c>
      <c r="M248" s="84">
        <f t="shared" ca="1" si="46"/>
        <v>1.0581192094812089</v>
      </c>
      <c r="N248" s="84">
        <f t="shared" ca="1" si="47"/>
        <v>1.0630618023156018</v>
      </c>
      <c r="O248" s="84">
        <f t="shared" ca="1" si="48"/>
        <v>0.98890547587752187</v>
      </c>
      <c r="P248" s="84">
        <f t="shared" ca="1" si="49"/>
        <v>1.3979574732618398</v>
      </c>
      <c r="Q248" s="84">
        <f t="shared" ca="1" si="50"/>
        <v>1.2522955563714173</v>
      </c>
    </row>
    <row r="249" spans="1:17" ht="15" customHeight="1" x14ac:dyDescent="0.2">
      <c r="A249" s="15">
        <v>210</v>
      </c>
      <c r="B249" s="84">
        <f t="shared" ca="1" si="51"/>
        <v>0.82389970218522124</v>
      </c>
      <c r="C249" s="84">
        <f t="shared" ca="1" si="51"/>
        <v>0.22556495783164054</v>
      </c>
      <c r="D249" s="84">
        <f t="shared" ca="1" si="51"/>
        <v>0.75934717054753087</v>
      </c>
      <c r="F249" s="84">
        <f t="shared" ca="1" si="52"/>
        <v>0.91102937577884413</v>
      </c>
      <c r="G249" s="84">
        <f t="shared" ca="1" si="52"/>
        <v>0.10298118454460325</v>
      </c>
      <c r="H249" s="84">
        <f t="shared" ca="1" si="52"/>
        <v>0.86768460615087672</v>
      </c>
      <c r="J249" s="85">
        <f t="shared" ca="1" si="44"/>
        <v>204401636.72030151</v>
      </c>
      <c r="K249" s="86">
        <f ca="1">IF(J249&gt;0,MIN(99,$B$12*Q249/(J249*12*(1-Inputs!$H$16))),99)</f>
        <v>2.8959630723072229</v>
      </c>
      <c r="L249" s="84">
        <f t="shared" ca="1" si="45"/>
        <v>1.1193921886615839</v>
      </c>
      <c r="M249" s="84">
        <f t="shared" ca="1" si="46"/>
        <v>1.0521702206985648</v>
      </c>
      <c r="N249" s="84">
        <f t="shared" ca="1" si="47"/>
        <v>1.032990090714702</v>
      </c>
      <c r="O249" s="84">
        <f t="shared" ca="1" si="48"/>
        <v>1.0742525530363454</v>
      </c>
      <c r="P249" s="84">
        <f t="shared" ca="1" si="49"/>
        <v>0.95611351343873252</v>
      </c>
      <c r="Q249" s="84">
        <f t="shared" ca="1" si="50"/>
        <v>1.2986954833716293</v>
      </c>
    </row>
    <row r="250" spans="1:17" ht="15" customHeight="1" x14ac:dyDescent="0.2">
      <c r="A250" s="15">
        <v>211</v>
      </c>
      <c r="B250" s="84">
        <f t="shared" ca="1" si="51"/>
        <v>0.46603300916810353</v>
      </c>
      <c r="C250" s="84">
        <f t="shared" ca="1" si="51"/>
        <v>7.3724084301521664E-2</v>
      </c>
      <c r="D250" s="84">
        <f t="shared" ca="1" si="51"/>
        <v>0.35179834357521567</v>
      </c>
      <c r="F250" s="84">
        <f t="shared" ca="1" si="52"/>
        <v>0.67776624664357676</v>
      </c>
      <c r="G250" s="84">
        <f t="shared" ca="1" si="52"/>
        <v>0.37133410792787758</v>
      </c>
      <c r="H250" s="84">
        <f t="shared" ca="1" si="52"/>
        <v>0.40453668781850871</v>
      </c>
      <c r="J250" s="85">
        <f t="shared" ca="1" si="44"/>
        <v>127280061.6755196</v>
      </c>
      <c r="K250" s="86">
        <f ca="1">IF(J250&gt;0,MIN(99,$B$12*Q250/(J250*12*(1-Inputs!$H$16))),99)</f>
        <v>3.7956020359373386</v>
      </c>
      <c r="L250" s="84">
        <f t="shared" ca="1" si="45"/>
        <v>1.0040378970420665</v>
      </c>
      <c r="M250" s="84">
        <f t="shared" ca="1" si="46"/>
        <v>1.0011530521617245</v>
      </c>
      <c r="N250" s="84">
        <f t="shared" ca="1" si="47"/>
        <v>0.99597445497112236</v>
      </c>
      <c r="O250" s="84">
        <f t="shared" ca="1" si="48"/>
        <v>1.0403124424626344</v>
      </c>
      <c r="P250" s="84">
        <f t="shared" ca="1" si="49"/>
        <v>1.1087974707549966</v>
      </c>
      <c r="Q250" s="84">
        <f t="shared" ca="1" si="50"/>
        <v>1.0599148805424687</v>
      </c>
    </row>
    <row r="251" spans="1:17" ht="15" customHeight="1" x14ac:dyDescent="0.2">
      <c r="A251" s="15">
        <v>212</v>
      </c>
      <c r="B251" s="84">
        <f t="shared" ca="1" si="51"/>
        <v>0.93324278051029019</v>
      </c>
      <c r="C251" s="84">
        <f t="shared" ca="1" si="51"/>
        <v>0.62129505606923507</v>
      </c>
      <c r="D251" s="84">
        <f t="shared" ca="1" si="51"/>
        <v>0.29168837649298385</v>
      </c>
      <c r="F251" s="84">
        <f t="shared" ca="1" si="52"/>
        <v>0.73083015779583105</v>
      </c>
      <c r="G251" s="84">
        <f t="shared" ca="1" si="52"/>
        <v>0.44528617356249645</v>
      </c>
      <c r="H251" s="84">
        <f t="shared" ca="1" si="52"/>
        <v>0.15406463066454523</v>
      </c>
      <c r="J251" s="85">
        <f t="shared" ca="1" si="44"/>
        <v>259274516.47775465</v>
      </c>
      <c r="K251" s="86">
        <f ca="1">IF(J251&gt;0,MIN(99,$B$12*Q251/(J251*12*(1-Inputs!$H$16))),99)</f>
        <v>1.7045386866875176</v>
      </c>
      <c r="L251" s="84">
        <f t="shared" ca="1" si="45"/>
        <v>1.1791922879939454</v>
      </c>
      <c r="M251" s="84">
        <f t="shared" ca="1" si="46"/>
        <v>1.078617713057338</v>
      </c>
      <c r="N251" s="84">
        <f t="shared" ca="1" si="47"/>
        <v>0.99087315317188218</v>
      </c>
      <c r="O251" s="84">
        <f t="shared" ca="1" si="48"/>
        <v>1.046466102547946</v>
      </c>
      <c r="P251" s="84">
        <f t="shared" ca="1" si="49"/>
        <v>1.1545303897153274</v>
      </c>
      <c r="Q251" s="84">
        <f t="shared" ca="1" si="50"/>
        <v>0.96960899772772169</v>
      </c>
    </row>
    <row r="252" spans="1:17" ht="15" customHeight="1" x14ac:dyDescent="0.2">
      <c r="A252" s="15">
        <v>213</v>
      </c>
      <c r="B252" s="84">
        <f t="shared" ca="1" si="51"/>
        <v>6.0594064967173455E-2</v>
      </c>
      <c r="C252" s="84">
        <f t="shared" ca="1" si="51"/>
        <v>0.31005889167998257</v>
      </c>
      <c r="D252" s="84">
        <f t="shared" ca="1" si="51"/>
        <v>0.67830091588900177</v>
      </c>
      <c r="F252" s="84">
        <f t="shared" ca="1" si="52"/>
        <v>9.782307188111472E-2</v>
      </c>
      <c r="G252" s="84">
        <f t="shared" ca="1" si="52"/>
        <v>0.57153321755514241</v>
      </c>
      <c r="H252" s="84">
        <f t="shared" ca="1" si="52"/>
        <v>4.0318706034749185E-2</v>
      </c>
      <c r="J252" s="85">
        <f t="shared" ca="1" si="44"/>
        <v>26830007.628600761</v>
      </c>
      <c r="K252" s="86">
        <f ca="1">IF(J252&gt;0,MIN(99,$B$12*Q252/(J252*12*(1-Inputs!$H$16))),99)</f>
        <v>15.412081617583748</v>
      </c>
      <c r="L252" s="84">
        <f t="shared" ca="1" si="45"/>
        <v>0.85756411029501267</v>
      </c>
      <c r="M252" s="84">
        <f t="shared" ca="1" si="46"/>
        <v>0.93563935488525851</v>
      </c>
      <c r="N252" s="84">
        <f t="shared" ca="1" si="47"/>
        <v>1.0240252172352802</v>
      </c>
      <c r="O252" s="84">
        <f t="shared" ca="1" si="48"/>
        <v>0.99033471025060893</v>
      </c>
      <c r="P252" s="84">
        <f t="shared" ca="1" si="49"/>
        <v>1.2403197848116134</v>
      </c>
      <c r="Q252" s="84">
        <f t="shared" ca="1" si="50"/>
        <v>0.90721879253576221</v>
      </c>
    </row>
    <row r="253" spans="1:17" ht="15" customHeight="1" x14ac:dyDescent="0.2">
      <c r="A253" s="15">
        <v>214</v>
      </c>
      <c r="B253" s="84">
        <f t="shared" ca="1" si="51"/>
        <v>0.31672076051283304</v>
      </c>
      <c r="C253" s="84">
        <f t="shared" ca="1" si="51"/>
        <v>0.23275909344830936</v>
      </c>
      <c r="D253" s="84">
        <f t="shared" ca="1" si="51"/>
        <v>0.55121959495046158</v>
      </c>
      <c r="F253" s="84">
        <f t="shared" ca="1" si="52"/>
        <v>0.84245296031189432</v>
      </c>
      <c r="G253" s="84">
        <f t="shared" ca="1" si="52"/>
        <v>0.3160746276600197</v>
      </c>
      <c r="H253" s="84">
        <f t="shared" ca="1" si="52"/>
        <v>0.72556172036621991</v>
      </c>
      <c r="J253" s="85">
        <f t="shared" ca="1" si="44"/>
        <v>93246186.153723434</v>
      </c>
      <c r="K253" s="86">
        <f ca="1">IF(J253&gt;0,MIN(99,$B$12*Q253/(J253*12*(1-Inputs!$H$16))),99)</f>
        <v>5.8899853905204935</v>
      </c>
      <c r="L253" s="84">
        <f t="shared" ca="1" si="45"/>
        <v>0.96376198122952017</v>
      </c>
      <c r="M253" s="84">
        <f t="shared" ca="1" si="46"/>
        <v>0.98315109367794273</v>
      </c>
      <c r="N253" s="84">
        <f t="shared" ca="1" si="47"/>
        <v>1.012006111044365</v>
      </c>
      <c r="O253" s="84">
        <f t="shared" ca="1" si="48"/>
        <v>1.0618241021725128</v>
      </c>
      <c r="P253" s="84">
        <f t="shared" ca="1" si="49"/>
        <v>1.0763585289680986</v>
      </c>
      <c r="Q253" s="84">
        <f t="shared" ca="1" si="50"/>
        <v>1.2049672320137506</v>
      </c>
    </row>
    <row r="254" spans="1:17" ht="15" customHeight="1" x14ac:dyDescent="0.2">
      <c r="A254" s="15">
        <v>215</v>
      </c>
      <c r="B254" s="84">
        <f t="shared" ca="1" si="51"/>
        <v>0.90566783350895075</v>
      </c>
      <c r="C254" s="84">
        <f t="shared" ca="1" si="51"/>
        <v>7.6592325984410237E-2</v>
      </c>
      <c r="D254" s="84">
        <f t="shared" ca="1" si="51"/>
        <v>0.96760106725571704</v>
      </c>
      <c r="F254" s="84">
        <f t="shared" ca="1" si="52"/>
        <v>0.95119363498124299</v>
      </c>
      <c r="G254" s="84">
        <f t="shared" ca="1" si="52"/>
        <v>0.41011498698935089</v>
      </c>
      <c r="H254" s="84">
        <f t="shared" ca="1" si="52"/>
        <v>0.3712496992076556</v>
      </c>
      <c r="J254" s="85">
        <f t="shared" ca="1" si="44"/>
        <v>219640838.22710806</v>
      </c>
      <c r="K254" s="86">
        <f ca="1">IF(J254&gt;0,MIN(99,$B$12*Q254/(J254*12*(1-Inputs!$H$16))),99)</f>
        <v>2.1736760810329971</v>
      </c>
      <c r="L254" s="84">
        <f t="shared" ca="1" si="45"/>
        <v>1.1611111379786447</v>
      </c>
      <c r="M254" s="84">
        <f t="shared" ca="1" si="46"/>
        <v>1.0706210528141884</v>
      </c>
      <c r="N254" s="84">
        <f t="shared" ca="1" si="47"/>
        <v>1.0693270686467562</v>
      </c>
      <c r="O254" s="84">
        <f t="shared" ca="1" si="48"/>
        <v>1.0839992405050467</v>
      </c>
      <c r="P254" s="84">
        <f t="shared" ca="1" si="49"/>
        <v>1.132422870925454</v>
      </c>
      <c r="Q254" s="84">
        <f t="shared" ca="1" si="50"/>
        <v>1.047460996234572</v>
      </c>
    </row>
    <row r="255" spans="1:17" ht="15" customHeight="1" x14ac:dyDescent="0.2">
      <c r="A255" s="15">
        <v>216</v>
      </c>
      <c r="B255" s="84">
        <f t="shared" ca="1" si="51"/>
        <v>0.25957319810491697</v>
      </c>
      <c r="C255" s="84">
        <f t="shared" ca="1" si="51"/>
        <v>0.17165451269602938</v>
      </c>
      <c r="D255" s="84">
        <f t="shared" ca="1" si="51"/>
        <v>0.91065484077937042</v>
      </c>
      <c r="F255" s="84">
        <f t="shared" ca="1" si="52"/>
        <v>0.7333555941174501</v>
      </c>
      <c r="G255" s="84">
        <f t="shared" ca="1" si="52"/>
        <v>0.19055033370596342</v>
      </c>
      <c r="H255" s="84">
        <f t="shared" ca="1" si="52"/>
        <v>0.51815928161093328</v>
      </c>
      <c r="J255" s="85">
        <f t="shared" ca="1" si="44"/>
        <v>77308712.079234734</v>
      </c>
      <c r="K255" s="86">
        <f ca="1">IF(J255&gt;0,MIN(99,$B$12*Q255/(J255*12*(1-Inputs!$H$16))),99)</f>
        <v>6.5165537638873019</v>
      </c>
      <c r="L255" s="84">
        <f t="shared" ca="1" si="45"/>
        <v>0.94588588235077575</v>
      </c>
      <c r="M255" s="84">
        <f t="shared" ca="1" si="46"/>
        <v>0.97515352712519254</v>
      </c>
      <c r="N255" s="84">
        <f t="shared" ca="1" si="47"/>
        <v>1.0554143931172761</v>
      </c>
      <c r="O255" s="84">
        <f t="shared" ca="1" si="48"/>
        <v>1.0467734774168291</v>
      </c>
      <c r="P255" s="84">
        <f t="shared" ca="1" si="49"/>
        <v>1.0072301677302349</v>
      </c>
      <c r="Q255" s="84">
        <f t="shared" ca="1" si="50"/>
        <v>1.1052903093039199</v>
      </c>
    </row>
    <row r="256" spans="1:17" ht="15" customHeight="1" x14ac:dyDescent="0.2">
      <c r="A256" s="15">
        <v>217</v>
      </c>
      <c r="B256" s="84">
        <f t="shared" ca="1" si="51"/>
        <v>0.46338442080358988</v>
      </c>
      <c r="C256" s="84">
        <f t="shared" ca="1" si="51"/>
        <v>0.49549906095172336</v>
      </c>
      <c r="D256" s="84">
        <f t="shared" ca="1" si="51"/>
        <v>0.95377042543976021</v>
      </c>
      <c r="F256" s="84">
        <f t="shared" ca="1" si="52"/>
        <v>0.94061236208319587</v>
      </c>
      <c r="G256" s="84">
        <f t="shared" ca="1" si="52"/>
        <v>0.47171527037621053</v>
      </c>
      <c r="H256" s="84">
        <f t="shared" ca="1" si="52"/>
        <v>1.2423972737931721E-2</v>
      </c>
      <c r="J256" s="85">
        <f t="shared" ca="1" si="44"/>
        <v>102663351.25756295</v>
      </c>
      <c r="K256" s="86">
        <f ca="1">IF(J256&gt;0,MIN(99,$B$12*Q256/(J256*12*(1-Inputs!$H$16))),99)</f>
        <v>3.898719387207104</v>
      </c>
      <c r="L256" s="84">
        <f t="shared" ca="1" si="45"/>
        <v>1.0033667138594637</v>
      </c>
      <c r="M256" s="84">
        <f t="shared" ca="1" si="46"/>
        <v>1.0008562113154482</v>
      </c>
      <c r="N256" s="84">
        <f t="shared" ca="1" si="47"/>
        <v>1.0652304018050969</v>
      </c>
      <c r="O256" s="84">
        <f t="shared" ca="1" si="48"/>
        <v>1.0811298128145173</v>
      </c>
      <c r="P256" s="84">
        <f t="shared" ca="1" si="49"/>
        <v>1.171608077792448</v>
      </c>
      <c r="Q256" s="84">
        <f t="shared" ca="1" si="50"/>
        <v>0.87814727100301049</v>
      </c>
    </row>
    <row r="257" spans="1:17" ht="15" customHeight="1" x14ac:dyDescent="0.2">
      <c r="A257" s="15">
        <v>218</v>
      </c>
      <c r="B257" s="84">
        <f t="shared" ca="1" si="51"/>
        <v>0.1177398692151751</v>
      </c>
      <c r="C257" s="84">
        <f t="shared" ca="1" si="51"/>
        <v>5.2596033732380754E-2</v>
      </c>
      <c r="D257" s="84">
        <f t="shared" ca="1" si="51"/>
        <v>0.84569583217896549</v>
      </c>
      <c r="F257" s="84">
        <f t="shared" ca="1" si="52"/>
        <v>0.12024569352897418</v>
      </c>
      <c r="G257" s="84">
        <f t="shared" ca="1" si="52"/>
        <v>0.80687511464011441</v>
      </c>
      <c r="H257" s="84">
        <f t="shared" ca="1" si="52"/>
        <v>0.66991211628921832</v>
      </c>
      <c r="J257" s="85">
        <f t="shared" ca="1" si="44"/>
        <v>35472932.914960817</v>
      </c>
      <c r="K257" s="86">
        <f ca="1">IF(J257&gt;0,MIN(99,$B$12*Q257/(J257*12*(1-Inputs!$H$16))),99)</f>
        <v>15.101680804435613</v>
      </c>
      <c r="L257" s="84">
        <f t="shared" ca="1" si="45"/>
        <v>0.89009011811057981</v>
      </c>
      <c r="M257" s="84">
        <f t="shared" ca="1" si="46"/>
        <v>0.95019112672120287</v>
      </c>
      <c r="N257" s="84">
        <f t="shared" ca="1" si="47"/>
        <v>1.044426828110721</v>
      </c>
      <c r="O257" s="84">
        <f t="shared" ca="1" si="48"/>
        <v>0.99255752300410394</v>
      </c>
      <c r="P257" s="84">
        <f t="shared" ca="1" si="49"/>
        <v>1.4448756712437301</v>
      </c>
      <c r="Q257" s="84">
        <f t="shared" ca="1" si="50"/>
        <v>1.1753097139018982</v>
      </c>
    </row>
    <row r="258" spans="1:17" ht="15" customHeight="1" x14ac:dyDescent="0.2">
      <c r="A258" s="15">
        <v>219</v>
      </c>
      <c r="B258" s="84">
        <f t="shared" ca="1" si="51"/>
        <v>0.12308913935581312</v>
      </c>
      <c r="C258" s="84">
        <f t="shared" ca="1" si="51"/>
        <v>0.15019691327266516</v>
      </c>
      <c r="D258" s="84">
        <f t="shared" ca="1" si="51"/>
        <v>0.69393614667060199</v>
      </c>
      <c r="F258" s="84">
        <f t="shared" ca="1" si="52"/>
        <v>0.94555732795240433</v>
      </c>
      <c r="G258" s="84">
        <f t="shared" ca="1" si="52"/>
        <v>0.39149397947105868</v>
      </c>
      <c r="H258" s="84">
        <f t="shared" ca="1" si="52"/>
        <v>0.87519086997513884</v>
      </c>
      <c r="J258" s="85">
        <f t="shared" ca="1" si="44"/>
        <v>37967696.964740142</v>
      </c>
      <c r="K258" s="86">
        <f ca="1">IF(J258&gt;0,MIN(99,$B$12*Q258/(J258*12*(1-Inputs!$H$16))),99)</f>
        <v>15.664176232137443</v>
      </c>
      <c r="L258" s="84">
        <f t="shared" ca="1" si="45"/>
        <v>0.89267552072342393</v>
      </c>
      <c r="M258" s="84">
        <f t="shared" ca="1" si="46"/>
        <v>0.95134780691200571</v>
      </c>
      <c r="N258" s="84">
        <f t="shared" ca="1" si="47"/>
        <v>1.0256579645962791</v>
      </c>
      <c r="O258" s="84">
        <f t="shared" ca="1" si="48"/>
        <v>1.082435907665261</v>
      </c>
      <c r="P258" s="84">
        <f t="shared" ca="1" si="49"/>
        <v>1.1209849954242546</v>
      </c>
      <c r="Q258" s="84">
        <f t="shared" ca="1" si="50"/>
        <v>1.3048234604125117</v>
      </c>
    </row>
    <row r="259" spans="1:17" ht="15" customHeight="1" x14ac:dyDescent="0.2">
      <c r="A259" s="15">
        <v>220</v>
      </c>
      <c r="B259" s="84">
        <f t="shared" ca="1" si="51"/>
        <v>0.43487433236453821</v>
      </c>
      <c r="C259" s="84">
        <f t="shared" ca="1" si="51"/>
        <v>0.27640727242030783</v>
      </c>
      <c r="D259" s="84">
        <f t="shared" ca="1" si="51"/>
        <v>7.0002116439431328E-2</v>
      </c>
      <c r="F259" s="84">
        <f t="shared" ca="1" si="52"/>
        <v>0.36604531548254915</v>
      </c>
      <c r="G259" s="84">
        <f t="shared" ca="1" si="52"/>
        <v>0.70972635814245888</v>
      </c>
      <c r="H259" s="84">
        <f t="shared" ca="1" si="52"/>
        <v>0.99742847998887585</v>
      </c>
      <c r="J259" s="85">
        <f t="shared" ca="1" si="44"/>
        <v>124142306.64548273</v>
      </c>
      <c r="K259" s="86">
        <f ca="1">IF(J259&gt;0,MIN(99,$B$12*Q259/(J259*12*(1-Inputs!$H$16))),99)</f>
        <v>5.4410344980878937</v>
      </c>
      <c r="L259" s="84">
        <f t="shared" ca="1" si="45"/>
        <v>0.99618626175920277</v>
      </c>
      <c r="M259" s="84">
        <f t="shared" ca="1" si="46"/>
        <v>0.99765735386480703</v>
      </c>
      <c r="N259" s="84">
        <f t="shared" ca="1" si="47"/>
        <v>0.96437778825135401</v>
      </c>
      <c r="O259" s="84">
        <f t="shared" ca="1" si="48"/>
        <v>1.0115155161255336</v>
      </c>
      <c r="P259" s="84">
        <f t="shared" ca="1" si="49"/>
        <v>1.3504392524484499</v>
      </c>
      <c r="Q259" s="84">
        <f t="shared" ca="1" si="50"/>
        <v>1.4819420849224754</v>
      </c>
    </row>
    <row r="260" spans="1:17" ht="15" customHeight="1" x14ac:dyDescent="0.2">
      <c r="A260" s="15">
        <v>221</v>
      </c>
      <c r="B260" s="84">
        <f t="shared" ref="B260:D279" ca="1" si="53">RAND()</f>
        <v>0.32771319482087291</v>
      </c>
      <c r="C260" s="84">
        <f t="shared" ca="1" si="53"/>
        <v>0.39051137355188481</v>
      </c>
      <c r="D260" s="84">
        <f t="shared" ca="1" si="53"/>
        <v>0.6305784035897728</v>
      </c>
      <c r="F260" s="84">
        <f t="shared" ref="F260:H279" ca="1" si="54">RAND()</f>
        <v>0.99172814065259052</v>
      </c>
      <c r="G260" s="84">
        <f t="shared" ca="1" si="54"/>
        <v>0.87556315705225218</v>
      </c>
      <c r="H260" s="84">
        <f t="shared" ca="1" si="54"/>
        <v>0.54717930013881177</v>
      </c>
      <c r="J260" s="85">
        <f t="shared" ca="1" si="44"/>
        <v>70505448.483752653</v>
      </c>
      <c r="K260" s="86">
        <f ca="1">IF(J260&gt;0,MIN(99,$B$12*Q260/(J260*12*(1-Inputs!$H$16))),99)</f>
        <v>7.2256859470306765</v>
      </c>
      <c r="L260" s="84">
        <f t="shared" ca="1" si="45"/>
        <v>0.96700972479889713</v>
      </c>
      <c r="M260" s="84">
        <f t="shared" ca="1" si="46"/>
        <v>0.98460409779917435</v>
      </c>
      <c r="N260" s="84">
        <f t="shared" ca="1" si="47"/>
        <v>1.0192731288830281</v>
      </c>
      <c r="O260" s="84">
        <f t="shared" ca="1" si="48"/>
        <v>1.100375028275459</v>
      </c>
      <c r="P260" s="84">
        <f t="shared" ca="1" si="49"/>
        <v>1.5273238328525536</v>
      </c>
      <c r="Q260" s="84">
        <f t="shared" ca="1" si="50"/>
        <v>1.1177166041778208</v>
      </c>
    </row>
    <row r="261" spans="1:17" ht="15" customHeight="1" x14ac:dyDescent="0.2">
      <c r="A261" s="15">
        <v>222</v>
      </c>
      <c r="B261" s="84">
        <f t="shared" ca="1" si="53"/>
        <v>0.53079762164394906</v>
      </c>
      <c r="C261" s="84">
        <f t="shared" ca="1" si="53"/>
        <v>0.76237216988955658</v>
      </c>
      <c r="D261" s="84">
        <f t="shared" ca="1" si="53"/>
        <v>0.80447309319952176</v>
      </c>
      <c r="F261" s="84">
        <f t="shared" ca="1" si="54"/>
        <v>0.67533387820641722</v>
      </c>
      <c r="G261" s="84">
        <f t="shared" ca="1" si="54"/>
        <v>0.88319067341971136</v>
      </c>
      <c r="H261" s="84">
        <f t="shared" ca="1" si="54"/>
        <v>0.98581016373163621</v>
      </c>
      <c r="J261" s="85">
        <f t="shared" ca="1" si="44"/>
        <v>113908603.22218661</v>
      </c>
      <c r="K261" s="86">
        <f ca="1">IF(J261&gt;0,MIN(99,$B$12*Q261/(J261*12*(1-Inputs!$H$16))),99)</f>
        <v>5.7696237015730141</v>
      </c>
      <c r="L261" s="84">
        <f t="shared" ca="1" si="45"/>
        <v>1.0210013247594447</v>
      </c>
      <c r="M261" s="84">
        <f t="shared" ca="1" si="46"/>
        <v>1.0086553829261014</v>
      </c>
      <c r="N261" s="84">
        <f t="shared" ca="1" si="47"/>
        <v>1.0386506011849461</v>
      </c>
      <c r="O261" s="84">
        <f t="shared" ca="1" si="48"/>
        <v>1.0400430102917886</v>
      </c>
      <c r="P261" s="84">
        <f t="shared" ca="1" si="49"/>
        <v>1.5377670805701242</v>
      </c>
      <c r="Q261" s="84">
        <f t="shared" ca="1" si="50"/>
        <v>1.4418960662641005</v>
      </c>
    </row>
    <row r="262" spans="1:17" ht="15" customHeight="1" x14ac:dyDescent="0.2">
      <c r="A262" s="15">
        <v>223</v>
      </c>
      <c r="B262" s="84">
        <f t="shared" ca="1" si="53"/>
        <v>0.49179865473759155</v>
      </c>
      <c r="C262" s="84">
        <f t="shared" ca="1" si="53"/>
        <v>0.65034031971090922</v>
      </c>
      <c r="D262" s="84">
        <f t="shared" ca="1" si="53"/>
        <v>0.49659646469180507</v>
      </c>
      <c r="F262" s="84">
        <f t="shared" ca="1" si="54"/>
        <v>0.91544130955392433</v>
      </c>
      <c r="G262" s="84">
        <f t="shared" ca="1" si="54"/>
        <v>0.60752800048374622</v>
      </c>
      <c r="H262" s="84">
        <f t="shared" ca="1" si="54"/>
        <v>0.77088500683017014</v>
      </c>
      <c r="J262" s="85">
        <f t="shared" ca="1" si="44"/>
        <v>117727583.78216596</v>
      </c>
      <c r="K262" s="86">
        <f ca="1">IF(J262&gt;0,MIN(99,$B$12*Q262/(J262*12*(1-Inputs!$H$16))),99)</f>
        <v>4.7676246731983678</v>
      </c>
      <c r="L262" s="84">
        <f t="shared" ca="1" si="45"/>
        <v>1.0106561236313933</v>
      </c>
      <c r="M262" s="84">
        <f t="shared" ca="1" si="46"/>
        <v>1.0040800623022432</v>
      </c>
      <c r="N262" s="84">
        <f t="shared" ca="1" si="47"/>
        <v>1.0073729875375721</v>
      </c>
      <c r="O262" s="84">
        <f t="shared" ca="1" si="48"/>
        <v>1.0751962129714079</v>
      </c>
      <c r="P262" s="84">
        <f t="shared" ca="1" si="49"/>
        <v>1.267038586032708</v>
      </c>
      <c r="Q262" s="84">
        <f t="shared" ca="1" si="50"/>
        <v>1.2314314210682891</v>
      </c>
    </row>
    <row r="263" spans="1:17" ht="15" customHeight="1" x14ac:dyDescent="0.2">
      <c r="A263" s="15">
        <v>224</v>
      </c>
      <c r="B263" s="84">
        <f t="shared" ca="1" si="53"/>
        <v>0.32145471177903862</v>
      </c>
      <c r="C263" s="84">
        <f t="shared" ca="1" si="53"/>
        <v>0.8839910834685355</v>
      </c>
      <c r="D263" s="84">
        <f t="shared" ca="1" si="53"/>
        <v>0.57022147213824259</v>
      </c>
      <c r="F263" s="84">
        <f t="shared" ca="1" si="54"/>
        <v>0.97777916041022328</v>
      </c>
      <c r="G263" s="84">
        <f t="shared" ca="1" si="54"/>
        <v>0.17530222988049537</v>
      </c>
      <c r="H263" s="84">
        <f t="shared" ca="1" si="54"/>
        <v>0.17966033374070167</v>
      </c>
      <c r="J263" s="85">
        <f t="shared" ca="1" si="44"/>
        <v>91568811.124883041</v>
      </c>
      <c r="K263" s="86">
        <f ca="1">IF(J263&gt;0,MIN(99,$B$12*Q263/(J263*12*(1-Inputs!$H$16))),99)</f>
        <v>4.8771412159095862</v>
      </c>
      <c r="L263" s="84">
        <f t="shared" ca="1" si="45"/>
        <v>0.96516743957665796</v>
      </c>
      <c r="M263" s="84">
        <f t="shared" ca="1" si="46"/>
        <v>0.98377988001128069</v>
      </c>
      <c r="N263" s="84">
        <f t="shared" ca="1" si="47"/>
        <v>1.0136834286441181</v>
      </c>
      <c r="O263" s="84">
        <f t="shared" ca="1" si="48"/>
        <v>1.0930526099765336</v>
      </c>
      <c r="P263" s="84">
        <f t="shared" ca="1" si="49"/>
        <v>0.99920757705197571</v>
      </c>
      <c r="Q263" s="84">
        <f t="shared" ca="1" si="50"/>
        <v>0.97981221111637673</v>
      </c>
    </row>
    <row r="264" spans="1:17" ht="15" customHeight="1" x14ac:dyDescent="0.2">
      <c r="A264" s="15">
        <v>225</v>
      </c>
      <c r="B264" s="84">
        <f t="shared" ca="1" si="53"/>
        <v>0.63457152957879637</v>
      </c>
      <c r="C264" s="84">
        <f t="shared" ca="1" si="53"/>
        <v>0.44128518396819805</v>
      </c>
      <c r="D264" s="84">
        <f t="shared" ca="1" si="53"/>
        <v>0.74779606661274689</v>
      </c>
      <c r="F264" s="84">
        <f t="shared" ca="1" si="54"/>
        <v>2.1824827684036485E-2</v>
      </c>
      <c r="G264" s="84">
        <f t="shared" ca="1" si="54"/>
        <v>0.23743699626630421</v>
      </c>
      <c r="H264" s="84">
        <f t="shared" ca="1" si="54"/>
        <v>0.56185195292843104</v>
      </c>
      <c r="J264" s="85">
        <f t="shared" ca="1" si="44"/>
        <v>166205260.42362183</v>
      </c>
      <c r="K264" s="86">
        <f ca="1">IF(J264&gt;0,MIN(99,$B$12*Q264/(J264*12*(1-Inputs!$H$16))),99)</f>
        <v>3.0828327392816437</v>
      </c>
      <c r="L264" s="84">
        <f t="shared" ca="1" si="45"/>
        <v>1.0508428794730904</v>
      </c>
      <c r="M264" s="84">
        <f t="shared" ca="1" si="46"/>
        <v>1.0218532588339084</v>
      </c>
      <c r="N264" s="84">
        <f t="shared" ca="1" si="47"/>
        <v>1.0316287344182973</v>
      </c>
      <c r="O264" s="84">
        <f t="shared" ca="1" si="48"/>
        <v>0.97954457815583074</v>
      </c>
      <c r="P264" s="84">
        <f t="shared" ca="1" si="49"/>
        <v>1.0323778500192065</v>
      </c>
      <c r="Q264" s="84">
        <f t="shared" ca="1" si="50"/>
        <v>1.1241510463889703</v>
      </c>
    </row>
    <row r="265" spans="1:17" ht="15" customHeight="1" x14ac:dyDescent="0.2">
      <c r="A265" s="15">
        <v>226</v>
      </c>
      <c r="B265" s="84">
        <f t="shared" ca="1" si="53"/>
        <v>0.94536446679131558</v>
      </c>
      <c r="C265" s="84">
        <f t="shared" ca="1" si="53"/>
        <v>0.76796953561061709</v>
      </c>
      <c r="D265" s="84">
        <f t="shared" ca="1" si="53"/>
        <v>1.6887007391908515E-2</v>
      </c>
      <c r="F265" s="84">
        <f t="shared" ca="1" si="54"/>
        <v>0.32479678950866009</v>
      </c>
      <c r="G265" s="84">
        <f t="shared" ca="1" si="54"/>
        <v>0.85950114992586923</v>
      </c>
      <c r="H265" s="84">
        <f t="shared" ca="1" si="54"/>
        <v>3.7276569864626352E-2</v>
      </c>
      <c r="J265" s="85">
        <f t="shared" ca="1" si="44"/>
        <v>269887857.22732449</v>
      </c>
      <c r="K265" s="86">
        <f ca="1">IF(J265&gt;0,MIN(99,$B$12*Q265/(J265*12*(1-Inputs!$H$16))),99)</f>
        <v>1.5278960811879851</v>
      </c>
      <c r="L265" s="84">
        <f t="shared" ca="1" si="45"/>
        <v>1.1883259795775336</v>
      </c>
      <c r="M265" s="84">
        <f t="shared" ca="1" si="46"/>
        <v>1.0826572253835929</v>
      </c>
      <c r="N265" s="84">
        <f t="shared" ca="1" si="47"/>
        <v>0.95143037416382692</v>
      </c>
      <c r="O265" s="84">
        <f t="shared" ca="1" si="48"/>
        <v>1.0083033042115492</v>
      </c>
      <c r="P265" s="84">
        <f t="shared" ca="1" si="49"/>
        <v>1.5063316431194638</v>
      </c>
      <c r="Q265" s="84">
        <f t="shared" ca="1" si="50"/>
        <v>0.90470523571601302</v>
      </c>
    </row>
    <row r="266" spans="1:17" ht="15" customHeight="1" x14ac:dyDescent="0.2">
      <c r="A266" s="15">
        <v>227</v>
      </c>
      <c r="B266" s="84">
        <f t="shared" ca="1" si="53"/>
        <v>0.55541356781340112</v>
      </c>
      <c r="C266" s="84">
        <f t="shared" ca="1" si="53"/>
        <v>0.61100206589704797</v>
      </c>
      <c r="D266" s="84">
        <f t="shared" ca="1" si="53"/>
        <v>0.65874774491268218</v>
      </c>
      <c r="F266" s="84">
        <f t="shared" ca="1" si="54"/>
        <v>0.30960139185157598</v>
      </c>
      <c r="G266" s="84">
        <f t="shared" ca="1" si="54"/>
        <v>0.6135875353485607</v>
      </c>
      <c r="H266" s="84">
        <f t="shared" ca="1" si="54"/>
        <v>0.7057644292610239</v>
      </c>
      <c r="J266" s="85">
        <f t="shared" ca="1" si="44"/>
        <v>137951239.70581418</v>
      </c>
      <c r="K266" s="86">
        <f ca="1">IF(J266&gt;0,MIN(99,$B$12*Q266/(J266*12*(1-Inputs!$H$16))),99)</f>
        <v>3.9453431926672833</v>
      </c>
      <c r="L266" s="84">
        <f t="shared" ca="1" si="45"/>
        <v>1.0277538990688482</v>
      </c>
      <c r="M266" s="84">
        <f t="shared" ca="1" si="46"/>
        <v>1.0116418103642468</v>
      </c>
      <c r="N266" s="84">
        <f t="shared" ca="1" si="47"/>
        <v>1.0220381962276972</v>
      </c>
      <c r="O266" s="84">
        <f t="shared" ca="1" si="48"/>
        <v>1.0071448080327465</v>
      </c>
      <c r="P266" s="84">
        <f t="shared" ca="1" si="49"/>
        <v>1.2716553153320329</v>
      </c>
      <c r="Q266" s="84">
        <f t="shared" ca="1" si="50"/>
        <v>1.1940990040832422</v>
      </c>
    </row>
    <row r="267" spans="1:17" ht="15" customHeight="1" x14ac:dyDescent="0.2">
      <c r="A267" s="15">
        <v>228</v>
      </c>
      <c r="B267" s="84">
        <f t="shared" ca="1" si="53"/>
        <v>0.30103246274192574</v>
      </c>
      <c r="C267" s="84">
        <f t="shared" ca="1" si="53"/>
        <v>0.97745575752137281</v>
      </c>
      <c r="D267" s="84">
        <f t="shared" ca="1" si="53"/>
        <v>0.69693673346557028</v>
      </c>
      <c r="F267" s="84">
        <f t="shared" ca="1" si="54"/>
        <v>0.34867362651949407</v>
      </c>
      <c r="G267" s="84">
        <f t="shared" ca="1" si="54"/>
        <v>0.51731771409586713</v>
      </c>
      <c r="H267" s="84">
        <f t="shared" ca="1" si="54"/>
        <v>0.65013324850457654</v>
      </c>
      <c r="J267" s="85">
        <f t="shared" ca="1" si="44"/>
        <v>90982003.506524071</v>
      </c>
      <c r="K267" s="86">
        <f ca="1">IF(J267&gt;0,MIN(99,$B$12*Q267/(J267*12*(1-Inputs!$H$16))),99)</f>
        <v>5.8382436131352584</v>
      </c>
      <c r="L267" s="84">
        <f t="shared" ca="1" si="45"/>
        <v>0.95902758504764074</v>
      </c>
      <c r="M267" s="84">
        <f t="shared" ca="1" si="46"/>
        <v>0.98103297781784926</v>
      </c>
      <c r="N267" s="84">
        <f t="shared" ca="1" si="47"/>
        <v>1.0259760416869184</v>
      </c>
      <c r="O267" s="84">
        <f t="shared" ca="1" si="48"/>
        <v>1.0101503334570574</v>
      </c>
      <c r="P267" s="84">
        <f t="shared" ca="1" si="49"/>
        <v>1.2021121992852659</v>
      </c>
      <c r="Q267" s="84">
        <f t="shared" ca="1" si="50"/>
        <v>1.1653802412949845</v>
      </c>
    </row>
    <row r="268" spans="1:17" ht="15" customHeight="1" x14ac:dyDescent="0.2">
      <c r="A268" s="15">
        <v>229</v>
      </c>
      <c r="B268" s="84">
        <f t="shared" ca="1" si="53"/>
        <v>0.16915464457866269</v>
      </c>
      <c r="C268" s="84">
        <f t="shared" ca="1" si="53"/>
        <v>0.89527237096090051</v>
      </c>
      <c r="D268" s="84">
        <f t="shared" ca="1" si="53"/>
        <v>1.7608032594182421E-2</v>
      </c>
      <c r="F268" s="84">
        <f t="shared" ca="1" si="54"/>
        <v>0.49954086988859769</v>
      </c>
      <c r="G268" s="84">
        <f t="shared" ca="1" si="54"/>
        <v>0.20579180688352905</v>
      </c>
      <c r="H268" s="84">
        <f t="shared" ca="1" si="54"/>
        <v>0.88759050776469373</v>
      </c>
      <c r="J268" s="85">
        <f t="shared" ca="1" si="44"/>
        <v>79660070.508544818</v>
      </c>
      <c r="K268" s="86">
        <f ca="1">IF(J268&gt;0,MIN(99,$B$12*Q268/(J268*12*(1-Inputs!$H$16))),99)</f>
        <v>7.5261979433694339</v>
      </c>
      <c r="L268" s="84">
        <f t="shared" ca="1" si="45"/>
        <v>0.91294889457730188</v>
      </c>
      <c r="M268" s="84">
        <f t="shared" ca="1" si="46"/>
        <v>0.96041788745614309</v>
      </c>
      <c r="N268" s="84">
        <f t="shared" ca="1" si="47"/>
        <v>0.9516943869132275</v>
      </c>
      <c r="O268" s="84">
        <f t="shared" ca="1" si="48"/>
        <v>1.0227015108792672</v>
      </c>
      <c r="P268" s="84">
        <f t="shared" ca="1" si="49"/>
        <v>1.0153230709778798</v>
      </c>
      <c r="Q268" s="84">
        <f t="shared" ca="1" si="50"/>
        <v>1.3153649470322319</v>
      </c>
    </row>
    <row r="269" spans="1:17" ht="15" customHeight="1" x14ac:dyDescent="0.2">
      <c r="A269" s="15">
        <v>230</v>
      </c>
      <c r="B269" s="84">
        <f t="shared" ca="1" si="53"/>
        <v>0.26951289608827034</v>
      </c>
      <c r="C269" s="84">
        <f t="shared" ca="1" si="53"/>
        <v>2.8822422528745784E-2</v>
      </c>
      <c r="D269" s="84">
        <f t="shared" ca="1" si="53"/>
        <v>0.60704816034167197</v>
      </c>
      <c r="F269" s="84">
        <f t="shared" ca="1" si="54"/>
        <v>0.42220567122655561</v>
      </c>
      <c r="G269" s="84">
        <f t="shared" ca="1" si="54"/>
        <v>0.50269170452352019</v>
      </c>
      <c r="H269" s="84">
        <f t="shared" ca="1" si="54"/>
        <v>5.9299998932351605E-2</v>
      </c>
      <c r="J269" s="85">
        <f t="shared" ca="1" si="44"/>
        <v>85458145.554663762</v>
      </c>
      <c r="K269" s="86">
        <f ca="1">IF(J269&gt;0,MIN(99,$B$12*Q269/(J269*12*(1-Inputs!$H$16))),99)</f>
        <v>4.9128498396774889</v>
      </c>
      <c r="L269" s="84">
        <f t="shared" ca="1" si="45"/>
        <v>0.9491269674976579</v>
      </c>
      <c r="M269" s="84">
        <f t="shared" ca="1" si="46"/>
        <v>0.97660355234272711</v>
      </c>
      <c r="N269" s="84">
        <f t="shared" ca="1" si="47"/>
        <v>1.0170432918741281</v>
      </c>
      <c r="O269" s="84">
        <f t="shared" ca="1" si="48"/>
        <v>1.0160620253025228</v>
      </c>
      <c r="P269" s="84">
        <f t="shared" ca="1" si="49"/>
        <v>1.1921774856683349</v>
      </c>
      <c r="Q269" s="84">
        <f t="shared" ca="1" si="50"/>
        <v>0.92112145051248606</v>
      </c>
    </row>
    <row r="270" spans="1:17" ht="15" customHeight="1" x14ac:dyDescent="0.2">
      <c r="A270" s="15">
        <v>231</v>
      </c>
      <c r="B270" s="84">
        <f t="shared" ca="1" si="53"/>
        <v>0.37056734054600238</v>
      </c>
      <c r="C270" s="84">
        <f t="shared" ca="1" si="53"/>
        <v>0.44688832937798906</v>
      </c>
      <c r="D270" s="84">
        <f t="shared" ca="1" si="53"/>
        <v>4.6434139266148255E-3</v>
      </c>
      <c r="F270" s="84">
        <f t="shared" ca="1" si="54"/>
        <v>0.11402058368015855</v>
      </c>
      <c r="G270" s="84">
        <f t="shared" ca="1" si="54"/>
        <v>0.32520077633201361</v>
      </c>
      <c r="H270" s="84">
        <f t="shared" ca="1" si="54"/>
        <v>0.435760022140253</v>
      </c>
      <c r="J270" s="85">
        <f t="shared" ca="1" si="44"/>
        <v>129414406.64397024</v>
      </c>
      <c r="K270" s="86">
        <f ca="1">IF(J270&gt;0,MIN(99,$B$12*Q270/(J270*12*(1-Inputs!$H$16))),99)</f>
        <v>3.7752755831041673</v>
      </c>
      <c r="L270" s="84">
        <f t="shared" ca="1" si="45"/>
        <v>0.97917841661504101</v>
      </c>
      <c r="M270" s="84">
        <f t="shared" ca="1" si="46"/>
        <v>0.99004823431462152</v>
      </c>
      <c r="N270" s="84">
        <f t="shared" ca="1" si="47"/>
        <v>0.94548629390982564</v>
      </c>
      <c r="O270" s="84">
        <f t="shared" ca="1" si="48"/>
        <v>0.99196286475127238</v>
      </c>
      <c r="P270" s="84">
        <f t="shared" ca="1" si="49"/>
        <v>1.081622974381574</v>
      </c>
      <c r="Q270" s="84">
        <f t="shared" ca="1" si="50"/>
        <v>1.0719171665559302</v>
      </c>
    </row>
    <row r="271" spans="1:17" ht="15" customHeight="1" x14ac:dyDescent="0.2">
      <c r="A271" s="15">
        <v>232</v>
      </c>
      <c r="B271" s="84">
        <f t="shared" ca="1" si="53"/>
        <v>5.4771749236186551E-2</v>
      </c>
      <c r="C271" s="84">
        <f t="shared" ca="1" si="53"/>
        <v>0.13351671995356418</v>
      </c>
      <c r="D271" s="84">
        <f t="shared" ca="1" si="53"/>
        <v>0.80953840559821899</v>
      </c>
      <c r="F271" s="84">
        <f t="shared" ca="1" si="54"/>
        <v>0.71044998384024893</v>
      </c>
      <c r="G271" s="84">
        <f t="shared" ca="1" si="54"/>
        <v>0.82583984281118261</v>
      </c>
      <c r="H271" s="84">
        <f t="shared" ca="1" si="54"/>
        <v>0.96347605304473372</v>
      </c>
      <c r="J271" s="85">
        <f t="shared" ca="1" si="44"/>
        <v>3995610.6582694501</v>
      </c>
      <c r="K271" s="86">
        <f ca="1">IF(J271&gt;0,MIN(99,$B$12*Q271/(J271*12*(1-Inputs!$H$16))),99)</f>
        <v>99</v>
      </c>
      <c r="L271" s="84">
        <f t="shared" ca="1" si="45"/>
        <v>0.85349727249446938</v>
      </c>
      <c r="M271" s="84">
        <f t="shared" ca="1" si="46"/>
        <v>0.93381989717305269</v>
      </c>
      <c r="N271" s="84">
        <f t="shared" ca="1" si="47"/>
        <v>1.039325140470738</v>
      </c>
      <c r="O271" s="84">
        <f t="shared" ca="1" si="48"/>
        <v>1.0440365798729099</v>
      </c>
      <c r="P271" s="84">
        <f t="shared" ca="1" si="49"/>
        <v>1.4659240301389307</v>
      </c>
      <c r="Q271" s="84">
        <f t="shared" ca="1" si="50"/>
        <v>1.3997542009436053</v>
      </c>
    </row>
    <row r="272" spans="1:17" ht="15" customHeight="1" x14ac:dyDescent="0.2">
      <c r="A272" s="15">
        <v>233</v>
      </c>
      <c r="B272" s="84">
        <f t="shared" ca="1" si="53"/>
        <v>2.1175658209109605E-2</v>
      </c>
      <c r="C272" s="84">
        <f t="shared" ca="1" si="53"/>
        <v>0.45910515789668394</v>
      </c>
      <c r="D272" s="84">
        <f t="shared" ca="1" si="53"/>
        <v>0.12231580209068971</v>
      </c>
      <c r="F272" s="84">
        <f t="shared" ca="1" si="54"/>
        <v>0.47557854251881626</v>
      </c>
      <c r="G272" s="84">
        <f t="shared" ca="1" si="54"/>
        <v>0.74219781806096885</v>
      </c>
      <c r="H272" s="84">
        <f t="shared" ca="1" si="54"/>
        <v>0.7802522612991929</v>
      </c>
      <c r="J272" s="85">
        <f t="shared" ca="1" si="44"/>
        <v>4840309.0218625516</v>
      </c>
      <c r="K272" s="86">
        <f ca="1">IF(J272&gt;0,MIN(99,$B$12*Q272/(J272*12*(1-Inputs!$H$16))),99)</f>
        <v>99</v>
      </c>
      <c r="L272" s="84">
        <f t="shared" ca="1" si="45"/>
        <v>0.82380841677953542</v>
      </c>
      <c r="M272" s="84">
        <f t="shared" ca="1" si="46"/>
        <v>0.92053743543093791</v>
      </c>
      <c r="N272" s="84">
        <f t="shared" ca="1" si="47"/>
        <v>0.97256748130590687</v>
      </c>
      <c r="O272" s="84">
        <f t="shared" ca="1" si="48"/>
        <v>1.0205925918634253</v>
      </c>
      <c r="P272" s="84">
        <f t="shared" ca="1" si="49"/>
        <v>1.379944594509926</v>
      </c>
      <c r="Q272" s="84">
        <f t="shared" ca="1" si="50"/>
        <v>1.2372190138400805</v>
      </c>
    </row>
    <row r="273" spans="1:17" ht="15" customHeight="1" x14ac:dyDescent="0.2">
      <c r="A273" s="15">
        <v>234</v>
      </c>
      <c r="B273" s="84">
        <f t="shared" ca="1" si="53"/>
        <v>0.21466022906200788</v>
      </c>
      <c r="C273" s="84">
        <f t="shared" ca="1" si="53"/>
        <v>0.23625167235920885</v>
      </c>
      <c r="D273" s="84">
        <f t="shared" ca="1" si="53"/>
        <v>9.0186564984253037E-2</v>
      </c>
      <c r="F273" s="84">
        <f t="shared" ca="1" si="54"/>
        <v>0.71822700277554996</v>
      </c>
      <c r="G273" s="84">
        <f t="shared" ca="1" si="54"/>
        <v>0.82313430409740096</v>
      </c>
      <c r="H273" s="84">
        <f t="shared" ca="1" si="54"/>
        <v>5.9630010542615963E-2</v>
      </c>
      <c r="J273" s="85">
        <f t="shared" ca="1" si="44"/>
        <v>67643014.778705791</v>
      </c>
      <c r="K273" s="86">
        <f ca="1">IF(J273&gt;0,MIN(99,$B$12*Q273/(J273*12*(1-Inputs!$H$16))),99)</f>
        <v>6.2082301732582703</v>
      </c>
      <c r="L273" s="84">
        <f t="shared" ca="1" si="45"/>
        <v>0.93040037248821472</v>
      </c>
      <c r="M273" s="84">
        <f t="shared" ca="1" si="46"/>
        <v>0.96822548334063052</v>
      </c>
      <c r="N273" s="84">
        <f t="shared" ca="1" si="47"/>
        <v>0.96781413615953349</v>
      </c>
      <c r="O273" s="84">
        <f t="shared" ca="1" si="48"/>
        <v>1.0449532650613291</v>
      </c>
      <c r="P273" s="84">
        <f t="shared" ca="1" si="49"/>
        <v>1.4628534829026363</v>
      </c>
      <c r="Q273" s="84">
        <f t="shared" ca="1" si="50"/>
        <v>0.92134165599075957</v>
      </c>
    </row>
    <row r="274" spans="1:17" ht="15" customHeight="1" x14ac:dyDescent="0.2">
      <c r="A274" s="15">
        <v>235</v>
      </c>
      <c r="B274" s="84">
        <f t="shared" ca="1" si="53"/>
        <v>0.96725478788187025</v>
      </c>
      <c r="C274" s="84">
        <f t="shared" ca="1" si="53"/>
        <v>0.31540224389829741</v>
      </c>
      <c r="D274" s="84">
        <f t="shared" ca="1" si="53"/>
        <v>0.67953767201785686</v>
      </c>
      <c r="F274" s="84">
        <f t="shared" ca="1" si="54"/>
        <v>0.42184169429712381</v>
      </c>
      <c r="G274" s="84">
        <f t="shared" ca="1" si="54"/>
        <v>0.7321781028831934</v>
      </c>
      <c r="H274" s="84">
        <f t="shared" ca="1" si="54"/>
        <v>0.29832817905935127</v>
      </c>
      <c r="J274" s="85">
        <f t="shared" ca="1" si="44"/>
        <v>271103819.66678447</v>
      </c>
      <c r="K274" s="86">
        <f ca="1">IF(J274&gt;0,MIN(99,$B$12*Q274/(J274*12*(1-Inputs!$H$16))),99)</f>
        <v>1.7170397718150237</v>
      </c>
      <c r="L274" s="84">
        <f t="shared" ca="1" si="45"/>
        <v>1.2078995777491464</v>
      </c>
      <c r="M274" s="84">
        <f t="shared" ca="1" si="46"/>
        <v>1.0913139432462216</v>
      </c>
      <c r="N274" s="84">
        <f t="shared" ca="1" si="47"/>
        <v>1.0241529025694294</v>
      </c>
      <c r="O274" s="84">
        <f t="shared" ca="1" si="48"/>
        <v>1.0160318645828681</v>
      </c>
      <c r="P274" s="84">
        <f t="shared" ca="1" si="49"/>
        <v>1.370651382681614</v>
      </c>
      <c r="Q274" s="84">
        <f t="shared" ca="1" si="50"/>
        <v>1.021282600189402</v>
      </c>
    </row>
    <row r="275" spans="1:17" ht="15" customHeight="1" x14ac:dyDescent="0.2">
      <c r="A275" s="15">
        <v>236</v>
      </c>
      <c r="B275" s="84">
        <f t="shared" ca="1" si="53"/>
        <v>7.525059393843303E-2</v>
      </c>
      <c r="C275" s="84">
        <f t="shared" ca="1" si="53"/>
        <v>0.63120243532810971</v>
      </c>
      <c r="D275" s="84">
        <f t="shared" ca="1" si="53"/>
        <v>0.21076448017169125</v>
      </c>
      <c r="F275" s="84">
        <f t="shared" ca="1" si="54"/>
        <v>0.5658029888515167</v>
      </c>
      <c r="G275" s="84">
        <f t="shared" ca="1" si="54"/>
        <v>0.79758311571787355</v>
      </c>
      <c r="H275" s="84">
        <f t="shared" ca="1" si="54"/>
        <v>0.65740149150676919</v>
      </c>
      <c r="J275" s="85">
        <f t="shared" ca="1" si="44"/>
        <v>26628275.744302183</v>
      </c>
      <c r="K275" s="86">
        <f ca="1">IF(J275&gt;0,MIN(99,$B$12*Q275/(J275*12*(1-Inputs!$H$16))),99)</f>
        <v>20.009668848540361</v>
      </c>
      <c r="L275" s="84">
        <f t="shared" ca="1" si="45"/>
        <v>0.86700919420402356</v>
      </c>
      <c r="M275" s="84">
        <f t="shared" ca="1" si="46"/>
        <v>0.93986497970815774</v>
      </c>
      <c r="N275" s="84">
        <f t="shared" ca="1" si="47"/>
        <v>0.98308417906967482</v>
      </c>
      <c r="O275" s="84">
        <f t="shared" ca="1" si="48"/>
        <v>1.0288116431103624</v>
      </c>
      <c r="P275" s="84">
        <f t="shared" ca="1" si="49"/>
        <v>1.4349405928856909</v>
      </c>
      <c r="Q275" s="84">
        <f t="shared" ca="1" si="50"/>
        <v>1.1689956316890886</v>
      </c>
    </row>
    <row r="276" spans="1:17" ht="15" customHeight="1" x14ac:dyDescent="0.2">
      <c r="A276" s="15">
        <v>237</v>
      </c>
      <c r="B276" s="84">
        <f t="shared" ca="1" si="53"/>
        <v>0.80252027831349915</v>
      </c>
      <c r="C276" s="84">
        <f t="shared" ca="1" si="53"/>
        <v>0.35840054074143235</v>
      </c>
      <c r="D276" s="84">
        <f t="shared" ca="1" si="53"/>
        <v>0.55143423094888666</v>
      </c>
      <c r="F276" s="84">
        <f t="shared" ca="1" si="54"/>
        <v>0.73838998120282628</v>
      </c>
      <c r="G276" s="84">
        <f t="shared" ca="1" si="54"/>
        <v>0.13483285133189427</v>
      </c>
      <c r="H276" s="84">
        <f t="shared" ca="1" si="54"/>
        <v>0.35442361469761918</v>
      </c>
      <c r="J276" s="85">
        <f t="shared" ca="1" si="44"/>
        <v>206084838.74878258</v>
      </c>
      <c r="K276" s="86">
        <f ca="1">IF(J276&gt;0,MIN(99,$B$12*Q276/(J276*12*(1-Inputs!$H$16))),99)</f>
        <v>2.3030120663302784</v>
      </c>
      <c r="L276" s="84">
        <f t="shared" ca="1" si="45"/>
        <v>1.1102169252262422</v>
      </c>
      <c r="M276" s="84">
        <f t="shared" ca="1" si="46"/>
        <v>1.0481123225963018</v>
      </c>
      <c r="N276" s="84">
        <f t="shared" ca="1" si="47"/>
        <v>1.0120248567332772</v>
      </c>
      <c r="O276" s="84">
        <f t="shared" ca="1" si="48"/>
        <v>1.0473905948581712</v>
      </c>
      <c r="P276" s="84">
        <f t="shared" ca="1" si="49"/>
        <v>0.97651337873250776</v>
      </c>
      <c r="Q276" s="84">
        <f t="shared" ca="1" si="50"/>
        <v>1.0412911986358293</v>
      </c>
    </row>
    <row r="277" spans="1:17" ht="15" customHeight="1" x14ac:dyDescent="0.2">
      <c r="A277" s="15">
        <v>238</v>
      </c>
      <c r="B277" s="84">
        <f t="shared" ca="1" si="53"/>
        <v>0.84930231386282917</v>
      </c>
      <c r="C277" s="84">
        <f t="shared" ca="1" si="53"/>
        <v>0.68621921217048865</v>
      </c>
      <c r="D277" s="84">
        <f t="shared" ca="1" si="53"/>
        <v>0.23463023481792178</v>
      </c>
      <c r="F277" s="84">
        <f t="shared" ca="1" si="54"/>
        <v>0.3682391127136212</v>
      </c>
      <c r="G277" s="84">
        <f t="shared" ca="1" si="54"/>
        <v>0.66400318752629506</v>
      </c>
      <c r="H277" s="84">
        <f t="shared" ca="1" si="54"/>
        <v>0.29438433258212759</v>
      </c>
      <c r="J277" s="85">
        <f t="shared" ca="1" si="44"/>
        <v>221985183.10861522</v>
      </c>
      <c r="K277" s="86">
        <f ca="1">IF(J277&gt;0,MIN(99,$B$12*Q277/(J277*12*(1-Inputs!$H$16))),99)</f>
        <v>2.0941434789047357</v>
      </c>
      <c r="L277" s="84">
        <f t="shared" ca="1" si="45"/>
        <v>1.1310523294948438</v>
      </c>
      <c r="M277" s="84">
        <f t="shared" ca="1" si="46"/>
        <v>1.0573270931625371</v>
      </c>
      <c r="N277" s="84">
        <f t="shared" ca="1" si="47"/>
        <v>0.98551687448158654</v>
      </c>
      <c r="O277" s="84">
        <f t="shared" ca="1" si="48"/>
        <v>1.0116892427745281</v>
      </c>
      <c r="P277" s="84">
        <f t="shared" ca="1" si="49"/>
        <v>1.3115639593178443</v>
      </c>
      <c r="Q277" s="84">
        <f t="shared" ca="1" si="50"/>
        <v>1.0199065071790052</v>
      </c>
    </row>
    <row r="278" spans="1:17" ht="15" customHeight="1" x14ac:dyDescent="0.2">
      <c r="A278" s="15">
        <v>239</v>
      </c>
      <c r="B278" s="84">
        <f t="shared" ca="1" si="53"/>
        <v>0.25580280683296741</v>
      </c>
      <c r="C278" s="84">
        <f t="shared" ca="1" si="53"/>
        <v>0.59806448653874378</v>
      </c>
      <c r="D278" s="84">
        <f t="shared" ca="1" si="53"/>
        <v>0.8947934544678342</v>
      </c>
      <c r="F278" s="84">
        <f t="shared" ca="1" si="54"/>
        <v>0.71542340265763193</v>
      </c>
      <c r="G278" s="84">
        <f t="shared" ca="1" si="54"/>
        <v>0.45255888944052414</v>
      </c>
      <c r="H278" s="84">
        <f t="shared" ca="1" si="54"/>
        <v>0.89366576421363608</v>
      </c>
      <c r="J278" s="85">
        <f t="shared" ca="1" si="44"/>
        <v>71699688.72179611</v>
      </c>
      <c r="K278" s="86">
        <f ca="1">IF(J278&gt;0,MIN(99,$B$12*Q278/(J278*12*(1-Inputs!$H$16))),99)</f>
        <v>8.3959690830625018</v>
      </c>
      <c r="L278" s="84">
        <f t="shared" ca="1" si="45"/>
        <v>0.94464025397501872</v>
      </c>
      <c r="M278" s="84">
        <f t="shared" ca="1" si="46"/>
        <v>0.97459624693208746</v>
      </c>
      <c r="N278" s="84">
        <f t="shared" ca="1" si="47"/>
        <v>1.0524368078593405</v>
      </c>
      <c r="O278" s="84">
        <f t="shared" ca="1" si="48"/>
        <v>1.0446213606993355</v>
      </c>
      <c r="P278" s="84">
        <f t="shared" ca="1" si="49"/>
        <v>1.1591884597814981</v>
      </c>
      <c r="Q278" s="84">
        <f t="shared" ca="1" si="50"/>
        <v>1.3207421629103633</v>
      </c>
    </row>
    <row r="279" spans="1:17" ht="15" customHeight="1" x14ac:dyDescent="0.2">
      <c r="A279" s="15">
        <v>240</v>
      </c>
      <c r="B279" s="84">
        <f t="shared" ca="1" si="53"/>
        <v>0.60290727743875172</v>
      </c>
      <c r="C279" s="84">
        <f t="shared" ca="1" si="53"/>
        <v>0.59681869852463765</v>
      </c>
      <c r="D279" s="84">
        <f t="shared" ca="1" si="53"/>
        <v>3.1373824667861205E-2</v>
      </c>
      <c r="F279" s="84">
        <f t="shared" ca="1" si="54"/>
        <v>0.9649138907233259</v>
      </c>
      <c r="G279" s="84">
        <f t="shared" ca="1" si="54"/>
        <v>0.13046738736829</v>
      </c>
      <c r="H279" s="84">
        <f t="shared" ca="1" si="54"/>
        <v>0.75544820235443155</v>
      </c>
      <c r="J279" s="85">
        <f t="shared" ca="1" si="44"/>
        <v>160301573.48054004</v>
      </c>
      <c r="K279" s="86">
        <f ca="1">IF(J279&gt;0,MIN(99,$B$12*Q279/(J279*12*(1-Inputs!$H$16))),99)</f>
        <v>3.4750046971625164</v>
      </c>
      <c r="L279" s="84">
        <f t="shared" ca="1" si="45"/>
        <v>1.0413330375252599</v>
      </c>
      <c r="M279" s="84">
        <f t="shared" ca="1" si="46"/>
        <v>1.0176473883578325</v>
      </c>
      <c r="N279" s="84">
        <f t="shared" ca="1" si="47"/>
        <v>0.9559673902615804</v>
      </c>
      <c r="O279" s="84">
        <f t="shared" ca="1" si="48"/>
        <v>1.0882337719943052</v>
      </c>
      <c r="P279" s="84">
        <f t="shared" ca="1" si="49"/>
        <v>0.97387212747576202</v>
      </c>
      <c r="Q279" s="84">
        <f t="shared" ca="1" si="50"/>
        <v>1.2221460900358809</v>
      </c>
    </row>
    <row r="280" spans="1:17" ht="15" customHeight="1" x14ac:dyDescent="0.2">
      <c r="A280" s="15">
        <v>241</v>
      </c>
      <c r="B280" s="84">
        <f t="shared" ref="B280:D299" ca="1" si="55">RAND()</f>
        <v>0.54368312911246075</v>
      </c>
      <c r="C280" s="84">
        <f t="shared" ca="1" si="55"/>
        <v>0.36378044272677601</v>
      </c>
      <c r="D280" s="84">
        <f t="shared" ca="1" si="55"/>
        <v>0.62328541266206861</v>
      </c>
      <c r="F280" s="84">
        <f t="shared" ref="F280:H299" ca="1" si="56">RAND()</f>
        <v>0.16162838171674354</v>
      </c>
      <c r="G280" s="84">
        <f t="shared" ca="1" si="56"/>
        <v>0.92322596933989787</v>
      </c>
      <c r="H280" s="84">
        <f t="shared" ca="1" si="56"/>
        <v>0.42208654930650114</v>
      </c>
      <c r="J280" s="85">
        <f t="shared" ca="1" si="44"/>
        <v>125839990.11654393</v>
      </c>
      <c r="K280" s="86">
        <f ca="1">IF(J280&gt;0,MIN(99,$B$12*Q280/(J280*12*(1-Inputs!$H$16))),99)</f>
        <v>3.8633282050682256</v>
      </c>
      <c r="L280" s="84">
        <f t="shared" ca="1" si="45"/>
        <v>1.0245133341931418</v>
      </c>
      <c r="M280" s="84">
        <f t="shared" ca="1" si="46"/>
        <v>1.0102086218621338</v>
      </c>
      <c r="N280" s="84">
        <f t="shared" ca="1" si="47"/>
        <v>1.018574605970056</v>
      </c>
      <c r="O280" s="84">
        <f t="shared" ca="1" si="48"/>
        <v>0.99617085424637852</v>
      </c>
      <c r="P280" s="84">
        <f t="shared" ca="1" si="49"/>
        <v>1.5992844063009426</v>
      </c>
      <c r="Q280" s="84">
        <f t="shared" ca="1" si="50"/>
        <v>1.0666212252384688</v>
      </c>
    </row>
    <row r="281" spans="1:17" ht="15" customHeight="1" x14ac:dyDescent="0.2">
      <c r="A281" s="15">
        <v>242</v>
      </c>
      <c r="B281" s="84">
        <f t="shared" ca="1" si="55"/>
        <v>0.21180828151065545</v>
      </c>
      <c r="C281" s="84">
        <f t="shared" ca="1" si="55"/>
        <v>0.91789242747391564</v>
      </c>
      <c r="D281" s="84">
        <f t="shared" ca="1" si="55"/>
        <v>0.85568543273567377</v>
      </c>
      <c r="F281" s="84">
        <f t="shared" ca="1" si="56"/>
        <v>0.88280063968421674</v>
      </c>
      <c r="G281" s="84">
        <f t="shared" ca="1" si="56"/>
        <v>0.99243524784043857</v>
      </c>
      <c r="H281" s="84">
        <f t="shared" ca="1" si="56"/>
        <v>0.27776199081310826</v>
      </c>
      <c r="J281" s="85">
        <f t="shared" ca="1" si="44"/>
        <v>35369456.998302758</v>
      </c>
      <c r="K281" s="86">
        <f ca="1">IF(J281&gt;0,MIN(99,$B$12*Q281/(J281*12*(1-Inputs!$H$16))),99)</f>
        <v>13.069025171247686</v>
      </c>
      <c r="L281" s="84">
        <f t="shared" ca="1" si="45"/>
        <v>0.92936460627342243</v>
      </c>
      <c r="M281" s="84">
        <f t="shared" ca="1" si="46"/>
        <v>0.96776209312937245</v>
      </c>
      <c r="N281" s="84">
        <f t="shared" ca="1" si="47"/>
        <v>1.0459394459616416</v>
      </c>
      <c r="O281" s="84">
        <f t="shared" ca="1" si="48"/>
        <v>1.0687006545455444</v>
      </c>
      <c r="P281" s="84">
        <f t="shared" ca="1" si="49"/>
        <v>1.7800594453456744</v>
      </c>
      <c r="Q281" s="84">
        <f t="shared" ca="1" si="50"/>
        <v>1.0141484431733683</v>
      </c>
    </row>
    <row r="282" spans="1:17" ht="15" customHeight="1" x14ac:dyDescent="0.2">
      <c r="A282" s="15">
        <v>243</v>
      </c>
      <c r="B282" s="84">
        <f t="shared" ca="1" si="55"/>
        <v>0.93459073420744687</v>
      </c>
      <c r="C282" s="84">
        <f t="shared" ca="1" si="55"/>
        <v>0.73882048349761653</v>
      </c>
      <c r="D282" s="84">
        <f t="shared" ca="1" si="55"/>
        <v>0.14821644108014642</v>
      </c>
      <c r="F282" s="84">
        <f t="shared" ca="1" si="56"/>
        <v>0.53947761604834066</v>
      </c>
      <c r="G282" s="84">
        <f t="shared" ca="1" si="56"/>
        <v>0.99128308756305583</v>
      </c>
      <c r="H282" s="84">
        <f t="shared" ca="1" si="56"/>
        <v>0.13339788982372303</v>
      </c>
      <c r="J282" s="85">
        <f t="shared" ca="1" si="44"/>
        <v>243813993.0554238</v>
      </c>
      <c r="K282" s="86">
        <f ca="1">IF(J282&gt;0,MIN(99,$B$12*Q282/(J282*12*(1-Inputs!$H$16))),99)</f>
        <v>1.7960326873450527</v>
      </c>
      <c r="L282" s="84">
        <f t="shared" ca="1" si="45"/>
        <v>1.1801644895280461</v>
      </c>
      <c r="M282" s="84">
        <f t="shared" ca="1" si="46"/>
        <v>1.0790476837920255</v>
      </c>
      <c r="N282" s="84">
        <f t="shared" ca="1" si="47"/>
        <v>0.97595771266237052</v>
      </c>
      <c r="O282" s="84">
        <f t="shared" ca="1" si="48"/>
        <v>1.0263318470050669</v>
      </c>
      <c r="P282" s="84">
        <f t="shared" ca="1" si="49"/>
        <v>1.7739841945549817</v>
      </c>
      <c r="Q282" s="84">
        <f t="shared" ca="1" si="50"/>
        <v>0.96073321371510201</v>
      </c>
    </row>
    <row r="283" spans="1:17" ht="15" customHeight="1" x14ac:dyDescent="0.2">
      <c r="A283" s="15">
        <v>244</v>
      </c>
      <c r="B283" s="84">
        <f t="shared" ca="1" si="55"/>
        <v>0.30622538040477398</v>
      </c>
      <c r="C283" s="84">
        <f t="shared" ca="1" si="55"/>
        <v>0.89476145050831413</v>
      </c>
      <c r="D283" s="84">
        <f t="shared" ca="1" si="55"/>
        <v>0.36950731886328381</v>
      </c>
      <c r="F283" s="84">
        <f t="shared" ca="1" si="56"/>
        <v>0.62465889013013309</v>
      </c>
      <c r="G283" s="84">
        <f t="shared" ca="1" si="56"/>
        <v>0.8741880371212738</v>
      </c>
      <c r="H283" s="84">
        <f t="shared" ca="1" si="56"/>
        <v>0.599339798573298</v>
      </c>
      <c r="J283" s="85">
        <f t="shared" ca="1" si="44"/>
        <v>81668413.56885688</v>
      </c>
      <c r="K283" s="86">
        <f ca="1">IF(J283&gt;0,MIN(99,$B$12*Q283/(J283*12*(1-Inputs!$H$16))),99)</f>
        <v>6.3685242359815222</v>
      </c>
      <c r="L283" s="84">
        <f t="shared" ca="1" si="45"/>
        <v>0.96060806904748797</v>
      </c>
      <c r="M283" s="84">
        <f t="shared" ca="1" si="46"/>
        <v>0.98174006866916275</v>
      </c>
      <c r="N283" s="84">
        <f t="shared" ca="1" si="47"/>
        <v>0.99739251805010354</v>
      </c>
      <c r="O283" s="84">
        <f t="shared" ca="1" si="48"/>
        <v>1.0346433640739394</v>
      </c>
      <c r="P283" s="84">
        <f t="shared" ca="1" si="49"/>
        <v>1.5254754813452995</v>
      </c>
      <c r="Q283" s="84">
        <f t="shared" ca="1" si="50"/>
        <v>1.1410977964122657</v>
      </c>
    </row>
    <row r="284" spans="1:17" ht="15" customHeight="1" x14ac:dyDescent="0.2">
      <c r="A284" s="15">
        <v>245</v>
      </c>
      <c r="B284" s="84">
        <f t="shared" ca="1" si="55"/>
        <v>0.90380612205733435</v>
      </c>
      <c r="C284" s="84">
        <f t="shared" ca="1" si="55"/>
        <v>9.5391885110877928E-2</v>
      </c>
      <c r="D284" s="84">
        <f t="shared" ca="1" si="55"/>
        <v>0.609515881112347</v>
      </c>
      <c r="F284" s="84">
        <f t="shared" ca="1" si="56"/>
        <v>0.67356222386241504</v>
      </c>
      <c r="G284" s="84">
        <f t="shared" ca="1" si="56"/>
        <v>0.18157179751894725</v>
      </c>
      <c r="H284" s="84">
        <f t="shared" ca="1" si="56"/>
        <v>0.40388787925218983</v>
      </c>
      <c r="J284" s="85">
        <f t="shared" ca="1" si="44"/>
        <v>244033241.87052959</v>
      </c>
      <c r="K284" s="86">
        <f ca="1">IF(J284&gt;0,MIN(99,$B$12*Q284/(J284*12*(1-Inputs!$H$16))),99)</f>
        <v>1.9792071015915185</v>
      </c>
      <c r="L284" s="84">
        <f t="shared" ca="1" si="45"/>
        <v>1.1599927905863439</v>
      </c>
      <c r="M284" s="84">
        <f t="shared" ca="1" si="46"/>
        <v>1.0701264468780354</v>
      </c>
      <c r="N284" s="84">
        <f t="shared" ca="1" si="47"/>
        <v>1.0172739525986487</v>
      </c>
      <c r="O284" s="84">
        <f t="shared" ca="1" si="48"/>
        <v>1.0398473998180617</v>
      </c>
      <c r="P284" s="84">
        <f t="shared" ca="1" si="49"/>
        <v>1.0024983867285162</v>
      </c>
      <c r="Q284" s="84">
        <f t="shared" ca="1" si="50"/>
        <v>1.0596688581734202</v>
      </c>
    </row>
    <row r="285" spans="1:17" ht="15" customHeight="1" x14ac:dyDescent="0.2">
      <c r="A285" s="15">
        <v>246</v>
      </c>
      <c r="B285" s="84">
        <f t="shared" ca="1" si="55"/>
        <v>4.2618714869061991E-2</v>
      </c>
      <c r="C285" s="84">
        <f t="shared" ca="1" si="55"/>
        <v>1.9462009846763495E-3</v>
      </c>
      <c r="D285" s="84">
        <f t="shared" ca="1" si="55"/>
        <v>0.68125960905470306</v>
      </c>
      <c r="F285" s="84">
        <f t="shared" ca="1" si="56"/>
        <v>0.13080360478608188</v>
      </c>
      <c r="G285" s="84">
        <f t="shared" ca="1" si="56"/>
        <v>0.27848255158022517</v>
      </c>
      <c r="H285" s="84">
        <f t="shared" ca="1" si="56"/>
        <v>8.7933171551811351E-2</v>
      </c>
      <c r="J285" s="85">
        <f t="shared" ca="1" si="44"/>
        <v>24958345.16651772</v>
      </c>
      <c r="K285" s="86">
        <f ca="1">IF(J285&gt;0,MIN(99,$B$12*Q285/(J285*12*(1-Inputs!$H$16))),99)</f>
        <v>17.136849478881615</v>
      </c>
      <c r="L285" s="84">
        <f t="shared" ca="1" si="45"/>
        <v>0.84424308935027004</v>
      </c>
      <c r="M285" s="84">
        <f t="shared" ca="1" si="46"/>
        <v>0.92967967921559458</v>
      </c>
      <c r="N285" s="84">
        <f t="shared" ca="1" si="47"/>
        <v>1.0243310900559073</v>
      </c>
      <c r="O285" s="84">
        <f t="shared" ca="1" si="48"/>
        <v>0.99353191016979836</v>
      </c>
      <c r="P285" s="84">
        <f t="shared" ca="1" si="49"/>
        <v>1.0550351057903322</v>
      </c>
      <c r="Q285" s="84">
        <f t="shared" ca="1" si="50"/>
        <v>0.93837560772247064</v>
      </c>
    </row>
    <row r="286" spans="1:17" ht="15" customHeight="1" x14ac:dyDescent="0.2">
      <c r="A286" s="15">
        <v>247</v>
      </c>
      <c r="B286" s="84">
        <f t="shared" ca="1" si="55"/>
        <v>0.97512623755974825</v>
      </c>
      <c r="C286" s="84">
        <f t="shared" ca="1" si="55"/>
        <v>0.72916218011071532</v>
      </c>
      <c r="D286" s="84">
        <f t="shared" ca="1" si="55"/>
        <v>0.75826850994017847</v>
      </c>
      <c r="F286" s="84">
        <f t="shared" ca="1" si="56"/>
        <v>0.22583171658536827</v>
      </c>
      <c r="G286" s="84">
        <f t="shared" ca="1" si="56"/>
        <v>9.8208017001254477E-2</v>
      </c>
      <c r="H286" s="84">
        <f t="shared" ca="1" si="56"/>
        <v>0.13474918133810543</v>
      </c>
      <c r="J286" s="85">
        <f t="shared" ca="1" si="44"/>
        <v>294224950.9986642</v>
      </c>
      <c r="K286" s="86">
        <f ca="1">IF(J286&gt;0,MIN(99,$B$12*Q286/(J286*12*(1-Inputs!$H$16))),99)</f>
        <v>1.4892401266300794</v>
      </c>
      <c r="L286" s="84">
        <f t="shared" ca="1" si="45"/>
        <v>1.216518017000664</v>
      </c>
      <c r="M286" s="84">
        <f t="shared" ca="1" si="46"/>
        <v>1.0951255774875333</v>
      </c>
      <c r="N286" s="84">
        <f t="shared" ca="1" si="47"/>
        <v>1.0328616013013483</v>
      </c>
      <c r="O286" s="84">
        <f t="shared" ca="1" si="48"/>
        <v>1.0009753373619019</v>
      </c>
      <c r="P286" s="84">
        <f t="shared" ca="1" si="49"/>
        <v>0.95279710251314798</v>
      </c>
      <c r="Q286" s="84">
        <f t="shared" ca="1" si="50"/>
        <v>0.9613337069347323</v>
      </c>
    </row>
    <row r="287" spans="1:17" ht="15" customHeight="1" x14ac:dyDescent="0.2">
      <c r="A287" s="15">
        <v>248</v>
      </c>
      <c r="B287" s="84">
        <f t="shared" ca="1" si="55"/>
        <v>0.42556865615560691</v>
      </c>
      <c r="C287" s="84">
        <f t="shared" ca="1" si="55"/>
        <v>0.71078033421549669</v>
      </c>
      <c r="D287" s="84">
        <f t="shared" ca="1" si="55"/>
        <v>0.21980946474607277</v>
      </c>
      <c r="F287" s="84">
        <f t="shared" ca="1" si="56"/>
        <v>0.83237287137311544</v>
      </c>
      <c r="G287" s="84">
        <f t="shared" ca="1" si="56"/>
        <v>0.93993366346336416</v>
      </c>
      <c r="H287" s="84">
        <f t="shared" ca="1" si="56"/>
        <v>0.16778272249806114</v>
      </c>
      <c r="J287" s="85">
        <f t="shared" ca="1" si="44"/>
        <v>99551649.489624307</v>
      </c>
      <c r="K287" s="86">
        <f ca="1">IF(J287&gt;0,MIN(99,$B$12*Q287/(J287*12*(1-Inputs!$H$16))),99)</f>
        <v>4.464820217374557</v>
      </c>
      <c r="L287" s="84">
        <f t="shared" ca="1" si="45"/>
        <v>0.99380693274552745</v>
      </c>
      <c r="M287" s="84">
        <f t="shared" ca="1" si="46"/>
        <v>0.99659286869570873</v>
      </c>
      <c r="N287" s="84">
        <f t="shared" ca="1" si="47"/>
        <v>0.98402160503035074</v>
      </c>
      <c r="O287" s="84">
        <f t="shared" ca="1" si="48"/>
        <v>1.0602490447658526</v>
      </c>
      <c r="P287" s="84">
        <f t="shared" ca="1" si="49"/>
        <v>1.629710878387314</v>
      </c>
      <c r="Q287" s="84">
        <f t="shared" ca="1" si="50"/>
        <v>0.97517459316942201</v>
      </c>
    </row>
    <row r="288" spans="1:17" ht="15" customHeight="1" x14ac:dyDescent="0.2">
      <c r="A288" s="15">
        <v>249</v>
      </c>
      <c r="B288" s="84">
        <f t="shared" ca="1" si="55"/>
        <v>0.32214993068312558</v>
      </c>
      <c r="C288" s="84">
        <f t="shared" ca="1" si="55"/>
        <v>0.62255734869310531</v>
      </c>
      <c r="D288" s="84">
        <f t="shared" ca="1" si="55"/>
        <v>5.433428389958761E-2</v>
      </c>
      <c r="F288" s="84">
        <f t="shared" ca="1" si="56"/>
        <v>0.75279503094499323</v>
      </c>
      <c r="G288" s="84">
        <f t="shared" ca="1" si="56"/>
        <v>0.12515385161507686</v>
      </c>
      <c r="H288" s="84">
        <f t="shared" ca="1" si="56"/>
        <v>0.50194189297605518</v>
      </c>
      <c r="J288" s="85">
        <f t="shared" ca="1" si="44"/>
        <v>110983976.5439627</v>
      </c>
      <c r="K288" s="86">
        <f ca="1">IF(J288&gt;0,MIN(99,$B$12*Q288/(J288*12*(1-Inputs!$H$16))),99)</f>
        <v>4.5114207457796622</v>
      </c>
      <c r="L288" s="84">
        <f t="shared" ca="1" si="45"/>
        <v>0.96537296867426226</v>
      </c>
      <c r="M288" s="84">
        <f t="shared" ca="1" si="46"/>
        <v>0.98387183142907975</v>
      </c>
      <c r="N288" s="84">
        <f t="shared" ca="1" si="47"/>
        <v>0.96135013573031192</v>
      </c>
      <c r="O288" s="84">
        <f t="shared" ca="1" si="48"/>
        <v>1.049189947128651</v>
      </c>
      <c r="P288" s="84">
        <f t="shared" ca="1" si="49"/>
        <v>0.97059689577179697</v>
      </c>
      <c r="Q288" s="84">
        <f t="shared" ca="1" si="50"/>
        <v>1.0985088376337924</v>
      </c>
    </row>
    <row r="289" spans="1:17" ht="15" customHeight="1" x14ac:dyDescent="0.2">
      <c r="A289" s="15">
        <v>250</v>
      </c>
      <c r="B289" s="84">
        <f t="shared" ca="1" si="55"/>
        <v>0.65394680455336407</v>
      </c>
      <c r="C289" s="84">
        <f t="shared" ca="1" si="55"/>
        <v>0.9752559156327465</v>
      </c>
      <c r="D289" s="84">
        <f t="shared" ca="1" si="55"/>
        <v>0.38155677497759088</v>
      </c>
      <c r="F289" s="84">
        <f t="shared" ca="1" si="56"/>
        <v>9.3048977792765775E-2</v>
      </c>
      <c r="G289" s="84">
        <f t="shared" ca="1" si="56"/>
        <v>0.74953137370519518</v>
      </c>
      <c r="H289" s="84">
        <f t="shared" ca="1" si="56"/>
        <v>0.14113230259012532</v>
      </c>
      <c r="J289" s="85">
        <f t="shared" ca="1" si="44"/>
        <v>163083730.04614353</v>
      </c>
      <c r="K289" s="86">
        <f ca="1">IF(J289&gt;0,MIN(99,$B$12*Q289/(J289*12*(1-Inputs!$H$16))),99)</f>
        <v>2.6946055513466085</v>
      </c>
      <c r="L289" s="84">
        <f t="shared" ca="1" si="45"/>
        <v>1.0568662924399064</v>
      </c>
      <c r="M289" s="84">
        <f t="shared" ca="1" si="46"/>
        <v>1.0245172037134682</v>
      </c>
      <c r="N289" s="84">
        <f t="shared" ca="1" si="47"/>
        <v>0.99833804078780719</v>
      </c>
      <c r="O289" s="84">
        <f t="shared" ca="1" si="48"/>
        <v>0.98982947836497093</v>
      </c>
      <c r="P289" s="84">
        <f t="shared" ca="1" si="49"/>
        <v>1.386861417585604</v>
      </c>
      <c r="Q289" s="84">
        <f t="shared" ca="1" si="50"/>
        <v>0.96413040185385668</v>
      </c>
    </row>
    <row r="290" spans="1:17" ht="15" customHeight="1" x14ac:dyDescent="0.2">
      <c r="A290" s="15">
        <v>251</v>
      </c>
      <c r="B290" s="84">
        <f t="shared" ca="1" si="55"/>
        <v>0.19872527751666047</v>
      </c>
      <c r="C290" s="84">
        <f t="shared" ca="1" si="55"/>
        <v>0.15922288621002134</v>
      </c>
      <c r="D290" s="84">
        <f t="shared" ca="1" si="55"/>
        <v>0.46006177786090541</v>
      </c>
      <c r="F290" s="84">
        <f t="shared" ca="1" si="56"/>
        <v>0.59126435272428934</v>
      </c>
      <c r="G290" s="84">
        <f t="shared" ca="1" si="56"/>
        <v>0.19788371516154579</v>
      </c>
      <c r="H290" s="84">
        <f t="shared" ca="1" si="56"/>
        <v>0.51438669694965022</v>
      </c>
      <c r="J290" s="85">
        <f t="shared" ca="1" si="44"/>
        <v>75723169.096725419</v>
      </c>
      <c r="K290" s="86">
        <f ca="1">IF(J290&gt;0,MIN(99,$B$12*Q290/(J290*12*(1-Inputs!$H$16))),99)</f>
        <v>6.6434455901469249</v>
      </c>
      <c r="L290" s="84">
        <f t="shared" ca="1" si="45"/>
        <v>0.92452121495167261</v>
      </c>
      <c r="M290" s="84">
        <f t="shared" ca="1" si="46"/>
        <v>0.96559521406367399</v>
      </c>
      <c r="N290" s="84">
        <f t="shared" ca="1" si="47"/>
        <v>1.0044133567385845</v>
      </c>
      <c r="O290" s="84">
        <f t="shared" ca="1" si="48"/>
        <v>1.0312826424414185</v>
      </c>
      <c r="P290" s="84">
        <f t="shared" ca="1" si="49"/>
        <v>1.0111144404564376</v>
      </c>
      <c r="Q290" s="84">
        <f t="shared" ca="1" si="50"/>
        <v>1.1037027007574478</v>
      </c>
    </row>
    <row r="291" spans="1:17" ht="15" customHeight="1" x14ac:dyDescent="0.2">
      <c r="A291" s="15">
        <v>252</v>
      </c>
      <c r="B291" s="84">
        <f t="shared" ca="1" si="55"/>
        <v>0.12276951930774527</v>
      </c>
      <c r="C291" s="84">
        <f t="shared" ca="1" si="55"/>
        <v>0.40997428437526318</v>
      </c>
      <c r="D291" s="84">
        <f t="shared" ca="1" si="55"/>
        <v>0.41447088235489693</v>
      </c>
      <c r="F291" s="84">
        <f t="shared" ca="1" si="56"/>
        <v>0.42495071403854445</v>
      </c>
      <c r="G291" s="84">
        <f t="shared" ca="1" si="56"/>
        <v>1.10894669236834E-2</v>
      </c>
      <c r="H291" s="84">
        <f t="shared" ca="1" si="56"/>
        <v>0.22406710484294545</v>
      </c>
      <c r="J291" s="85">
        <f t="shared" ca="1" si="44"/>
        <v>63489682.532033548</v>
      </c>
      <c r="K291" s="86">
        <f ca="1">IF(J291&gt;0,MIN(99,$B$12*Q291/(J291*12*(1-Inputs!$H$16))),99)</f>
        <v>7.1497510837909095</v>
      </c>
      <c r="L291" s="84">
        <f t="shared" ca="1" si="45"/>
        <v>0.89252264004063786</v>
      </c>
      <c r="M291" s="84">
        <f t="shared" ca="1" si="46"/>
        <v>0.95127940980570724</v>
      </c>
      <c r="N291" s="84">
        <f t="shared" ca="1" si="47"/>
        <v>1.0008572101275877</v>
      </c>
      <c r="O291" s="84">
        <f t="shared" ca="1" si="48"/>
        <v>1.0162897982217063</v>
      </c>
      <c r="P291" s="84">
        <f t="shared" ca="1" si="49"/>
        <v>0.86109729457419715</v>
      </c>
      <c r="Q291" s="84">
        <f t="shared" ca="1" si="50"/>
        <v>0.99591900294287039</v>
      </c>
    </row>
    <row r="292" spans="1:17" ht="15" customHeight="1" x14ac:dyDescent="0.2">
      <c r="A292" s="15">
        <v>253</v>
      </c>
      <c r="B292" s="84">
        <f t="shared" ca="1" si="55"/>
        <v>0.99419476781061822</v>
      </c>
      <c r="C292" s="84">
        <f t="shared" ca="1" si="55"/>
        <v>0.42784738820239354</v>
      </c>
      <c r="D292" s="84">
        <f t="shared" ca="1" si="55"/>
        <v>0.2300300278167835</v>
      </c>
      <c r="F292" s="84">
        <f t="shared" ca="1" si="56"/>
        <v>0.39169294608539451</v>
      </c>
      <c r="G292" s="84">
        <f t="shared" ca="1" si="56"/>
        <v>0.47350659343734003</v>
      </c>
      <c r="H292" s="84">
        <f t="shared" ca="1" si="56"/>
        <v>0.45434498075309881</v>
      </c>
      <c r="J292" s="85">
        <f t="shared" ca="1" si="44"/>
        <v>321831816.09410268</v>
      </c>
      <c r="K292" s="86">
        <f ca="1">IF(J292&gt;0,MIN(99,$B$12*Q292/(J292*12*(1-Inputs!$H$16))),99)</f>
        <v>1.5284485314877874</v>
      </c>
      <c r="L292" s="84">
        <f t="shared" ca="1" si="45"/>
        <v>1.2467472226844865</v>
      </c>
      <c r="M292" s="84">
        <f t="shared" ca="1" si="46"/>
        <v>1.1084948978609197</v>
      </c>
      <c r="N292" s="84">
        <f t="shared" ca="1" si="47"/>
        <v>0.98505794708148875</v>
      </c>
      <c r="O292" s="84">
        <f t="shared" ca="1" si="48"/>
        <v>1.0135657419342499</v>
      </c>
      <c r="P292" s="84">
        <f t="shared" ca="1" si="49"/>
        <v>1.1727808721581647</v>
      </c>
      <c r="Q292" s="84">
        <f t="shared" ca="1" si="50"/>
        <v>1.0792193821224378</v>
      </c>
    </row>
    <row r="293" spans="1:17" ht="15" customHeight="1" x14ac:dyDescent="0.2">
      <c r="A293" s="15">
        <v>254</v>
      </c>
      <c r="B293" s="84">
        <f t="shared" ca="1" si="55"/>
        <v>0.47971947734173936</v>
      </c>
      <c r="C293" s="84">
        <f t="shared" ca="1" si="55"/>
        <v>0.235216145044012</v>
      </c>
      <c r="D293" s="84">
        <f t="shared" ca="1" si="55"/>
        <v>0.49723122925066721</v>
      </c>
      <c r="F293" s="84">
        <f t="shared" ca="1" si="56"/>
        <v>0.76987455972681484</v>
      </c>
      <c r="G293" s="84">
        <f t="shared" ca="1" si="56"/>
        <v>0.6510682393823416</v>
      </c>
      <c r="H293" s="84">
        <f t="shared" ca="1" si="56"/>
        <v>3.1067730473191779E-2</v>
      </c>
      <c r="J293" s="85">
        <f t="shared" ca="1" si="44"/>
        <v>118178552.85472544</v>
      </c>
      <c r="K293" s="86">
        <f ca="1">IF(J293&gt;0,MIN(99,$B$12*Q293/(J293*12*(1-Inputs!$H$16))),99)</f>
        <v>3.4682013906385021</v>
      </c>
      <c r="L293" s="84">
        <f t="shared" ca="1" si="45"/>
        <v>1.0075330452831399</v>
      </c>
      <c r="M293" s="84">
        <f t="shared" ca="1" si="46"/>
        <v>1.0026988339819989</v>
      </c>
      <c r="N293" s="84">
        <f t="shared" ca="1" si="47"/>
        <v>1.0074253421995099</v>
      </c>
      <c r="O293" s="84">
        <f t="shared" ca="1" si="48"/>
        <v>1.0513927403293015</v>
      </c>
      <c r="P293" s="84">
        <f t="shared" ca="1" si="49"/>
        <v>1.3010542725933096</v>
      </c>
      <c r="Q293" s="84">
        <f t="shared" ca="1" si="50"/>
        <v>0.89923440961659429</v>
      </c>
    </row>
    <row r="294" spans="1:17" ht="15" customHeight="1" x14ac:dyDescent="0.2">
      <c r="A294" s="15">
        <v>255</v>
      </c>
      <c r="B294" s="84">
        <f t="shared" ca="1" si="55"/>
        <v>0.34618176095866016</v>
      </c>
      <c r="C294" s="84">
        <f t="shared" ca="1" si="55"/>
        <v>0.52582041290575188</v>
      </c>
      <c r="D294" s="84">
        <f t="shared" ca="1" si="55"/>
        <v>2.2105929538886904E-2</v>
      </c>
      <c r="F294" s="84">
        <f t="shared" ca="1" si="56"/>
        <v>0.34755813003952707</v>
      </c>
      <c r="G294" s="84">
        <f t="shared" ca="1" si="56"/>
        <v>0.30607753958107098</v>
      </c>
      <c r="H294" s="84">
        <f t="shared" ca="1" si="56"/>
        <v>0.86974153726115178</v>
      </c>
      <c r="J294" s="85">
        <f t="shared" ca="1" si="44"/>
        <v>120335382.35269178</v>
      </c>
      <c r="K294" s="86">
        <f ca="1">IF(J294&gt;0,MIN(99,$B$12*Q294/(J294*12*(1-Inputs!$H$16))),99)</f>
        <v>4.925375330463412</v>
      </c>
      <c r="L294" s="84">
        <f t="shared" ca="1" si="45"/>
        <v>0.97234601112728192</v>
      </c>
      <c r="M294" s="84">
        <f t="shared" ca="1" si="46"/>
        <v>0.98699149257391083</v>
      </c>
      <c r="N294" s="84">
        <f t="shared" ca="1" si="47"/>
        <v>0.95323171539594187</v>
      </c>
      <c r="O294" s="84">
        <f t="shared" ca="1" si="48"/>
        <v>1.0100632960585405</v>
      </c>
      <c r="P294" s="84">
        <f t="shared" ca="1" si="49"/>
        <v>1.0706318332955931</v>
      </c>
      <c r="Q294" s="84">
        <f t="shared" ca="1" si="50"/>
        <v>1.3003570436905094</v>
      </c>
    </row>
    <row r="295" spans="1:17" ht="15" customHeight="1" x14ac:dyDescent="0.2">
      <c r="A295" s="15">
        <v>256</v>
      </c>
      <c r="B295" s="84">
        <f t="shared" ca="1" si="55"/>
        <v>0.53247418873907615</v>
      </c>
      <c r="C295" s="84">
        <f t="shared" ca="1" si="55"/>
        <v>0.30315817528528788</v>
      </c>
      <c r="D295" s="84">
        <f t="shared" ca="1" si="55"/>
        <v>0.70522512580426677</v>
      </c>
      <c r="F295" s="84">
        <f t="shared" ca="1" si="56"/>
        <v>0.64228752224144614</v>
      </c>
      <c r="G295" s="84">
        <f t="shared" ca="1" si="56"/>
        <v>0.63551084275567915</v>
      </c>
      <c r="H295" s="84">
        <f t="shared" ca="1" si="56"/>
        <v>4.5827515941937458E-3</v>
      </c>
      <c r="J295" s="85">
        <f t="shared" ca="1" si="44"/>
        <v>126827944.48001944</v>
      </c>
      <c r="K295" s="86">
        <f ca="1">IF(J295&gt;0,MIN(99,$B$12*Q295/(J295*12*(1-Inputs!$H$16))),99)</f>
        <v>3.1047073912886232</v>
      </c>
      <c r="L295" s="84">
        <f t="shared" ca="1" si="45"/>
        <v>1.0214555284602382</v>
      </c>
      <c r="M295" s="84">
        <f t="shared" ca="1" si="46"/>
        <v>1.0088562613366754</v>
      </c>
      <c r="N295" s="84">
        <f t="shared" ca="1" si="47"/>
        <v>1.0268629276345673</v>
      </c>
      <c r="O295" s="84">
        <f t="shared" ca="1" si="48"/>
        <v>1.0364778737712275</v>
      </c>
      <c r="P295" s="84">
        <f t="shared" ca="1" si="49"/>
        <v>1.2886686403360597</v>
      </c>
      <c r="Q295" s="84">
        <f t="shared" ca="1" si="50"/>
        <v>0.86390417102896611</v>
      </c>
    </row>
    <row r="296" spans="1:17" ht="15" customHeight="1" x14ac:dyDescent="0.2">
      <c r="A296" s="15">
        <v>257</v>
      </c>
      <c r="B296" s="84">
        <f t="shared" ca="1" si="55"/>
        <v>0.32749616301514262</v>
      </c>
      <c r="C296" s="84">
        <f t="shared" ca="1" si="55"/>
        <v>0.30387811863124203</v>
      </c>
      <c r="D296" s="84">
        <f t="shared" ca="1" si="55"/>
        <v>0.44716187025063148</v>
      </c>
      <c r="F296" s="84">
        <f t="shared" ca="1" si="56"/>
        <v>0.44123008120180618</v>
      </c>
      <c r="G296" s="84">
        <f t="shared" ca="1" si="56"/>
        <v>0.54221788096498125</v>
      </c>
      <c r="H296" s="84">
        <f t="shared" ca="1" si="56"/>
        <v>0.32618633403898234</v>
      </c>
      <c r="J296" s="85">
        <f t="shared" ref="J296:J359" ca="1" si="57">$B$5*L296*M296-$B$6*L296*N296-$B$7*L296*M296-$B$8*L296*M296-$B$9*O296-$B$10*P296-$B$11</f>
        <v>99205540.776300743</v>
      </c>
      <c r="K296" s="86">
        <f ca="1">IF(J296&gt;0,MIN(99,$B$12*Q296/(J296*12*(1-Inputs!$H$16))),99)</f>
        <v>4.737413468164192</v>
      </c>
      <c r="L296" s="84">
        <f t="shared" ref="L296:L359" ca="1" si="58">IF($D$16=$B$16,$C$16,IF(B296&lt;($C$16-$B$16)/($D$16-$B$16),$B$16+SQRT(B296*($D$16-$B$16)*($C$16-$B$16)),$D$16-SQRT((1-B296)*($D$16-$B$16)*($D$16-$C$16))))</f>
        <v>0.96694613395221984</v>
      </c>
      <c r="M296" s="84">
        <f t="shared" ref="M296:M359" ca="1" si="59">IF($D$17=$B$17,$C$17,IF(IF($B$33=1,B296,C296)&lt;($C$17-$B$17)/($D$17-$B$17),$B$17+SQRT(IF($B$33=1,B296,C296)*($D$17-$B$17)*($C$17-$B$17)),$D$17-SQRT((1-IF($B$33=1,B296,C296))*($D$17-$B$17)*($D$17-$C$17))))</f>
        <v>0.98457564796613761</v>
      </c>
      <c r="N296" s="84">
        <f t="shared" ref="N296:N359" ca="1" si="60">IF($D$18=$B$18,$C$18,IF(D296&lt;($C$18-$B$18)/($D$18-$B$18),$B$18+SQRT(D296*($D$18-$B$18)*($C$18-$B$18)),$D$18-SQRT((1-D296)*($D$18-$B$18)*($D$18-$C$18))))</f>
        <v>1.0033923999331238</v>
      </c>
      <c r="O296" s="84">
        <f t="shared" ref="O296:O359" ca="1" si="61">IF($D$19=$B$19,$C$19,IF(F296&lt;($C$19-$B$19)/($D$19-$B$19),$B$19+SQRT(F296*($D$19-$B$19)*($C$19-$B$19)),$D$19-SQRT((1-F296)*($D$19-$B$19)*($D$19-$C$19))))</f>
        <v>1.0176519160058721</v>
      </c>
      <c r="P296" s="84">
        <f t="shared" ref="P296:P359" ca="1" si="62">IF($D$20=$B$20,$C$20,IF(G296&lt;($C$20-$B$20)/($D$20-$B$20),$B$20+SQRT(G296*($D$20-$B$20)*($C$20-$B$20)),$D$20-SQRT((1-G296)*($D$20-$B$20)*($D$20-$C$20))))</f>
        <v>1.2193784283480207</v>
      </c>
      <c r="Q296" s="84">
        <f t="shared" ref="Q296:Q359" ca="1" si="63">IF($D$21=$B$21,$C$21,IF(H296&lt;($C$21-$B$21)/($D$21-$B$21),$B$21+SQRT(H296*($D$21-$B$21)*($C$21-$B$21)),$D$21-SQRT((1-H296)*($D$21-$B$21)*($D$21-$C$21))))</f>
        <v>1.0311151326931947</v>
      </c>
    </row>
    <row r="297" spans="1:17" ht="15" customHeight="1" x14ac:dyDescent="0.2">
      <c r="A297" s="15">
        <v>258</v>
      </c>
      <c r="B297" s="84">
        <f t="shared" ca="1" si="55"/>
        <v>0.66907663957610852</v>
      </c>
      <c r="C297" s="84">
        <f t="shared" ca="1" si="55"/>
        <v>0.35176203446770415</v>
      </c>
      <c r="D297" s="84">
        <f t="shared" ca="1" si="55"/>
        <v>7.1701514794136112E-2</v>
      </c>
      <c r="F297" s="84">
        <f t="shared" ca="1" si="56"/>
        <v>0.73921472230868146</v>
      </c>
      <c r="G297" s="84">
        <f t="shared" ca="1" si="56"/>
        <v>0.26218868827232789</v>
      </c>
      <c r="H297" s="84">
        <f t="shared" ca="1" si="56"/>
        <v>0.92607112960897986</v>
      </c>
      <c r="J297" s="85">
        <f t="shared" ca="1" si="57"/>
        <v>177608067.58160388</v>
      </c>
      <c r="K297" s="86">
        <f ca="1">IF(J297&gt;0,MIN(99,$B$12*Q297/(J297*12*(1-Inputs!$H$16))),99)</f>
        <v>3.4708279159705571</v>
      </c>
      <c r="L297" s="84">
        <f t="shared" ca="1" si="58"/>
        <v>1.0616881108370069</v>
      </c>
      <c r="M297" s="84">
        <f t="shared" ca="1" si="59"/>
        <v>1.0266497253419682</v>
      </c>
      <c r="N297" s="84">
        <f t="shared" ca="1" si="60"/>
        <v>0.96468479051017753</v>
      </c>
      <c r="O297" s="84">
        <f t="shared" ca="1" si="61"/>
        <v>1.0474922562389815</v>
      </c>
      <c r="P297" s="84">
        <f t="shared" ca="1" si="62"/>
        <v>1.0459656208784001</v>
      </c>
      <c r="Q297" s="84">
        <f t="shared" ca="1" si="63"/>
        <v>1.3524639952750164</v>
      </c>
    </row>
    <row r="298" spans="1:17" ht="15" customHeight="1" x14ac:dyDescent="0.2">
      <c r="A298" s="15">
        <v>259</v>
      </c>
      <c r="B298" s="84">
        <f t="shared" ca="1" si="55"/>
        <v>0.55053963380946591</v>
      </c>
      <c r="C298" s="84">
        <f t="shared" ca="1" si="55"/>
        <v>7.9312634898793699E-2</v>
      </c>
      <c r="D298" s="84">
        <f t="shared" ca="1" si="55"/>
        <v>0.89508099825187493</v>
      </c>
      <c r="F298" s="84">
        <f t="shared" ca="1" si="56"/>
        <v>0.13481945251911964</v>
      </c>
      <c r="G298" s="84">
        <f t="shared" ca="1" si="56"/>
        <v>0.86447827941219846</v>
      </c>
      <c r="H298" s="84">
        <f t="shared" ca="1" si="56"/>
        <v>0.18904577827471603</v>
      </c>
      <c r="J298" s="85">
        <f t="shared" ca="1" si="57"/>
        <v>123359428.5463178</v>
      </c>
      <c r="K298" s="86">
        <f ca="1">IF(J298&gt;0,MIN(99,$B$12*Q298/(J298*12*(1-Inputs!$H$16))),99)</f>
        <v>3.6334095488494444</v>
      </c>
      <c r="L298" s="84">
        <f t="shared" ca="1" si="58"/>
        <v>1.0264023323697535</v>
      </c>
      <c r="M298" s="84">
        <f t="shared" ca="1" si="59"/>
        <v>1.0110440596858072</v>
      </c>
      <c r="N298" s="84">
        <f t="shared" ca="1" si="60"/>
        <v>1.0524887050087632</v>
      </c>
      <c r="O298" s="84">
        <f t="shared" ca="1" si="61"/>
        <v>0.99389215166607203</v>
      </c>
      <c r="P298" s="84">
        <f t="shared" ca="1" si="62"/>
        <v>1.5127018600927236</v>
      </c>
      <c r="Q298" s="84">
        <f t="shared" ca="1" si="63"/>
        <v>0.98336929471381118</v>
      </c>
    </row>
    <row r="299" spans="1:17" ht="15" customHeight="1" x14ac:dyDescent="0.2">
      <c r="A299" s="15">
        <v>260</v>
      </c>
      <c r="B299" s="84">
        <f t="shared" ca="1" si="55"/>
        <v>0.47485128381078423</v>
      </c>
      <c r="C299" s="84">
        <f t="shared" ca="1" si="55"/>
        <v>0.71154650911252659</v>
      </c>
      <c r="D299" s="84">
        <f t="shared" ca="1" si="55"/>
        <v>0.63379113395974851</v>
      </c>
      <c r="F299" s="84">
        <f t="shared" ca="1" si="56"/>
        <v>0.51431357624344065</v>
      </c>
      <c r="G299" s="84">
        <f t="shared" ca="1" si="56"/>
        <v>0.57111767653214529</v>
      </c>
      <c r="H299" s="84">
        <f t="shared" ca="1" si="56"/>
        <v>0.18372746456099254</v>
      </c>
      <c r="J299" s="85">
        <f t="shared" ca="1" si="57"/>
        <v>121530891.87583555</v>
      </c>
      <c r="K299" s="86">
        <f ca="1">IF(J299&gt;0,MIN(99,$B$12*Q299/(J299*12*(1-Inputs!$H$16))),99)</f>
        <v>3.6805595263314466</v>
      </c>
      <c r="L299" s="84">
        <f t="shared" ca="1" si="58"/>
        <v>1.0062846329738153</v>
      </c>
      <c r="M299" s="84">
        <f t="shared" ca="1" si="59"/>
        <v>1.0021467048822132</v>
      </c>
      <c r="N299" s="84">
        <f t="shared" ca="1" si="60"/>
        <v>1.0195830308329548</v>
      </c>
      <c r="O299" s="84">
        <f t="shared" ca="1" si="61"/>
        <v>1.0240268883843133</v>
      </c>
      <c r="P299" s="84">
        <f t="shared" ca="1" si="62"/>
        <v>1.2400180235932154</v>
      </c>
      <c r="Q299" s="84">
        <f t="shared" ca="1" si="63"/>
        <v>0.98136479109294183</v>
      </c>
    </row>
    <row r="300" spans="1:17" ht="15" customHeight="1" x14ac:dyDescent="0.2">
      <c r="A300" s="15">
        <v>261</v>
      </c>
      <c r="B300" s="84">
        <f t="shared" ref="B300:D319" ca="1" si="64">RAND()</f>
        <v>0.81116814338388055</v>
      </c>
      <c r="C300" s="84">
        <f t="shared" ca="1" si="64"/>
        <v>0.88763653201539228</v>
      </c>
      <c r="D300" s="84">
        <f t="shared" ca="1" si="64"/>
        <v>0.54172465151578009</v>
      </c>
      <c r="F300" s="84">
        <f t="shared" ref="F300:H319" ca="1" si="65">RAND()</f>
        <v>3.969332785665769E-2</v>
      </c>
      <c r="G300" s="84">
        <f t="shared" ca="1" si="65"/>
        <v>0.43357828932291442</v>
      </c>
      <c r="H300" s="84">
        <f t="shared" ca="1" si="65"/>
        <v>0.1048689738161408</v>
      </c>
      <c r="J300" s="85">
        <f t="shared" ca="1" si="57"/>
        <v>213414918.76676434</v>
      </c>
      <c r="K300" s="86">
        <f ca="1">IF(J300&gt;0,MIN(99,$B$12*Q300/(J300*12*(1-Inputs!$H$16))),99)</f>
        <v>2.0230860450390855</v>
      </c>
      <c r="L300" s="84">
        <f t="shared" ca="1" si="58"/>
        <v>1.1138653349377718</v>
      </c>
      <c r="M300" s="84">
        <f t="shared" ca="1" si="59"/>
        <v>1.0497258866044663</v>
      </c>
      <c r="N300" s="84">
        <f t="shared" ca="1" si="60"/>
        <v>1.0111812891383307</v>
      </c>
      <c r="O300" s="84">
        <f t="shared" ca="1" si="61"/>
        <v>0.98291167415161484</v>
      </c>
      <c r="P300" s="84">
        <f t="shared" ca="1" si="62"/>
        <v>1.1470953440952005</v>
      </c>
      <c r="Q300" s="84">
        <f t="shared" ca="1" si="63"/>
        <v>0.94725972211682852</v>
      </c>
    </row>
    <row r="301" spans="1:17" ht="15" customHeight="1" x14ac:dyDescent="0.2">
      <c r="A301" s="15">
        <v>262</v>
      </c>
      <c r="B301" s="84">
        <f t="shared" ca="1" si="64"/>
        <v>0.35596867650491504</v>
      </c>
      <c r="C301" s="84">
        <f t="shared" ca="1" si="64"/>
        <v>0.77667243875173009</v>
      </c>
      <c r="D301" s="84">
        <f t="shared" ca="1" si="64"/>
        <v>0.527473607802315</v>
      </c>
      <c r="F301" s="84">
        <f t="shared" ca="1" si="65"/>
        <v>0.26937800949852431</v>
      </c>
      <c r="G301" s="84">
        <f t="shared" ca="1" si="65"/>
        <v>0.28666465971316224</v>
      </c>
      <c r="H301" s="84">
        <f t="shared" ca="1" si="65"/>
        <v>0.24144959703041324</v>
      </c>
      <c r="J301" s="85">
        <f t="shared" ca="1" si="57"/>
        <v>111796024.63478963</v>
      </c>
      <c r="K301" s="86">
        <f ca="1">IF(J301&gt;0,MIN(99,$B$12*Q301/(J301*12*(1-Inputs!$H$16))),99)</f>
        <v>4.0843495732443778</v>
      </c>
      <c r="L301" s="84">
        <f t="shared" ca="1" si="58"/>
        <v>0.97511615653615513</v>
      </c>
      <c r="M301" s="84">
        <f t="shared" ca="1" si="59"/>
        <v>0.98823082462384715</v>
      </c>
      <c r="N301" s="84">
        <f t="shared" ca="1" si="60"/>
        <v>1.0099591809536197</v>
      </c>
      <c r="O301" s="84">
        <f t="shared" ca="1" si="61"/>
        <v>1.004138318009886</v>
      </c>
      <c r="P301" s="84">
        <f t="shared" ca="1" si="62"/>
        <v>1.0596280552214852</v>
      </c>
      <c r="Q301" s="84">
        <f t="shared" ca="1" si="63"/>
        <v>1.0017958026429246</v>
      </c>
    </row>
    <row r="302" spans="1:17" ht="15" customHeight="1" x14ac:dyDescent="0.2">
      <c r="A302" s="15">
        <v>263</v>
      </c>
      <c r="B302" s="84">
        <f t="shared" ca="1" si="64"/>
        <v>0.947347880242283</v>
      </c>
      <c r="C302" s="84">
        <f t="shared" ca="1" si="64"/>
        <v>4.5853125792651772E-2</v>
      </c>
      <c r="D302" s="84">
        <f t="shared" ca="1" si="64"/>
        <v>0.33665156262387919</v>
      </c>
      <c r="F302" s="84">
        <f t="shared" ca="1" si="65"/>
        <v>0.49325612892124215</v>
      </c>
      <c r="G302" s="84">
        <f t="shared" ca="1" si="65"/>
        <v>0.92418741340030175</v>
      </c>
      <c r="H302" s="84">
        <f t="shared" ca="1" si="65"/>
        <v>0.94127444484188882</v>
      </c>
      <c r="J302" s="85">
        <f t="shared" ca="1" si="57"/>
        <v>254228857.10383147</v>
      </c>
      <c r="K302" s="86">
        <f ca="1">IF(J302&gt;0,MIN(99,$B$12*Q302/(J302*12*(1-Inputs!$H$16))),99)</f>
        <v>2.4558003999925333</v>
      </c>
      <c r="L302" s="84">
        <f t="shared" ca="1" si="58"/>
        <v>1.1899137704050409</v>
      </c>
      <c r="M302" s="84">
        <f t="shared" ca="1" si="59"/>
        <v>1.0833594497318242</v>
      </c>
      <c r="N302" s="84">
        <f t="shared" ca="1" si="60"/>
        <v>0.99473297558171636</v>
      </c>
      <c r="O302" s="84">
        <f t="shared" ca="1" si="61"/>
        <v>1.022143594838995</v>
      </c>
      <c r="P302" s="84">
        <f t="shared" ca="1" si="62"/>
        <v>1.6009393998696082</v>
      </c>
      <c r="Q302" s="84">
        <f t="shared" ca="1" si="63"/>
        <v>1.3697706370461589</v>
      </c>
    </row>
    <row r="303" spans="1:17" ht="15" customHeight="1" x14ac:dyDescent="0.2">
      <c r="A303" s="15">
        <v>264</v>
      </c>
      <c r="B303" s="84">
        <f t="shared" ca="1" si="64"/>
        <v>0.6874456935255383</v>
      </c>
      <c r="C303" s="84">
        <f t="shared" ca="1" si="64"/>
        <v>0.53356209636087182</v>
      </c>
      <c r="D303" s="84">
        <f t="shared" ca="1" si="64"/>
        <v>0.95860551753475465</v>
      </c>
      <c r="F303" s="84">
        <f t="shared" ca="1" si="65"/>
        <v>0.71057898462654034</v>
      </c>
      <c r="G303" s="84">
        <f t="shared" ca="1" si="65"/>
        <v>0.10577647013819524</v>
      </c>
      <c r="H303" s="84">
        <f t="shared" ca="1" si="65"/>
        <v>0.21630080826269826</v>
      </c>
      <c r="J303" s="85">
        <f t="shared" ca="1" si="57"/>
        <v>162616604.54240447</v>
      </c>
      <c r="K303" s="86">
        <f ca="1">IF(J303&gt;0,MIN(99,$B$12*Q303/(J303*12*(1-Inputs!$H$16))),99)</f>
        <v>2.7838970265937371</v>
      </c>
      <c r="L303" s="84">
        <f t="shared" ca="1" si="58"/>
        <v>1.0676929399652813</v>
      </c>
      <c r="M303" s="84">
        <f t="shared" ca="1" si="59"/>
        <v>1.0293054512397315</v>
      </c>
      <c r="N303" s="84">
        <f t="shared" ca="1" si="60"/>
        <v>1.0665822794991713</v>
      </c>
      <c r="O303" s="84">
        <f t="shared" ca="1" si="61"/>
        <v>1.0440516842145413</v>
      </c>
      <c r="P303" s="84">
        <f t="shared" ca="1" si="62"/>
        <v>0.95802006320049005</v>
      </c>
      <c r="Q303" s="84">
        <f t="shared" ca="1" si="63"/>
        <v>0.9932258114552831</v>
      </c>
    </row>
    <row r="304" spans="1:17" ht="15" customHeight="1" x14ac:dyDescent="0.2">
      <c r="A304" s="15">
        <v>265</v>
      </c>
      <c r="B304" s="84">
        <f t="shared" ca="1" si="64"/>
        <v>0.42148540180285932</v>
      </c>
      <c r="C304" s="84">
        <f t="shared" ca="1" si="64"/>
        <v>0.11794709949826598</v>
      </c>
      <c r="D304" s="84">
        <f t="shared" ca="1" si="64"/>
        <v>0.64272666181266691</v>
      </c>
      <c r="F304" s="84">
        <f t="shared" ca="1" si="65"/>
        <v>0.45229677494778264</v>
      </c>
      <c r="G304" s="84">
        <f t="shared" ca="1" si="65"/>
        <v>3.0261570309464747E-2</v>
      </c>
      <c r="H304" s="84">
        <f t="shared" ca="1" si="65"/>
        <v>0.59059562986392555</v>
      </c>
      <c r="J304" s="85">
        <f t="shared" ca="1" si="57"/>
        <v>125863985.30320741</v>
      </c>
      <c r="K304" s="86">
        <f ca="1">IF(J304&gt;0,MIN(99,$B$12*Q304/(J304*12*(1-Inputs!$H$16))),99)</f>
        <v>4.1177331717367673</v>
      </c>
      <c r="L304" s="84">
        <f t="shared" ca="1" si="58"/>
        <v>0.99275469616709</v>
      </c>
      <c r="M304" s="84">
        <f t="shared" ca="1" si="59"/>
        <v>0.99612210982810712</v>
      </c>
      <c r="N304" s="84">
        <f t="shared" ca="1" si="60"/>
        <v>1.0204521781922751</v>
      </c>
      <c r="O304" s="84">
        <f t="shared" ca="1" si="61"/>
        <v>1.0185892421723408</v>
      </c>
      <c r="P304" s="84">
        <f t="shared" ca="1" si="62"/>
        <v>0.8913526022480911</v>
      </c>
      <c r="Q304" s="84">
        <f t="shared" ca="1" si="63"/>
        <v>1.1370763358887106</v>
      </c>
    </row>
    <row r="305" spans="1:17" ht="15" customHeight="1" x14ac:dyDescent="0.2">
      <c r="A305" s="15">
        <v>266</v>
      </c>
      <c r="B305" s="84">
        <f t="shared" ca="1" si="64"/>
        <v>0.88122061127417817</v>
      </c>
      <c r="C305" s="84">
        <f t="shared" ca="1" si="64"/>
        <v>0.78074194843415656</v>
      </c>
      <c r="D305" s="84">
        <f t="shared" ca="1" si="64"/>
        <v>0.44795951691072433</v>
      </c>
      <c r="F305" s="84">
        <f t="shared" ca="1" si="65"/>
        <v>0.56708252653131852</v>
      </c>
      <c r="G305" s="84">
        <f t="shared" ca="1" si="65"/>
        <v>0.25990657900014169</v>
      </c>
      <c r="H305" s="84">
        <f t="shared" ca="1" si="65"/>
        <v>0.11845252991411248</v>
      </c>
      <c r="J305" s="85">
        <f t="shared" ca="1" si="57"/>
        <v>237535798.3613891</v>
      </c>
      <c r="K305" s="86">
        <f ca="1">IF(J305&gt;0,MIN(99,$B$12*Q305/(J305*12*(1-Inputs!$H$16))),99)</f>
        <v>1.8303471351262079</v>
      </c>
      <c r="L305" s="84">
        <f t="shared" ca="1" si="58"/>
        <v>1.1472026371563149</v>
      </c>
      <c r="M305" s="84">
        <f t="shared" ca="1" si="59"/>
        <v>1.0644698093659772</v>
      </c>
      <c r="N305" s="84">
        <f t="shared" ca="1" si="60"/>
        <v>1.0034551814989392</v>
      </c>
      <c r="O305" s="84">
        <f t="shared" ca="1" si="61"/>
        <v>1.028934063239815</v>
      </c>
      <c r="P305" s="84">
        <f t="shared" ca="1" si="62"/>
        <v>1.0447033815667819</v>
      </c>
      <c r="Q305" s="84">
        <f t="shared" ca="1" si="63"/>
        <v>0.95387721589163155</v>
      </c>
    </row>
    <row r="306" spans="1:17" ht="15" customHeight="1" x14ac:dyDescent="0.2">
      <c r="A306" s="15">
        <v>267</v>
      </c>
      <c r="B306" s="84">
        <f t="shared" ca="1" si="64"/>
        <v>0.99172768001969491</v>
      </c>
      <c r="C306" s="84">
        <f t="shared" ca="1" si="64"/>
        <v>0.6773765553560912</v>
      </c>
      <c r="D306" s="84">
        <f t="shared" ca="1" si="64"/>
        <v>0.1544914693474827</v>
      </c>
      <c r="F306" s="84">
        <f t="shared" ca="1" si="65"/>
        <v>0.29926604423762337</v>
      </c>
      <c r="G306" s="84">
        <f t="shared" ca="1" si="65"/>
        <v>0.72278961862157909</v>
      </c>
      <c r="H306" s="84">
        <f t="shared" ca="1" si="65"/>
        <v>0.23345513907154403</v>
      </c>
      <c r="J306" s="85">
        <f t="shared" ca="1" si="57"/>
        <v>313449945.3559733</v>
      </c>
      <c r="K306" s="86">
        <f ca="1">IF(J306&gt;0,MIN(99,$B$12*Q306/(J306*12*(1-Inputs!$H$16))),99)</f>
        <v>1.4528356011836201</v>
      </c>
      <c r="L306" s="84">
        <f t="shared" ca="1" si="58"/>
        <v>1.2412739863415203</v>
      </c>
      <c r="M306" s="84">
        <f t="shared" ca="1" si="59"/>
        <v>1.1060742768590408</v>
      </c>
      <c r="N306" s="84">
        <f t="shared" ca="1" si="60"/>
        <v>0.97673334550883628</v>
      </c>
      <c r="O306" s="84">
        <f t="shared" ca="1" si="61"/>
        <v>1.0063641125196947</v>
      </c>
      <c r="P306" s="84">
        <f t="shared" ca="1" si="62"/>
        <v>1.3621001477617882</v>
      </c>
      <c r="Q306" s="84">
        <f t="shared" ca="1" si="63"/>
        <v>0.99911300820181548</v>
      </c>
    </row>
    <row r="307" spans="1:17" ht="15" customHeight="1" x14ac:dyDescent="0.2">
      <c r="A307" s="15">
        <v>268</v>
      </c>
      <c r="B307" s="84">
        <f t="shared" ca="1" si="64"/>
        <v>0.30004348377078305</v>
      </c>
      <c r="C307" s="84">
        <f t="shared" ca="1" si="64"/>
        <v>1.8331808850731712E-2</v>
      </c>
      <c r="D307" s="84">
        <f t="shared" ca="1" si="64"/>
        <v>0.34101861583232462</v>
      </c>
      <c r="F307" s="84">
        <f t="shared" ca="1" si="65"/>
        <v>0.6876855676482363</v>
      </c>
      <c r="G307" s="84">
        <f t="shared" ca="1" si="65"/>
        <v>0.96107886335140447</v>
      </c>
      <c r="H307" s="84">
        <f t="shared" ca="1" si="65"/>
        <v>0.70319496284231131</v>
      </c>
      <c r="J307" s="85">
        <f t="shared" ca="1" si="57"/>
        <v>74057970.483586565</v>
      </c>
      <c r="K307" s="86">
        <f ca="1">IF(J307&gt;0,MIN(99,$B$12*Q307/(J307*12*(1-Inputs!$H$16))),99)</f>
        <v>7.3406606235920693</v>
      </c>
      <c r="L307" s="84">
        <f t="shared" ca="1" si="58"/>
        <v>0.95872504435762995</v>
      </c>
      <c r="M307" s="84">
        <f t="shared" ca="1" si="59"/>
        <v>0.98089762449944973</v>
      </c>
      <c r="N307" s="84">
        <f t="shared" ca="1" si="60"/>
        <v>0.99509372912855587</v>
      </c>
      <c r="O307" s="84">
        <f t="shared" ca="1" si="61"/>
        <v>1.0414218746600108</v>
      </c>
      <c r="P307" s="84">
        <f t="shared" ca="1" si="62"/>
        <v>1.6751647319683478</v>
      </c>
      <c r="Q307" s="84">
        <f t="shared" ca="1" si="63"/>
        <v>1.1927155839652133</v>
      </c>
    </row>
    <row r="308" spans="1:17" ht="15" customHeight="1" x14ac:dyDescent="0.2">
      <c r="A308" s="15">
        <v>269</v>
      </c>
      <c r="B308" s="84">
        <f t="shared" ca="1" si="64"/>
        <v>0.73121606577303455</v>
      </c>
      <c r="C308" s="84">
        <f t="shared" ca="1" si="64"/>
        <v>0.63942419579931475</v>
      </c>
      <c r="D308" s="84">
        <f t="shared" ca="1" si="64"/>
        <v>0.41634397587685568</v>
      </c>
      <c r="F308" s="84">
        <f t="shared" ca="1" si="65"/>
        <v>0.61189132491265952</v>
      </c>
      <c r="G308" s="84">
        <f t="shared" ca="1" si="65"/>
        <v>0.34068769688451817</v>
      </c>
      <c r="H308" s="84">
        <f t="shared" ca="1" si="65"/>
        <v>0.77115218700552302</v>
      </c>
      <c r="J308" s="85">
        <f t="shared" ca="1" si="57"/>
        <v>185783136.92730445</v>
      </c>
      <c r="K308" s="86">
        <f ca="1">IF(J308&gt;0,MIN(99,$B$12*Q308/(J308*12*(1-Inputs!$H$16))),99)</f>
        <v>3.0215628232502061</v>
      </c>
      <c r="L308" s="84">
        <f t="shared" ca="1" si="58"/>
        <v>1.0827559078769706</v>
      </c>
      <c r="M308" s="84">
        <f t="shared" ca="1" si="59"/>
        <v>1.0359672751027775</v>
      </c>
      <c r="N308" s="84">
        <f t="shared" ca="1" si="60"/>
        <v>1.0010005268292603</v>
      </c>
      <c r="O308" s="84">
        <f t="shared" ca="1" si="61"/>
        <v>1.0333414842760105</v>
      </c>
      <c r="P308" s="84">
        <f t="shared" ca="1" si="62"/>
        <v>1.090638782805349</v>
      </c>
      <c r="Q308" s="84">
        <f t="shared" ca="1" si="63"/>
        <v>1.2315948420895595</v>
      </c>
    </row>
    <row r="309" spans="1:17" ht="15" customHeight="1" x14ac:dyDescent="0.2">
      <c r="A309" s="15">
        <v>270</v>
      </c>
      <c r="B309" s="84">
        <f t="shared" ca="1" si="64"/>
        <v>0.52775763716841695</v>
      </c>
      <c r="C309" s="84">
        <f t="shared" ca="1" si="64"/>
        <v>0.25574001459964357</v>
      </c>
      <c r="D309" s="84">
        <f t="shared" ca="1" si="64"/>
        <v>0.76055065245030662</v>
      </c>
      <c r="F309" s="84">
        <f t="shared" ca="1" si="65"/>
        <v>0.7865525266292831</v>
      </c>
      <c r="G309" s="84">
        <f t="shared" ca="1" si="65"/>
        <v>0.88829909529026752</v>
      </c>
      <c r="H309" s="84">
        <f t="shared" ca="1" si="65"/>
        <v>0.66938119983317268</v>
      </c>
      <c r="J309" s="85">
        <f t="shared" ca="1" si="57"/>
        <v>111996201.03195839</v>
      </c>
      <c r="K309" s="86">
        <f ca="1">IF(J309&gt;0,MIN(99,$B$12*Q309/(J309*12*(1-Inputs!$H$16))),99)</f>
        <v>4.7821057926389292</v>
      </c>
      <c r="L309" s="84">
        <f t="shared" ca="1" si="58"/>
        <v>1.020179818520309</v>
      </c>
      <c r="M309" s="84">
        <f t="shared" ca="1" si="59"/>
        <v>1.008292059449639</v>
      </c>
      <c r="N309" s="84">
        <f t="shared" ca="1" si="60"/>
        <v>1.0331337891088161</v>
      </c>
      <c r="O309" s="84">
        <f t="shared" ca="1" si="61"/>
        <v>1.0536241290903825</v>
      </c>
      <c r="P309" s="84">
        <f t="shared" ca="1" si="62"/>
        <v>1.5449531171395749</v>
      </c>
      <c r="Q309" s="84">
        <f t="shared" ca="1" si="63"/>
        <v>1.1750393550168361</v>
      </c>
    </row>
    <row r="310" spans="1:17" ht="15" customHeight="1" x14ac:dyDescent="0.2">
      <c r="A310" s="15">
        <v>271</v>
      </c>
      <c r="B310" s="84">
        <f t="shared" ca="1" si="64"/>
        <v>0.5297818907447297</v>
      </c>
      <c r="C310" s="84">
        <f t="shared" ca="1" si="64"/>
        <v>0.80445926870073647</v>
      </c>
      <c r="D310" s="84">
        <f t="shared" ca="1" si="64"/>
        <v>0.43420227608310258</v>
      </c>
      <c r="F310" s="84">
        <f t="shared" ca="1" si="65"/>
        <v>0.77142171522890568</v>
      </c>
      <c r="G310" s="84">
        <f t="shared" ca="1" si="65"/>
        <v>0.60675882075899179</v>
      </c>
      <c r="H310" s="84">
        <f t="shared" ca="1" si="65"/>
        <v>0.16558308318655124</v>
      </c>
      <c r="J310" s="85">
        <f t="shared" ca="1" si="57"/>
        <v>130000248.72283317</v>
      </c>
      <c r="K310" s="86">
        <f ca="1">IF(J310&gt;0,MIN(99,$B$12*Q310/(J310*12*(1-Inputs!$H$16))),99)</f>
        <v>3.4159983396042803</v>
      </c>
      <c r="L310" s="84">
        <f t="shared" ca="1" si="58"/>
        <v>1.0207265447936029</v>
      </c>
      <c r="M310" s="84">
        <f t="shared" ca="1" si="59"/>
        <v>1.0085338573579485</v>
      </c>
      <c r="N310" s="84">
        <f t="shared" ca="1" si="60"/>
        <v>1.0023786445623466</v>
      </c>
      <c r="O310" s="84">
        <f t="shared" ca="1" si="61"/>
        <v>1.0515962599606876</v>
      </c>
      <c r="P310" s="84">
        <f t="shared" ca="1" si="62"/>
        <v>1.266455108392325</v>
      </c>
      <c r="Q310" s="84">
        <f t="shared" ca="1" si="63"/>
        <v>0.97429792039508634</v>
      </c>
    </row>
    <row r="311" spans="1:17" ht="15" customHeight="1" x14ac:dyDescent="0.2">
      <c r="A311" s="15">
        <v>272</v>
      </c>
      <c r="B311" s="84">
        <f t="shared" ca="1" si="64"/>
        <v>0.77468438677499563</v>
      </c>
      <c r="C311" s="84">
        <f t="shared" ca="1" si="64"/>
        <v>0.98538508542984093</v>
      </c>
      <c r="D311" s="84">
        <f t="shared" ca="1" si="64"/>
        <v>1.8416416558303284E-2</v>
      </c>
      <c r="F311" s="84">
        <f t="shared" ca="1" si="65"/>
        <v>0.63732071228979326</v>
      </c>
      <c r="G311" s="84">
        <f t="shared" ca="1" si="65"/>
        <v>0.84946237220299992</v>
      </c>
      <c r="H311" s="84">
        <f t="shared" ca="1" si="65"/>
        <v>0.29851868631974332</v>
      </c>
      <c r="J311" s="85">
        <f t="shared" ca="1" si="57"/>
        <v>194050704.52685088</v>
      </c>
      <c r="K311" s="86">
        <f ca="1">IF(J311&gt;0,MIN(99,$B$12*Q311/(J311*12*(1-Inputs!$H$16))),99)</f>
        <v>2.3989935210352118</v>
      </c>
      <c r="L311" s="84">
        <f t="shared" ca="1" si="58"/>
        <v>1.0989860891337333</v>
      </c>
      <c r="M311" s="84">
        <f t="shared" ca="1" si="59"/>
        <v>1.0431453166037461</v>
      </c>
      <c r="N311" s="84">
        <f t="shared" ca="1" si="60"/>
        <v>0.95198403816897204</v>
      </c>
      <c r="O311" s="84">
        <f t="shared" ca="1" si="61"/>
        <v>1.0359565186902653</v>
      </c>
      <c r="P311" s="84">
        <f t="shared" ca="1" si="62"/>
        <v>1.4938175293090783</v>
      </c>
      <c r="Q311" s="84">
        <f t="shared" ca="1" si="63"/>
        <v>1.0213491700691384</v>
      </c>
    </row>
    <row r="312" spans="1:17" ht="15" customHeight="1" x14ac:dyDescent="0.2">
      <c r="A312" s="15">
        <v>273</v>
      </c>
      <c r="B312" s="84">
        <f t="shared" ca="1" si="64"/>
        <v>0.75555557482250468</v>
      </c>
      <c r="C312" s="84">
        <f t="shared" ca="1" si="64"/>
        <v>0.84389853169188755</v>
      </c>
      <c r="D312" s="84">
        <f t="shared" ca="1" si="64"/>
        <v>0.58618892685561674</v>
      </c>
      <c r="F312" s="84">
        <f t="shared" ca="1" si="65"/>
        <v>0.77814298972430807</v>
      </c>
      <c r="G312" s="84">
        <f t="shared" ca="1" si="65"/>
        <v>0.69875370767773837</v>
      </c>
      <c r="H312" s="84">
        <f t="shared" ca="1" si="65"/>
        <v>0.54572922466133089</v>
      </c>
      <c r="J312" s="85">
        <f t="shared" ca="1" si="57"/>
        <v>176576106.43055022</v>
      </c>
      <c r="K312" s="86">
        <f ca="1">IF(J312&gt;0,MIN(99,$B$12*Q312/(J312*12*(1-Inputs!$H$16))),99)</f>
        <v>2.8835327302143408</v>
      </c>
      <c r="L312" s="84">
        <f t="shared" ca="1" si="58"/>
        <v>1.0916666738917726</v>
      </c>
      <c r="M312" s="84">
        <f t="shared" ca="1" si="59"/>
        <v>1.0399081952470315</v>
      </c>
      <c r="N312" s="84">
        <f t="shared" ca="1" si="60"/>
        <v>1.0151217912490118</v>
      </c>
      <c r="O312" s="84">
        <f t="shared" ca="1" si="61"/>
        <v>1.0524885075249886</v>
      </c>
      <c r="P312" s="84">
        <f t="shared" ca="1" si="62"/>
        <v>1.3408458228725646</v>
      </c>
      <c r="Q312" s="84">
        <f t="shared" ca="1" si="63"/>
        <v>1.1170863960800657</v>
      </c>
    </row>
    <row r="313" spans="1:17" ht="15" customHeight="1" x14ac:dyDescent="0.2">
      <c r="A313" s="15">
        <v>274</v>
      </c>
      <c r="B313" s="84">
        <f t="shared" ca="1" si="64"/>
        <v>0.87946720217782359</v>
      </c>
      <c r="C313" s="84">
        <f t="shared" ca="1" si="64"/>
        <v>0.19034330781461573</v>
      </c>
      <c r="D313" s="84">
        <f t="shared" ca="1" si="64"/>
        <v>0.62468698394271804</v>
      </c>
      <c r="F313" s="84">
        <f t="shared" ca="1" si="65"/>
        <v>0.8451732598771714</v>
      </c>
      <c r="G313" s="84">
        <f t="shared" ca="1" si="65"/>
        <v>0.80362774453182684</v>
      </c>
      <c r="H313" s="84">
        <f t="shared" ca="1" si="65"/>
        <v>0.55271569365489504</v>
      </c>
      <c r="J313" s="85">
        <f t="shared" ca="1" si="57"/>
        <v>212483446.34191871</v>
      </c>
      <c r="K313" s="86">
        <f ca="1">IF(J313&gt;0,MIN(99,$B$12*Q313/(J313*12*(1-Inputs!$H$16))),99)</f>
        <v>2.4027809994239973</v>
      </c>
      <c r="L313" s="84">
        <f t="shared" ca="1" si="58"/>
        <v>1.1462628270445974</v>
      </c>
      <c r="M313" s="84">
        <f t="shared" ca="1" si="59"/>
        <v>1.0640541642244834</v>
      </c>
      <c r="N313" s="84">
        <f t="shared" ca="1" si="60"/>
        <v>1.0187083201098508</v>
      </c>
      <c r="O313" s="84">
        <f t="shared" ca="1" si="61"/>
        <v>1.0622577342687689</v>
      </c>
      <c r="P313" s="84">
        <f t="shared" ca="1" si="62"/>
        <v>1.4413769303411592</v>
      </c>
      <c r="Q313" s="84">
        <f t="shared" ca="1" si="63"/>
        <v>1.1201320716404446</v>
      </c>
    </row>
    <row r="314" spans="1:17" ht="15" customHeight="1" x14ac:dyDescent="0.2">
      <c r="A314" s="15">
        <v>275</v>
      </c>
      <c r="B314" s="84">
        <f t="shared" ca="1" si="64"/>
        <v>0.67776974360298303</v>
      </c>
      <c r="C314" s="84">
        <f t="shared" ca="1" si="64"/>
        <v>0.96431314385436062</v>
      </c>
      <c r="D314" s="84">
        <f t="shared" ca="1" si="64"/>
        <v>1.9557631918621698E-2</v>
      </c>
      <c r="F314" s="84">
        <f t="shared" ca="1" si="65"/>
        <v>0.46732981986419098</v>
      </c>
      <c r="G314" s="84">
        <f t="shared" ca="1" si="65"/>
        <v>4.4986486141972093E-2</v>
      </c>
      <c r="H314" s="84">
        <f t="shared" ca="1" si="65"/>
        <v>7.8297812082032126E-2</v>
      </c>
      <c r="J314" s="85">
        <f t="shared" ca="1" si="57"/>
        <v>192363035.25205469</v>
      </c>
      <c r="K314" s="86">
        <f ca="1">IF(J314&gt;0,MIN(99,$B$12*Q314/(J314*12*(1-Inputs!$H$16))),99)</f>
        <v>2.2105476164981188</v>
      </c>
      <c r="L314" s="84">
        <f t="shared" ca="1" si="58"/>
        <v>1.0645085268838905</v>
      </c>
      <c r="M314" s="84">
        <f t="shared" ca="1" si="59"/>
        <v>1.027897096712272</v>
      </c>
      <c r="N314" s="84">
        <f t="shared" ca="1" si="60"/>
        <v>0.9523823307924375</v>
      </c>
      <c r="O314" s="84">
        <f t="shared" ca="1" si="61"/>
        <v>1.0198778132564479</v>
      </c>
      <c r="P314" s="84">
        <f t="shared" ca="1" si="62"/>
        <v>0.90816183509127602</v>
      </c>
      <c r="Q314" s="84">
        <f t="shared" ca="1" si="63"/>
        <v>0.93293510833936177</v>
      </c>
    </row>
    <row r="315" spans="1:17" ht="15" customHeight="1" x14ac:dyDescent="0.2">
      <c r="A315" s="15">
        <v>276</v>
      </c>
      <c r="B315" s="84">
        <f t="shared" ca="1" si="64"/>
        <v>0.94338509439546836</v>
      </c>
      <c r="C315" s="84">
        <f t="shared" ca="1" si="64"/>
        <v>0.2051000335519777</v>
      </c>
      <c r="D315" s="84">
        <f t="shared" ca="1" si="64"/>
        <v>0.96658313050336242</v>
      </c>
      <c r="F315" s="84">
        <f t="shared" ca="1" si="65"/>
        <v>0.49319866193084627</v>
      </c>
      <c r="G315" s="84">
        <f t="shared" ca="1" si="65"/>
        <v>0.24781519589911216</v>
      </c>
      <c r="H315" s="84">
        <f t="shared" ca="1" si="65"/>
        <v>0.6759757878275704</v>
      </c>
      <c r="J315" s="85">
        <f t="shared" ca="1" si="57"/>
        <v>253957628.4582715</v>
      </c>
      <c r="K315" s="86">
        <f ca="1">IF(J315&gt;0,MIN(99,$B$12*Q315/(J315*12*(1-Inputs!$H$16))),99)</f>
        <v>2.1149804152256109</v>
      </c>
      <c r="L315" s="84">
        <f t="shared" ca="1" si="58"/>
        <v>1.1867699058108681</v>
      </c>
      <c r="M315" s="84">
        <f t="shared" ca="1" si="59"/>
        <v>1.081969028382032</v>
      </c>
      <c r="N315" s="84">
        <f t="shared" ca="1" si="60"/>
        <v>1.0689987862923409</v>
      </c>
      <c r="O315" s="84">
        <f t="shared" ca="1" si="61"/>
        <v>1.0221385093262385</v>
      </c>
      <c r="P315" s="84">
        <f t="shared" ca="1" si="62"/>
        <v>1.0380478461085074</v>
      </c>
      <c r="Q315" s="84">
        <f t="shared" ca="1" si="63"/>
        <v>1.1784130800488719</v>
      </c>
    </row>
    <row r="316" spans="1:17" ht="15" customHeight="1" x14ac:dyDescent="0.2">
      <c r="A316" s="15">
        <v>277</v>
      </c>
      <c r="B316" s="84">
        <f t="shared" ca="1" si="64"/>
        <v>0.68022949612563177</v>
      </c>
      <c r="C316" s="84">
        <f t="shared" ca="1" si="64"/>
        <v>0.46260489390662407</v>
      </c>
      <c r="D316" s="84">
        <f t="shared" ca="1" si="64"/>
        <v>0.99292434651910477</v>
      </c>
      <c r="F316" s="84">
        <f t="shared" ca="1" si="65"/>
        <v>0.89277268559276013</v>
      </c>
      <c r="G316" s="84">
        <f t="shared" ca="1" si="65"/>
        <v>3.676079687287559E-2</v>
      </c>
      <c r="H316" s="84">
        <f t="shared" ca="1" si="65"/>
        <v>0.68123254790856491</v>
      </c>
      <c r="J316" s="85">
        <f t="shared" ca="1" si="57"/>
        <v>155467968.75345075</v>
      </c>
      <c r="K316" s="86">
        <f ca="1">IF(J316&gt;0,MIN(99,$B$12*Q316/(J316*12*(1-Inputs!$H$16))),99)</f>
        <v>3.4627867806576296</v>
      </c>
      <c r="L316" s="84">
        <f t="shared" ca="1" si="58"/>
        <v>1.0653134618466753</v>
      </c>
      <c r="M316" s="84">
        <f t="shared" ca="1" si="59"/>
        <v>1.0282530912928034</v>
      </c>
      <c r="N316" s="84">
        <f t="shared" ca="1" si="60"/>
        <v>1.0805452502722319</v>
      </c>
      <c r="O316" s="84">
        <f t="shared" ca="1" si="61"/>
        <v>1.0705764788064687</v>
      </c>
      <c r="P316" s="84">
        <f t="shared" ca="1" si="62"/>
        <v>0.8991850501276587</v>
      </c>
      <c r="Q316" s="84">
        <f t="shared" ca="1" si="63"/>
        <v>1.1811270525569457</v>
      </c>
    </row>
    <row r="317" spans="1:17" ht="15" customHeight="1" x14ac:dyDescent="0.2">
      <c r="A317" s="15">
        <v>278</v>
      </c>
      <c r="B317" s="84">
        <f t="shared" ca="1" si="64"/>
        <v>0.50386904278294331</v>
      </c>
      <c r="C317" s="84">
        <f t="shared" ca="1" si="64"/>
        <v>0.32155207139274755</v>
      </c>
      <c r="D317" s="84">
        <f t="shared" ca="1" si="64"/>
        <v>0.9055828626929906</v>
      </c>
      <c r="F317" s="84">
        <f t="shared" ca="1" si="65"/>
        <v>0.81190692697509526</v>
      </c>
      <c r="G317" s="84">
        <f t="shared" ca="1" si="65"/>
        <v>0.5285984604139593</v>
      </c>
      <c r="H317" s="84">
        <f t="shared" ca="1" si="65"/>
        <v>0.7080341689650721</v>
      </c>
      <c r="J317" s="85">
        <f t="shared" ca="1" si="57"/>
        <v>114881050.69243108</v>
      </c>
      <c r="K317" s="86">
        <f ca="1">IF(J317&gt;0,MIN(99,$B$12*Q317/(J317*12*(1-Inputs!$H$16))),99)</f>
        <v>4.7425078194714461</v>
      </c>
      <c r="L317" s="84">
        <f t="shared" ca="1" si="58"/>
        <v>1.0138142296805868</v>
      </c>
      <c r="M317" s="84">
        <f t="shared" ca="1" si="59"/>
        <v>1.0054767821494799</v>
      </c>
      <c r="N317" s="84">
        <f t="shared" ca="1" si="60"/>
        <v>1.0544354231280848</v>
      </c>
      <c r="O317" s="84">
        <f t="shared" ca="1" si="61"/>
        <v>1.0571906375997442</v>
      </c>
      <c r="P317" s="84">
        <f t="shared" ca="1" si="62"/>
        <v>1.2098778975610713</v>
      </c>
      <c r="Q317" s="84">
        <f t="shared" ca="1" si="63"/>
        <v>1.1953260822177243</v>
      </c>
    </row>
    <row r="318" spans="1:17" ht="15" customHeight="1" x14ac:dyDescent="0.2">
      <c r="A318" s="15">
        <v>279</v>
      </c>
      <c r="B318" s="84">
        <f t="shared" ca="1" si="64"/>
        <v>0.62713166309455848</v>
      </c>
      <c r="C318" s="84">
        <f t="shared" ca="1" si="64"/>
        <v>0.15037155444407913</v>
      </c>
      <c r="D318" s="84">
        <f t="shared" ca="1" si="64"/>
        <v>0.95304841237935678</v>
      </c>
      <c r="F318" s="84">
        <f t="shared" ca="1" si="65"/>
        <v>0.63668481628478946</v>
      </c>
      <c r="G318" s="84">
        <f t="shared" ca="1" si="65"/>
        <v>0.80291999253388546</v>
      </c>
      <c r="H318" s="84">
        <f t="shared" ca="1" si="65"/>
        <v>0.90452762107676909</v>
      </c>
      <c r="J318" s="85">
        <f t="shared" ca="1" si="57"/>
        <v>132183530.80664377</v>
      </c>
      <c r="K318" s="86">
        <f ca="1">IF(J318&gt;0,MIN(99,$B$12*Q318/(J318*12*(1-Inputs!$H$16))),99)</f>
        <v>4.5887086247854283</v>
      </c>
      <c r="L318" s="84">
        <f t="shared" ca="1" si="58"/>
        <v>1.0485725362848</v>
      </c>
      <c r="M318" s="84">
        <f t="shared" ca="1" si="59"/>
        <v>1.0208491654495417</v>
      </c>
      <c r="N318" s="84">
        <f t="shared" ca="1" si="60"/>
        <v>1.0650347142988592</v>
      </c>
      <c r="O318" s="84">
        <f t="shared" ca="1" si="61"/>
        <v>1.0358900285363013</v>
      </c>
      <c r="P318" s="84">
        <f t="shared" ca="1" si="62"/>
        <v>1.4406182416461917</v>
      </c>
      <c r="Q318" s="84">
        <f t="shared" ca="1" si="63"/>
        <v>1.3307539726503794</v>
      </c>
    </row>
    <row r="319" spans="1:17" ht="15" customHeight="1" x14ac:dyDescent="0.2">
      <c r="A319" s="15">
        <v>280</v>
      </c>
      <c r="B319" s="84">
        <f t="shared" ca="1" si="64"/>
        <v>0.12504705771171731</v>
      </c>
      <c r="C319" s="84">
        <f t="shared" ca="1" si="64"/>
        <v>0.55172013575126799</v>
      </c>
      <c r="D319" s="84">
        <f t="shared" ca="1" si="64"/>
        <v>0.74253235997628608</v>
      </c>
      <c r="F319" s="84">
        <f t="shared" ca="1" si="65"/>
        <v>0.93955830306795296</v>
      </c>
      <c r="G319" s="84">
        <f t="shared" ca="1" si="65"/>
        <v>0.17999221957105349</v>
      </c>
      <c r="H319" s="84">
        <f t="shared" ca="1" si="65"/>
        <v>9.4747905666301535E-2</v>
      </c>
      <c r="J319" s="85">
        <f t="shared" ca="1" si="57"/>
        <v>42308999.094838902</v>
      </c>
      <c r="K319" s="86">
        <f ca="1">IF(J319&gt;0,MIN(99,$B$12*Q319/(J319*12*(1-Inputs!$H$16))),99)</f>
        <v>10.148668442536604</v>
      </c>
      <c r="L319" s="84">
        <f t="shared" ca="1" si="58"/>
        <v>0.89360773158849383</v>
      </c>
      <c r="M319" s="84">
        <f t="shared" ca="1" si="59"/>
        <v>0.9517648676188839</v>
      </c>
      <c r="N319" s="84">
        <f t="shared" ca="1" si="60"/>
        <v>1.0310187326296194</v>
      </c>
      <c r="O319" s="84">
        <f t="shared" ca="1" si="61"/>
        <v>1.0808585280461034</v>
      </c>
      <c r="P319" s="84">
        <f t="shared" ca="1" si="62"/>
        <v>1.0016686224571476</v>
      </c>
      <c r="Q319" s="84">
        <f t="shared" ca="1" si="63"/>
        <v>0.94204523476036384</v>
      </c>
    </row>
    <row r="320" spans="1:17" ht="15" customHeight="1" x14ac:dyDescent="0.2">
      <c r="A320" s="15">
        <v>281</v>
      </c>
      <c r="B320" s="84">
        <f t="shared" ref="B320:D339" ca="1" si="66">RAND()</f>
        <v>0.64770205927232172</v>
      </c>
      <c r="C320" s="84">
        <f t="shared" ca="1" si="66"/>
        <v>0.23848152847393378</v>
      </c>
      <c r="D320" s="84">
        <f t="shared" ca="1" si="66"/>
        <v>0.53860271359976786</v>
      </c>
      <c r="F320" s="84">
        <f t="shared" ref="F320:H339" ca="1" si="67">RAND()</f>
        <v>0.65924485376756981</v>
      </c>
      <c r="G320" s="84">
        <f t="shared" ca="1" si="67"/>
        <v>0.55933534164229026</v>
      </c>
      <c r="H320" s="84">
        <f t="shared" ca="1" si="67"/>
        <v>0.67527341439312827</v>
      </c>
      <c r="J320" s="85">
        <f t="shared" ca="1" si="57"/>
        <v>156557297.84238553</v>
      </c>
      <c r="K320" s="86">
        <f ca="1">IF(J320&gt;0,MIN(99,$B$12*Q320/(J320*12*(1-Inputs!$H$16))),99)</f>
        <v>3.4297404090618659</v>
      </c>
      <c r="L320" s="84">
        <f t="shared" ca="1" si="58"/>
        <v>1.0549069132161217</v>
      </c>
      <c r="M320" s="84">
        <f t="shared" ca="1" si="59"/>
        <v>1.0236506388142868</v>
      </c>
      <c r="N320" s="84">
        <f t="shared" ca="1" si="60"/>
        <v>1.0109119576673482</v>
      </c>
      <c r="O320" s="84">
        <f t="shared" ca="1" si="61"/>
        <v>1.038285689800009</v>
      </c>
      <c r="P320" s="84">
        <f t="shared" ca="1" si="62"/>
        <v>1.2315218542268991</v>
      </c>
      <c r="Q320" s="84">
        <f t="shared" ca="1" si="63"/>
        <v>1.1780521292865522</v>
      </c>
    </row>
    <row r="321" spans="1:17" ht="15" customHeight="1" x14ac:dyDescent="0.2">
      <c r="A321" s="15">
        <v>282</v>
      </c>
      <c r="B321" s="84">
        <f t="shared" ca="1" si="66"/>
        <v>0.40731395919018309</v>
      </c>
      <c r="C321" s="84">
        <f t="shared" ca="1" si="66"/>
        <v>0.3903116334939849</v>
      </c>
      <c r="D321" s="84">
        <f t="shared" ca="1" si="66"/>
        <v>0.47386468740404009</v>
      </c>
      <c r="F321" s="84">
        <f t="shared" ca="1" si="67"/>
        <v>0.19031699225225251</v>
      </c>
      <c r="G321" s="84">
        <f t="shared" ca="1" si="67"/>
        <v>0.16087545565270722</v>
      </c>
      <c r="H321" s="84">
        <f t="shared" ca="1" si="67"/>
        <v>0.4515406700157869</v>
      </c>
      <c r="J321" s="85">
        <f t="shared" ca="1" si="57"/>
        <v>126034749.35176216</v>
      </c>
      <c r="K321" s="86">
        <f ca="1">IF(J321&gt;0,MIN(99,$B$12*Q321/(J321*12*(1-Inputs!$H$16))),99)</f>
        <v>3.89890536722918</v>
      </c>
      <c r="L321" s="84">
        <f t="shared" ca="1" si="58"/>
        <v>0.98906265533459026</v>
      </c>
      <c r="M321" s="84">
        <f t="shared" ca="1" si="59"/>
        <v>0.99447033208433455</v>
      </c>
      <c r="N321" s="84">
        <f t="shared" ca="1" si="60"/>
        <v>1.0055193819051413</v>
      </c>
      <c r="O321" s="84">
        <f t="shared" ca="1" si="61"/>
        <v>0.99840839253927549</v>
      </c>
      <c r="P321" s="84">
        <f t="shared" ca="1" si="62"/>
        <v>0.99145192586743691</v>
      </c>
      <c r="Q321" s="84">
        <f t="shared" ca="1" si="63"/>
        <v>1.0781096608538341</v>
      </c>
    </row>
    <row r="322" spans="1:17" ht="15" customHeight="1" x14ac:dyDescent="0.2">
      <c r="A322" s="15">
        <v>283</v>
      </c>
      <c r="B322" s="84">
        <f t="shared" ca="1" si="66"/>
        <v>0.49019496710376598</v>
      </c>
      <c r="C322" s="84">
        <f t="shared" ca="1" si="66"/>
        <v>0.27197166822048846</v>
      </c>
      <c r="D322" s="84">
        <f t="shared" ca="1" si="66"/>
        <v>5.4657956858602197E-2</v>
      </c>
      <c r="F322" s="84">
        <f t="shared" ca="1" si="67"/>
        <v>6.6336088161069173E-2</v>
      </c>
      <c r="G322" s="84">
        <f t="shared" ca="1" si="67"/>
        <v>0.97448546568544714</v>
      </c>
      <c r="H322" s="84">
        <f t="shared" ca="1" si="67"/>
        <v>0.13744654344323715</v>
      </c>
      <c r="J322" s="85">
        <f t="shared" ca="1" si="57"/>
        <v>125421843.69669007</v>
      </c>
      <c r="K322" s="86">
        <f ca="1">IF(J322&gt;0,MIN(99,$B$12*Q322/(J322*12*(1-Inputs!$H$16))),99)</f>
        <v>3.4979064541391893</v>
      </c>
      <c r="L322" s="84">
        <f t="shared" ca="1" si="58"/>
        <v>1.0102393684415445</v>
      </c>
      <c r="M322" s="84">
        <f t="shared" ca="1" si="59"/>
        <v>1.003895746058256</v>
      </c>
      <c r="N322" s="84">
        <f t="shared" ca="1" si="60"/>
        <v>0.96141680691393794</v>
      </c>
      <c r="O322" s="84">
        <f t="shared" ca="1" si="61"/>
        <v>0.9867250957044057</v>
      </c>
      <c r="P322" s="84">
        <f t="shared" ca="1" si="62"/>
        <v>1.7108733515748544</v>
      </c>
      <c r="Q322" s="84">
        <f t="shared" ca="1" si="63"/>
        <v>0.96252343619258618</v>
      </c>
    </row>
    <row r="323" spans="1:17" ht="15" customHeight="1" x14ac:dyDescent="0.2">
      <c r="A323" s="15">
        <v>284</v>
      </c>
      <c r="B323" s="84">
        <f t="shared" ca="1" si="66"/>
        <v>0.88068822107385192</v>
      </c>
      <c r="C323" s="84">
        <f t="shared" ca="1" si="66"/>
        <v>8.4289832585670355E-2</v>
      </c>
      <c r="D323" s="84">
        <f t="shared" ca="1" si="66"/>
        <v>0.54829832940454648</v>
      </c>
      <c r="F323" s="84">
        <f t="shared" ca="1" si="67"/>
        <v>0.72946983287376976</v>
      </c>
      <c r="G323" s="84">
        <f t="shared" ca="1" si="67"/>
        <v>0.24257649553169369</v>
      </c>
      <c r="H323" s="84">
        <f t="shared" ca="1" si="67"/>
        <v>0.17726789740024851</v>
      </c>
      <c r="J323" s="85">
        <f t="shared" ca="1" si="57"/>
        <v>232722737.42212361</v>
      </c>
      <c r="K323" s="86">
        <f ca="1">IF(J323&gt;0,MIN(99,$B$12*Q323/(J323*12*(1-Inputs!$H$16))),99)</f>
        <v>1.9171912937497564</v>
      </c>
      <c r="L323" s="84">
        <f t="shared" ca="1" si="58"/>
        <v>1.1469165521921534</v>
      </c>
      <c r="M323" s="84">
        <f t="shared" ca="1" si="59"/>
        <v>1.0643432839924729</v>
      </c>
      <c r="N323" s="84">
        <f t="shared" ca="1" si="60"/>
        <v>1.011751420442967</v>
      </c>
      <c r="O323" s="84">
        <f t="shared" ca="1" si="61"/>
        <v>1.0463011326734741</v>
      </c>
      <c r="P323" s="84">
        <f t="shared" ca="1" si="62"/>
        <v>1.0351808940468836</v>
      </c>
      <c r="Q323" s="84">
        <f t="shared" ca="1" si="63"/>
        <v>0.97889070846639248</v>
      </c>
    </row>
    <row r="324" spans="1:17" ht="15" customHeight="1" x14ac:dyDescent="0.2">
      <c r="A324" s="15">
        <v>285</v>
      </c>
      <c r="B324" s="84">
        <f t="shared" ca="1" si="66"/>
        <v>0.90445829946835998</v>
      </c>
      <c r="C324" s="84">
        <f t="shared" ca="1" si="66"/>
        <v>0.52422650745335098</v>
      </c>
      <c r="D324" s="84">
        <f t="shared" ca="1" si="66"/>
        <v>0.65645691590764876</v>
      </c>
      <c r="F324" s="84">
        <f t="shared" ca="1" si="67"/>
        <v>0.95108801798407161</v>
      </c>
      <c r="G324" s="84">
        <f t="shared" ca="1" si="67"/>
        <v>0.74534171822352635</v>
      </c>
      <c r="H324" s="84">
        <f t="shared" ca="1" si="67"/>
        <v>0.30782636066720204</v>
      </c>
      <c r="J324" s="85">
        <f t="shared" ca="1" si="57"/>
        <v>221478203.55653501</v>
      </c>
      <c r="K324" s="86">
        <f ca="1">IF(J324&gt;0,MIN(99,$B$12*Q324/(J324*12*(1-Inputs!$H$16))),99)</f>
        <v>2.108622284172478</v>
      </c>
      <c r="L324" s="84">
        <f t="shared" ca="1" si="58"/>
        <v>1.1603833178673344</v>
      </c>
      <c r="M324" s="84">
        <f t="shared" ca="1" si="59"/>
        <v>1.0702991634352852</v>
      </c>
      <c r="N324" s="84">
        <f t="shared" ca="1" si="60"/>
        <v>1.0218091665667772</v>
      </c>
      <c r="O324" s="84">
        <f t="shared" ca="1" si="61"/>
        <v>1.0839691393139868</v>
      </c>
      <c r="P324" s="84">
        <f t="shared" ca="1" si="62"/>
        <v>1.3828976320209465</v>
      </c>
      <c r="Q324" s="84">
        <f t="shared" ca="1" si="63"/>
        <v>1.0246126785470449</v>
      </c>
    </row>
    <row r="325" spans="1:17" ht="15" customHeight="1" x14ac:dyDescent="0.2">
      <c r="A325" s="15">
        <v>286</v>
      </c>
      <c r="B325" s="84">
        <f t="shared" ca="1" si="66"/>
        <v>0.781150979778372</v>
      </c>
      <c r="C325" s="84">
        <f t="shared" ca="1" si="66"/>
        <v>0.80441057547348171</v>
      </c>
      <c r="D325" s="84">
        <f t="shared" ca="1" si="66"/>
        <v>0.74016301726502876</v>
      </c>
      <c r="F325" s="84">
        <f t="shared" ca="1" si="67"/>
        <v>0.55230840884147725</v>
      </c>
      <c r="G325" s="84">
        <f t="shared" ca="1" si="67"/>
        <v>0.2119376762382793</v>
      </c>
      <c r="H325" s="84">
        <f t="shared" ca="1" si="67"/>
        <v>0.38508285055028724</v>
      </c>
      <c r="J325" s="85">
        <f t="shared" ca="1" si="57"/>
        <v>196712879.72855377</v>
      </c>
      <c r="K325" s="86">
        <f ca="1">IF(J325&gt;0,MIN(99,$B$12*Q325/(J325*12*(1-Inputs!$H$16))),99)</f>
        <v>2.4389267214151236</v>
      </c>
      <c r="L325" s="84">
        <f t="shared" ca="1" si="58"/>
        <v>1.101530290020206</v>
      </c>
      <c r="M325" s="84">
        <f t="shared" ca="1" si="59"/>
        <v>1.044270527669537</v>
      </c>
      <c r="N325" s="84">
        <f t="shared" ca="1" si="60"/>
        <v>1.0307461898444399</v>
      </c>
      <c r="O325" s="84">
        <f t="shared" ca="1" si="61"/>
        <v>1.0275313686642851</v>
      </c>
      <c r="P325" s="84">
        <f t="shared" ca="1" si="62"/>
        <v>1.0186083490280557</v>
      </c>
      <c r="Q325" s="84">
        <f t="shared" ca="1" si="63"/>
        <v>1.0525954528211696</v>
      </c>
    </row>
    <row r="326" spans="1:17" ht="15" customHeight="1" x14ac:dyDescent="0.2">
      <c r="A326" s="15">
        <v>287</v>
      </c>
      <c r="B326" s="84">
        <f t="shared" ca="1" si="66"/>
        <v>0.7545922407134652</v>
      </c>
      <c r="C326" s="84">
        <f t="shared" ca="1" si="66"/>
        <v>0.30315057576485538</v>
      </c>
      <c r="D326" s="84">
        <f t="shared" ca="1" si="66"/>
        <v>0.60236557313887229</v>
      </c>
      <c r="F326" s="84">
        <f t="shared" ca="1" si="67"/>
        <v>0.65200067335472889</v>
      </c>
      <c r="G326" s="84">
        <f t="shared" ca="1" si="67"/>
        <v>0.42663490018869499</v>
      </c>
      <c r="H326" s="84">
        <f t="shared" ca="1" si="67"/>
        <v>0.66450267568250587</v>
      </c>
      <c r="J326" s="85">
        <f t="shared" ca="1" si="57"/>
        <v>185938039.74860477</v>
      </c>
      <c r="K326" s="86">
        <f ca="1">IF(J326&gt;0,MIN(99,$B$12*Q326/(J326*12*(1-Inputs!$H$16))),99)</f>
        <v>2.8743443363017209</v>
      </c>
      <c r="L326" s="84">
        <f t="shared" ca="1" si="58"/>
        <v>1.0913057788010234</v>
      </c>
      <c r="M326" s="84">
        <f t="shared" ca="1" si="59"/>
        <v>1.039748583971106</v>
      </c>
      <c r="N326" s="84">
        <f t="shared" ca="1" si="60"/>
        <v>1.0166075874269944</v>
      </c>
      <c r="O326" s="84">
        <f t="shared" ca="1" si="61"/>
        <v>1.0375080098461198</v>
      </c>
      <c r="P326" s="84">
        <f t="shared" ca="1" si="62"/>
        <v>1.1427222375003736</v>
      </c>
      <c r="Q326" s="84">
        <f t="shared" ca="1" si="63"/>
        <v>1.1725651529064942</v>
      </c>
    </row>
    <row r="327" spans="1:17" ht="15" customHeight="1" x14ac:dyDescent="0.2">
      <c r="A327" s="15">
        <v>288</v>
      </c>
      <c r="B327" s="84">
        <f t="shared" ca="1" si="66"/>
        <v>0.97635371895791523</v>
      </c>
      <c r="C327" s="84">
        <f t="shared" ca="1" si="66"/>
        <v>0.33710218752424526</v>
      </c>
      <c r="D327" s="84">
        <f t="shared" ca="1" si="66"/>
        <v>0.49578378496690945</v>
      </c>
      <c r="F327" s="84">
        <f t="shared" ca="1" si="67"/>
        <v>0.76474952023361098</v>
      </c>
      <c r="G327" s="84">
        <f t="shared" ca="1" si="67"/>
        <v>0.86280196851365398</v>
      </c>
      <c r="H327" s="84">
        <f t="shared" ca="1" si="67"/>
        <v>0.10644639304187498</v>
      </c>
      <c r="J327" s="85">
        <f t="shared" ca="1" si="57"/>
        <v>272757156.83312738</v>
      </c>
      <c r="K327" s="86">
        <f ca="1">IF(J327&gt;0,MIN(99,$B$12*Q327/(J327*12*(1-Inputs!$H$16))),99)</f>
        <v>1.5842541515493405</v>
      </c>
      <c r="L327" s="84">
        <f t="shared" ca="1" si="58"/>
        <v>1.2179792700565253</v>
      </c>
      <c r="M327" s="84">
        <f t="shared" ca="1" si="59"/>
        <v>1.0957718386051667</v>
      </c>
      <c r="N327" s="84">
        <f t="shared" ca="1" si="60"/>
        <v>1.007306006792879</v>
      </c>
      <c r="O327" s="84">
        <f t="shared" ca="1" si="61"/>
        <v>1.0507234112342001</v>
      </c>
      <c r="P327" s="84">
        <f t="shared" ca="1" si="62"/>
        <v>1.5105434861971339</v>
      </c>
      <c r="Q327" s="84">
        <f t="shared" ca="1" si="63"/>
        <v>0.9480493615415384</v>
      </c>
    </row>
    <row r="328" spans="1:17" ht="15" customHeight="1" x14ac:dyDescent="0.2">
      <c r="A328" s="15">
        <v>289</v>
      </c>
      <c r="B328" s="84">
        <f t="shared" ca="1" si="66"/>
        <v>0.49228291649859457</v>
      </c>
      <c r="C328" s="84">
        <f t="shared" ca="1" si="66"/>
        <v>0.51663369641700341</v>
      </c>
      <c r="D328" s="84">
        <f t="shared" ca="1" si="66"/>
        <v>0.8875399669642724</v>
      </c>
      <c r="F328" s="84">
        <f t="shared" ca="1" si="67"/>
        <v>0.94067565132069508</v>
      </c>
      <c r="G328" s="84">
        <f t="shared" ca="1" si="67"/>
        <v>0.96892242081320723</v>
      </c>
      <c r="H328" s="84">
        <f t="shared" ca="1" si="67"/>
        <v>0.93653669491257696</v>
      </c>
      <c r="J328" s="85">
        <f t="shared" ca="1" si="57"/>
        <v>91131480.388121888</v>
      </c>
      <c r="K328" s="86">
        <f ca="1">IF(J328&gt;0,MIN(99,$B$12*Q328/(J328*12*(1-Inputs!$H$16))),99)</f>
        <v>6.8228647277230463</v>
      </c>
      <c r="L328" s="84">
        <f t="shared" ca="1" si="58"/>
        <v>1.0107820994303314</v>
      </c>
      <c r="M328" s="84">
        <f t="shared" ca="1" si="59"/>
        <v>1.0041357769919679</v>
      </c>
      <c r="N328" s="84">
        <f t="shared" ca="1" si="60"/>
        <v>1.051150366043158</v>
      </c>
      <c r="O328" s="84">
        <f t="shared" ca="1" si="61"/>
        <v>1.0811461779818223</v>
      </c>
      <c r="P328" s="84">
        <f t="shared" ca="1" si="62"/>
        <v>1.6951302807476778</v>
      </c>
      <c r="Q328" s="84">
        <f t="shared" ca="1" si="63"/>
        <v>1.3641594239250656</v>
      </c>
    </row>
    <row r="329" spans="1:17" ht="15" customHeight="1" x14ac:dyDescent="0.2">
      <c r="A329" s="15">
        <v>290</v>
      </c>
      <c r="B329" s="84">
        <f t="shared" ca="1" si="66"/>
        <v>0.5844922979818854</v>
      </c>
      <c r="C329" s="84">
        <f t="shared" ca="1" si="66"/>
        <v>0.649083464224399</v>
      </c>
      <c r="D329" s="84">
        <f t="shared" ca="1" si="66"/>
        <v>8.5792441733499536E-2</v>
      </c>
      <c r="F329" s="84">
        <f t="shared" ca="1" si="67"/>
        <v>7.8037672168017047E-2</v>
      </c>
      <c r="G329" s="84">
        <f t="shared" ca="1" si="67"/>
        <v>0.60965764434210956</v>
      </c>
      <c r="H329" s="84">
        <f t="shared" ca="1" si="67"/>
        <v>0.47759820449656321</v>
      </c>
      <c r="J329" s="85">
        <f t="shared" ca="1" si="57"/>
        <v>159422159.08939445</v>
      </c>
      <c r="K329" s="86">
        <f ca="1">IF(J329&gt;0,MIN(99,$B$12*Q329/(J329*12*(1-Inputs!$H$16))),99)</f>
        <v>3.112168302454331</v>
      </c>
      <c r="L329" s="84">
        <f t="shared" ca="1" si="58"/>
        <v>1.0359763421175829</v>
      </c>
      <c r="M329" s="84">
        <f t="shared" ca="1" si="59"/>
        <v>1.0152783093354814</v>
      </c>
      <c r="N329" s="84">
        <f t="shared" ca="1" si="60"/>
        <v>0.96710176764367195</v>
      </c>
      <c r="O329" s="84">
        <f t="shared" ca="1" si="61"/>
        <v>0.98815003052721129</v>
      </c>
      <c r="P329" s="84">
        <f t="shared" ca="1" si="62"/>
        <v>1.2686570623551807</v>
      </c>
      <c r="Q329" s="84">
        <f t="shared" ca="1" si="63"/>
        <v>1.0885332592518135</v>
      </c>
    </row>
    <row r="330" spans="1:17" ht="15" customHeight="1" x14ac:dyDescent="0.2">
      <c r="A330" s="15">
        <v>291</v>
      </c>
      <c r="B330" s="84">
        <f t="shared" ca="1" si="66"/>
        <v>0.5830763787024531</v>
      </c>
      <c r="C330" s="84">
        <f t="shared" ca="1" si="66"/>
        <v>0.80242207776537222</v>
      </c>
      <c r="D330" s="84">
        <f t="shared" ca="1" si="66"/>
        <v>0.20238127650548987</v>
      </c>
      <c r="F330" s="84">
        <f t="shared" ca="1" si="67"/>
        <v>0.60102043725709486</v>
      </c>
      <c r="G330" s="84">
        <f t="shared" ca="1" si="67"/>
        <v>0.58456461741384924</v>
      </c>
      <c r="H330" s="84">
        <f t="shared" ca="1" si="67"/>
        <v>0.71268437894704151</v>
      </c>
      <c r="J330" s="85">
        <f t="shared" ca="1" si="57"/>
        <v>149108062.59150726</v>
      </c>
      <c r="K330" s="86">
        <f ca="1">IF(J330&gt;0,MIN(99,$B$12*Q330/(J330*12*(1-Inputs!$H$16))),99)</f>
        <v>3.6616195113268417</v>
      </c>
      <c r="L330" s="84">
        <f t="shared" ca="1" si="58"/>
        <v>1.0355694298373479</v>
      </c>
      <c r="M330" s="84">
        <f t="shared" ca="1" si="59"/>
        <v>1.0150983462661494</v>
      </c>
      <c r="N330" s="84">
        <f t="shared" ca="1" si="60"/>
        <v>0.98219720732940541</v>
      </c>
      <c r="O330" s="84">
        <f t="shared" ca="1" si="61"/>
        <v>1.0322497888016824</v>
      </c>
      <c r="P330" s="84">
        <f t="shared" ca="1" si="62"/>
        <v>1.2498584218440971</v>
      </c>
      <c r="Q330" s="84">
        <f t="shared" ca="1" si="63"/>
        <v>1.1978550891862936</v>
      </c>
    </row>
    <row r="331" spans="1:17" ht="15" customHeight="1" x14ac:dyDescent="0.2">
      <c r="A331" s="15">
        <v>292</v>
      </c>
      <c r="B331" s="84">
        <f t="shared" ca="1" si="66"/>
        <v>0.85946320560722611</v>
      </c>
      <c r="C331" s="84">
        <f t="shared" ca="1" si="66"/>
        <v>7.2043441749657045E-2</v>
      </c>
      <c r="D331" s="84">
        <f t="shared" ca="1" si="66"/>
        <v>0.50080918370916316</v>
      </c>
      <c r="F331" s="84">
        <f t="shared" ca="1" si="67"/>
        <v>2.3439962666791936E-2</v>
      </c>
      <c r="G331" s="84">
        <f t="shared" ca="1" si="67"/>
        <v>0.19780235633136756</v>
      </c>
      <c r="H331" s="84">
        <f t="shared" ca="1" si="67"/>
        <v>8.8778007006786841E-2</v>
      </c>
      <c r="J331" s="85">
        <f t="shared" ca="1" si="57"/>
        <v>237105239.04629272</v>
      </c>
      <c r="K331" s="86">
        <f ca="1">IF(J331&gt;0,MIN(99,$B$12*Q331/(J331*12*(1-Inputs!$H$16))),99)</f>
        <v>1.8047606152083016</v>
      </c>
      <c r="L331" s="84">
        <f t="shared" ca="1" si="58"/>
        <v>1.1359898952269785</v>
      </c>
      <c r="M331" s="84">
        <f t="shared" ca="1" si="59"/>
        <v>1.0595108057889291</v>
      </c>
      <c r="N331" s="84">
        <f t="shared" ca="1" si="60"/>
        <v>1.0077210680199737</v>
      </c>
      <c r="O331" s="84">
        <f t="shared" ca="1" si="61"/>
        <v>0.97989560044529556</v>
      </c>
      <c r="P331" s="84">
        <f t="shared" ca="1" si="62"/>
        <v>1.0110712499421484</v>
      </c>
      <c r="Q331" s="84">
        <f t="shared" ca="1" si="63"/>
        <v>0.93883807985606071</v>
      </c>
    </row>
    <row r="332" spans="1:17" ht="15" customHeight="1" x14ac:dyDescent="0.2">
      <c r="A332" s="15">
        <v>293</v>
      </c>
      <c r="B332" s="84">
        <f t="shared" ca="1" si="66"/>
        <v>0.84377255758813696</v>
      </c>
      <c r="C332" s="84">
        <f t="shared" ca="1" si="66"/>
        <v>3.2213271354260553E-2</v>
      </c>
      <c r="D332" s="84">
        <f t="shared" ca="1" si="66"/>
        <v>0.29706627491820459</v>
      </c>
      <c r="F332" s="84">
        <f t="shared" ca="1" si="67"/>
        <v>0.17802160168641523</v>
      </c>
      <c r="G332" s="84">
        <f t="shared" ca="1" si="67"/>
        <v>0.57549830667256852</v>
      </c>
      <c r="H332" s="84">
        <f t="shared" ca="1" si="67"/>
        <v>0.62165020055729125</v>
      </c>
      <c r="J332" s="85">
        <f t="shared" ca="1" si="57"/>
        <v>223467322.76291192</v>
      </c>
      <c r="K332" s="86">
        <f ca="1">IF(J332&gt;0,MIN(99,$B$12*Q332/(J332*12*(1-Inputs!$H$16))),99)</f>
        <v>2.3487851606340517</v>
      </c>
      <c r="L332" s="84">
        <f t="shared" ca="1" si="58"/>
        <v>1.1284350883341063</v>
      </c>
      <c r="M332" s="84">
        <f t="shared" ca="1" si="59"/>
        <v>1.0561695789381049</v>
      </c>
      <c r="N332" s="84">
        <f t="shared" ca="1" si="60"/>
        <v>0.9913497805753706</v>
      </c>
      <c r="O332" s="84">
        <f t="shared" ca="1" si="61"/>
        <v>0.99747165870375298</v>
      </c>
      <c r="P332" s="84">
        <f t="shared" ca="1" si="62"/>
        <v>1.2432065801303707</v>
      </c>
      <c r="Q332" s="84">
        <f t="shared" ca="1" si="63"/>
        <v>1.1515618316767031</v>
      </c>
    </row>
    <row r="333" spans="1:17" ht="15" customHeight="1" x14ac:dyDescent="0.2">
      <c r="A333" s="15">
        <v>294</v>
      </c>
      <c r="B333" s="84">
        <f t="shared" ca="1" si="66"/>
        <v>0.34805406330005151</v>
      </c>
      <c r="C333" s="84">
        <f t="shared" ca="1" si="66"/>
        <v>0.65025554661636109</v>
      </c>
      <c r="D333" s="84">
        <f t="shared" ca="1" si="66"/>
        <v>0.56335776232122992</v>
      </c>
      <c r="F333" s="84">
        <f t="shared" ca="1" si="67"/>
        <v>0.98624512957125865</v>
      </c>
      <c r="G333" s="84">
        <f t="shared" ca="1" si="67"/>
        <v>0.43492090487602919</v>
      </c>
      <c r="H333" s="84">
        <f t="shared" ca="1" si="67"/>
        <v>0.7143623061778942</v>
      </c>
      <c r="J333" s="85">
        <f t="shared" ca="1" si="57"/>
        <v>90743529.098970756</v>
      </c>
      <c r="K333" s="86">
        <f ca="1">IF(J333&gt;0,MIN(99,$B$12*Q333/(J333*12*(1-Inputs!$H$16))),99)</f>
        <v>6.0213131976021339</v>
      </c>
      <c r="L333" s="84">
        <f t="shared" ca="1" si="58"/>
        <v>0.97287895825796078</v>
      </c>
      <c r="M333" s="84">
        <f t="shared" ca="1" si="59"/>
        <v>0.98722992715494629</v>
      </c>
      <c r="N333" s="84">
        <f t="shared" ca="1" si="60"/>
        <v>1.0130733627558954</v>
      </c>
      <c r="O333" s="84">
        <f t="shared" ca="1" si="61"/>
        <v>1.0970574073971302</v>
      </c>
      <c r="P333" s="84">
        <f t="shared" ca="1" si="62"/>
        <v>1.1479440411075319</v>
      </c>
      <c r="Q333" s="84">
        <f t="shared" ca="1" si="63"/>
        <v>1.1987726455354102</v>
      </c>
    </row>
    <row r="334" spans="1:17" ht="15" customHeight="1" x14ac:dyDescent="0.2">
      <c r="A334" s="15">
        <v>295</v>
      </c>
      <c r="B334" s="84">
        <f t="shared" ca="1" si="66"/>
        <v>0.63414489945953134</v>
      </c>
      <c r="C334" s="84">
        <f t="shared" ca="1" si="66"/>
        <v>0.89236243214929045</v>
      </c>
      <c r="D334" s="84">
        <f t="shared" ca="1" si="66"/>
        <v>1.8237503908131281E-2</v>
      </c>
      <c r="F334" s="84">
        <f t="shared" ca="1" si="67"/>
        <v>0.91731431174511235</v>
      </c>
      <c r="G334" s="84">
        <f t="shared" ca="1" si="67"/>
        <v>0.91230736740531471</v>
      </c>
      <c r="H334" s="84">
        <f t="shared" ca="1" si="67"/>
        <v>0.28721297552048042</v>
      </c>
      <c r="J334" s="85">
        <f t="shared" ca="1" si="57"/>
        <v>147368669.75720137</v>
      </c>
      <c r="K334" s="86">
        <f ca="1">IF(J334&gt;0,MIN(99,$B$12*Q334/(J334*12*(1-Inputs!$H$16))),99)</f>
        <v>3.1467528964448563</v>
      </c>
      <c r="L334" s="84">
        <f t="shared" ca="1" si="58"/>
        <v>1.0507120682597602</v>
      </c>
      <c r="M334" s="84">
        <f t="shared" ca="1" si="59"/>
        <v>1.0217954056095224</v>
      </c>
      <c r="N334" s="84">
        <f t="shared" ca="1" si="60"/>
        <v>0.95192048880845692</v>
      </c>
      <c r="O334" s="84">
        <f t="shared" ca="1" si="61"/>
        <v>1.0756042571505635</v>
      </c>
      <c r="P334" s="84">
        <f t="shared" ca="1" si="62"/>
        <v>1.5811711677452485</v>
      </c>
      <c r="Q334" s="84">
        <f t="shared" ca="1" si="63"/>
        <v>1.0174140842609563</v>
      </c>
    </row>
    <row r="335" spans="1:17" ht="15" customHeight="1" x14ac:dyDescent="0.2">
      <c r="A335" s="15">
        <v>296</v>
      </c>
      <c r="B335" s="84">
        <f t="shared" ca="1" si="66"/>
        <v>0.9233761939960613</v>
      </c>
      <c r="C335" s="84">
        <f t="shared" ca="1" si="66"/>
        <v>0.34707259092764631</v>
      </c>
      <c r="D335" s="84">
        <f t="shared" ca="1" si="66"/>
        <v>0.36094971286546196</v>
      </c>
      <c r="F335" s="84">
        <f t="shared" ca="1" si="67"/>
        <v>0.7179276800579304</v>
      </c>
      <c r="G335" s="84">
        <f t="shared" ca="1" si="67"/>
        <v>0.11702917341313213</v>
      </c>
      <c r="H335" s="84">
        <f t="shared" ca="1" si="67"/>
        <v>1.2797264253890495E-2</v>
      </c>
      <c r="J335" s="85">
        <f t="shared" ca="1" si="57"/>
        <v>259659873.12178379</v>
      </c>
      <c r="K335" s="86">
        <f ca="1">IF(J335&gt;0,MIN(99,$B$12*Q335/(J335*12*(1-Inputs!$H$16))),99)</f>
        <v>1.5424105973209825</v>
      </c>
      <c r="L335" s="84">
        <f t="shared" ca="1" si="58"/>
        <v>1.1723560848099528</v>
      </c>
      <c r="M335" s="84">
        <f t="shared" ca="1" si="59"/>
        <v>1.0755942994929759</v>
      </c>
      <c r="N335" s="84">
        <f t="shared" ca="1" si="60"/>
        <v>0.99671160530939285</v>
      </c>
      <c r="O335" s="84">
        <f t="shared" ca="1" si="61"/>
        <v>1.0449177512271035</v>
      </c>
      <c r="P335" s="84">
        <f t="shared" ca="1" si="62"/>
        <v>0.96545138050660817</v>
      </c>
      <c r="Q335" s="84">
        <f t="shared" ca="1" si="63"/>
        <v>0.87868817604509097</v>
      </c>
    </row>
    <row r="336" spans="1:17" ht="15" customHeight="1" x14ac:dyDescent="0.2">
      <c r="A336" s="15">
        <v>297</v>
      </c>
      <c r="B336" s="84">
        <f t="shared" ca="1" si="66"/>
        <v>0.54302419217001474</v>
      </c>
      <c r="C336" s="84">
        <f t="shared" ca="1" si="66"/>
        <v>0.63442629729831801</v>
      </c>
      <c r="D336" s="84">
        <f t="shared" ca="1" si="66"/>
        <v>0.70776312466135882</v>
      </c>
      <c r="F336" s="84">
        <f t="shared" ca="1" si="67"/>
        <v>0.15068150797492952</v>
      </c>
      <c r="G336" s="84">
        <f t="shared" ca="1" si="67"/>
        <v>0.96462018268864358</v>
      </c>
      <c r="H336" s="84">
        <f t="shared" ca="1" si="67"/>
        <v>0.37839028099143723</v>
      </c>
      <c r="J336" s="85">
        <f t="shared" ca="1" si="57"/>
        <v>120777403.52590524</v>
      </c>
      <c r="K336" s="86">
        <f ca="1">IF(J336&gt;0,MIN(99,$B$12*Q336/(J336*12*(1-Inputs!$H$16))),99)</f>
        <v>3.9629334584470692</v>
      </c>
      <c r="L336" s="84">
        <f t="shared" ca="1" si="58"/>
        <v>1.0243325438421991</v>
      </c>
      <c r="M336" s="84">
        <f t="shared" ca="1" si="59"/>
        <v>1.0101286646132583</v>
      </c>
      <c r="N336" s="84">
        <f t="shared" ca="1" si="60"/>
        <v>1.0271369890442121</v>
      </c>
      <c r="O336" s="84">
        <f t="shared" ca="1" si="61"/>
        <v>0.99526511967631026</v>
      </c>
      <c r="P336" s="84">
        <f t="shared" ca="1" si="62"/>
        <v>1.6839028856520848</v>
      </c>
      <c r="Q336" s="84">
        <f t="shared" ca="1" si="63"/>
        <v>1.0501042362716193</v>
      </c>
    </row>
    <row r="337" spans="1:17" ht="15" customHeight="1" x14ac:dyDescent="0.2">
      <c r="A337" s="15">
        <v>298</v>
      </c>
      <c r="B337" s="84">
        <f t="shared" ca="1" si="66"/>
        <v>1.4012683187476949E-2</v>
      </c>
      <c r="C337" s="84">
        <f t="shared" ca="1" si="66"/>
        <v>0.84992077797629717</v>
      </c>
      <c r="D337" s="84">
        <f t="shared" ca="1" si="66"/>
        <v>0.24423449671705288</v>
      </c>
      <c r="F337" s="84">
        <f t="shared" ca="1" si="67"/>
        <v>0.70950163058646021</v>
      </c>
      <c r="G337" s="84">
        <f t="shared" ca="1" si="67"/>
        <v>0.72531155189006657</v>
      </c>
      <c r="H337" s="84">
        <f t="shared" ca="1" si="67"/>
        <v>0.96413914566495318</v>
      </c>
      <c r="J337" s="85">
        <f t="shared" ca="1" si="57"/>
        <v>-6497463.4269487709</v>
      </c>
      <c r="K337" s="86">
        <f ca="1">IF(J337&gt;0,MIN(99,$B$12*Q337/(J337*12*(1-Inputs!$H$16))),99)</f>
        <v>99</v>
      </c>
      <c r="L337" s="84">
        <f t="shared" ca="1" si="58"/>
        <v>0.81470424232485938</v>
      </c>
      <c r="M337" s="84">
        <f t="shared" ca="1" si="59"/>
        <v>0.91646432968213853</v>
      </c>
      <c r="N337" s="84">
        <f t="shared" ca="1" si="60"/>
        <v>0.98646073640766418</v>
      </c>
      <c r="O337" s="84">
        <f t="shared" ca="1" si="61"/>
        <v>1.0439256429719395</v>
      </c>
      <c r="P337" s="84">
        <f t="shared" ca="1" si="62"/>
        <v>1.3643827663243666</v>
      </c>
      <c r="Q337" s="84">
        <f t="shared" ca="1" si="63"/>
        <v>1.4007743739597813</v>
      </c>
    </row>
    <row r="338" spans="1:17" ht="15" customHeight="1" x14ac:dyDescent="0.2">
      <c r="A338" s="15">
        <v>299</v>
      </c>
      <c r="B338" s="84">
        <f t="shared" ca="1" si="66"/>
        <v>0.22555952265797852</v>
      </c>
      <c r="C338" s="84">
        <f t="shared" ca="1" si="66"/>
        <v>0.32283249660916302</v>
      </c>
      <c r="D338" s="84">
        <f t="shared" ca="1" si="66"/>
        <v>0.6469507845218756</v>
      </c>
      <c r="F338" s="84">
        <f t="shared" ca="1" si="67"/>
        <v>0.52020700586625179</v>
      </c>
      <c r="G338" s="84">
        <f t="shared" ca="1" si="67"/>
        <v>0.33075758108145459</v>
      </c>
      <c r="H338" s="84">
        <f t="shared" ca="1" si="67"/>
        <v>0.67216722802351625</v>
      </c>
      <c r="J338" s="85">
        <f t="shared" ca="1" si="57"/>
        <v>77310635.583977565</v>
      </c>
      <c r="K338" s="86">
        <f ca="1">IF(J338&gt;0,MIN(99,$B$12*Q338/(J338*12*(1-Inputs!$H$16))),99)</f>
        <v>6.9359854121464553</v>
      </c>
      <c r="L338" s="84">
        <f t="shared" ca="1" si="58"/>
        <v>0.93429672406870956</v>
      </c>
      <c r="M338" s="84">
        <f t="shared" ca="1" si="59"/>
        <v>0.9699686674262239</v>
      </c>
      <c r="N338" s="84">
        <f t="shared" ca="1" si="60"/>
        <v>1.0208668356595882</v>
      </c>
      <c r="O338" s="84">
        <f t="shared" ca="1" si="61"/>
        <v>1.0245612514978835</v>
      </c>
      <c r="P338" s="84">
        <f t="shared" ca="1" si="62"/>
        <v>1.0848458835031276</v>
      </c>
      <c r="Q338" s="84">
        <f t="shared" ca="1" si="63"/>
        <v>1.1764605161906905</v>
      </c>
    </row>
    <row r="339" spans="1:17" ht="15" customHeight="1" x14ac:dyDescent="0.2">
      <c r="A339" s="15">
        <v>300</v>
      </c>
      <c r="B339" s="84">
        <f t="shared" ca="1" si="66"/>
        <v>0.39083961019310909</v>
      </c>
      <c r="C339" s="84">
        <f t="shared" ca="1" si="66"/>
        <v>0.50286304890467859</v>
      </c>
      <c r="D339" s="84">
        <f t="shared" ca="1" si="66"/>
        <v>0.51386798769172337</v>
      </c>
      <c r="F339" s="84">
        <f t="shared" ca="1" si="67"/>
        <v>0.22421636846120885</v>
      </c>
      <c r="G339" s="84">
        <f t="shared" ca="1" si="67"/>
        <v>5.0378725212647302E-2</v>
      </c>
      <c r="H339" s="84">
        <f t="shared" ca="1" si="67"/>
        <v>0.16904460540181665</v>
      </c>
      <c r="J339" s="85">
        <f t="shared" ca="1" si="57"/>
        <v>124791388.17526715</v>
      </c>
      <c r="K339" s="86">
        <f ca="1">IF(J339&gt;0,MIN(99,$B$12*Q339/(J339*12*(1-Inputs!$H$16))),99)</f>
        <v>3.5636134351914657</v>
      </c>
      <c r="L339" s="84">
        <f t="shared" ca="1" si="58"/>
        <v>0.98468895094097064</v>
      </c>
      <c r="M339" s="84">
        <f t="shared" ca="1" si="59"/>
        <v>0.9925135856931171</v>
      </c>
      <c r="N339" s="84">
        <f t="shared" ca="1" si="60"/>
        <v>1.008809503058375</v>
      </c>
      <c r="O339" s="84">
        <f t="shared" ca="1" si="61"/>
        <v>1.0008597407952371</v>
      </c>
      <c r="P339" s="84">
        <f t="shared" ca="1" si="62"/>
        <v>0.91360537423271415</v>
      </c>
      <c r="Q339" s="84">
        <f t="shared" ca="1" si="63"/>
        <v>0.97567492757368512</v>
      </c>
    </row>
    <row r="340" spans="1:17" ht="15" customHeight="1" x14ac:dyDescent="0.2">
      <c r="A340" s="15">
        <v>301</v>
      </c>
      <c r="B340" s="84">
        <f t="shared" ref="B340:D359" ca="1" si="68">RAND()</f>
        <v>0.84084589009638278</v>
      </c>
      <c r="C340" s="84">
        <f t="shared" ca="1" si="68"/>
        <v>0.64467291749675026</v>
      </c>
      <c r="D340" s="84">
        <f t="shared" ca="1" si="68"/>
        <v>0.91464948697118931</v>
      </c>
      <c r="F340" s="84">
        <f t="shared" ref="F340:H359" ca="1" si="69">RAND()</f>
        <v>0.44730276400168978</v>
      </c>
      <c r="G340" s="84">
        <f t="shared" ca="1" si="69"/>
        <v>0.59437788246328904</v>
      </c>
      <c r="H340" s="84">
        <f t="shared" ca="1" si="69"/>
        <v>0.25848094164171309</v>
      </c>
      <c r="J340" s="85">
        <f t="shared" ca="1" si="57"/>
        <v>202686875.52372068</v>
      </c>
      <c r="K340" s="86">
        <f ca="1">IF(J340&gt;0,MIN(99,$B$12*Q340/(J340*12*(1-Inputs!$H$16))),99)</f>
        <v>2.2657490414177319</v>
      </c>
      <c r="L340" s="84">
        <f t="shared" ca="1" si="58"/>
        <v>1.1270686303999473</v>
      </c>
      <c r="M340" s="84">
        <f t="shared" ca="1" si="59"/>
        <v>1.0555652423872339</v>
      </c>
      <c r="N340" s="84">
        <f t="shared" ca="1" si="60"/>
        <v>1.0562051527374996</v>
      </c>
      <c r="O340" s="84">
        <f t="shared" ca="1" si="61"/>
        <v>1.0181650984110555</v>
      </c>
      <c r="P340" s="84">
        <f t="shared" ca="1" si="62"/>
        <v>1.257140626078086</v>
      </c>
      <c r="Q340" s="84">
        <f t="shared" ca="1" si="63"/>
        <v>1.0075517793136957</v>
      </c>
    </row>
    <row r="341" spans="1:17" ht="15" customHeight="1" x14ac:dyDescent="0.2">
      <c r="A341" s="15">
        <v>302</v>
      </c>
      <c r="B341" s="84">
        <f t="shared" ca="1" si="68"/>
        <v>0.94310827198291702</v>
      </c>
      <c r="C341" s="84">
        <f t="shared" ca="1" si="68"/>
        <v>0.64986362962524025</v>
      </c>
      <c r="D341" s="84">
        <f t="shared" ca="1" si="68"/>
        <v>0.25786057795832851</v>
      </c>
      <c r="F341" s="84">
        <f t="shared" ca="1" si="69"/>
        <v>0.52702937280894202</v>
      </c>
      <c r="G341" s="84">
        <f t="shared" ca="1" si="69"/>
        <v>0.66913793219567597</v>
      </c>
      <c r="H341" s="84">
        <f t="shared" ca="1" si="69"/>
        <v>0.79522183704817018</v>
      </c>
      <c r="J341" s="85">
        <f t="shared" ca="1" si="57"/>
        <v>263526381.58268219</v>
      </c>
      <c r="K341" s="86">
        <f ca="1">IF(J341&gt;0,MIN(99,$B$12*Q341/(J341*12*(1-Inputs!$H$16))),99)</f>
        <v>2.1563463012212849</v>
      </c>
      <c r="L341" s="84">
        <f t="shared" ca="1" si="58"/>
        <v>1.1865544653340321</v>
      </c>
      <c r="M341" s="84">
        <f t="shared" ca="1" si="59"/>
        <v>1.0818737465944013</v>
      </c>
      <c r="N341" s="84">
        <f t="shared" ca="1" si="60"/>
        <v>0.98776855360969618</v>
      </c>
      <c r="O341" s="84">
        <f t="shared" ca="1" si="61"/>
        <v>1.0251839576147441</v>
      </c>
      <c r="P341" s="84">
        <f t="shared" ca="1" si="62"/>
        <v>1.3157919445217039</v>
      </c>
      <c r="Q341" s="84">
        <f t="shared" ca="1" si="63"/>
        <v>1.2467303975516926</v>
      </c>
    </row>
    <row r="342" spans="1:17" ht="15" customHeight="1" x14ac:dyDescent="0.2">
      <c r="A342" s="15">
        <v>303</v>
      </c>
      <c r="B342" s="84">
        <f t="shared" ca="1" si="68"/>
        <v>0.62158321786338622</v>
      </c>
      <c r="C342" s="84">
        <f t="shared" ca="1" si="68"/>
        <v>4.1810864806118397E-2</v>
      </c>
      <c r="D342" s="84">
        <f t="shared" ca="1" si="68"/>
        <v>2.0403192857644137E-2</v>
      </c>
      <c r="F342" s="84">
        <f t="shared" ca="1" si="69"/>
        <v>0.61734288599810305</v>
      </c>
      <c r="G342" s="84">
        <f t="shared" ca="1" si="69"/>
        <v>0.95299690447977914</v>
      </c>
      <c r="H342" s="84">
        <f t="shared" ca="1" si="69"/>
        <v>0.87015841349822065</v>
      </c>
      <c r="J342" s="85">
        <f t="shared" ca="1" si="57"/>
        <v>148459476.62919921</v>
      </c>
      <c r="K342" s="86">
        <f ca="1">IF(J342&gt;0,MIN(99,$B$12*Q342/(J342*12*(1-Inputs!$H$16))),99)</f>
        <v>3.993353282836261</v>
      </c>
      <c r="L342" s="84">
        <f t="shared" ca="1" si="58"/>
        <v>1.0468940870038999</v>
      </c>
      <c r="M342" s="84">
        <f t="shared" ca="1" si="59"/>
        <v>1.0201068460382565</v>
      </c>
      <c r="N342" s="84">
        <f t="shared" ca="1" si="60"/>
        <v>0.95266999184150158</v>
      </c>
      <c r="O342" s="84">
        <f t="shared" ca="1" si="61"/>
        <v>1.0338947072929827</v>
      </c>
      <c r="P342" s="84">
        <f t="shared" ca="1" si="62"/>
        <v>1.6566051134128377</v>
      </c>
      <c r="Q342" s="84">
        <f t="shared" ca="1" si="63"/>
        <v>1.3006953856322423</v>
      </c>
    </row>
    <row r="343" spans="1:17" ht="15" customHeight="1" x14ac:dyDescent="0.2">
      <c r="A343" s="15">
        <v>304</v>
      </c>
      <c r="B343" s="84">
        <f t="shared" ca="1" si="68"/>
        <v>0.39091458447826355</v>
      </c>
      <c r="C343" s="84">
        <f t="shared" ca="1" si="68"/>
        <v>0.66289846451847645</v>
      </c>
      <c r="D343" s="84">
        <f t="shared" ca="1" si="68"/>
        <v>0.39541059666490586</v>
      </c>
      <c r="F343" s="84">
        <f t="shared" ca="1" si="69"/>
        <v>0.37855877430411999</v>
      </c>
      <c r="G343" s="84">
        <f t="shared" ca="1" si="69"/>
        <v>0.81676559246859626</v>
      </c>
      <c r="H343" s="84">
        <f t="shared" ca="1" si="69"/>
        <v>0.86648458897462977</v>
      </c>
      <c r="J343" s="85">
        <f t="shared" ca="1" si="57"/>
        <v>104375476.47275616</v>
      </c>
      <c r="K343" s="86">
        <f ca="1">IF(J343&gt;0,MIN(99,$B$12*Q343/(J343*12*(1-Inputs!$H$16))),99)</f>
        <v>5.6670446010196596</v>
      </c>
      <c r="L343" s="84">
        <f t="shared" ca="1" si="58"/>
        <v>0.98470906216423892</v>
      </c>
      <c r="M343" s="84">
        <f t="shared" ca="1" si="59"/>
        <v>0.99252258322930431</v>
      </c>
      <c r="N343" s="84">
        <f t="shared" ca="1" si="60"/>
        <v>0.99940688527967669</v>
      </c>
      <c r="O343" s="84">
        <f t="shared" ca="1" si="61"/>
        <v>1.0125105325855857</v>
      </c>
      <c r="P343" s="84">
        <f t="shared" ca="1" si="62"/>
        <v>1.4557169823942646</v>
      </c>
      <c r="Q343" s="84">
        <f t="shared" ca="1" si="63"/>
        <v>1.2977320877004501</v>
      </c>
    </row>
    <row r="344" spans="1:17" ht="15" customHeight="1" x14ac:dyDescent="0.2">
      <c r="A344" s="15">
        <v>305</v>
      </c>
      <c r="B344" s="84">
        <f t="shared" ca="1" si="68"/>
        <v>5.3085729659646308E-2</v>
      </c>
      <c r="C344" s="84">
        <f t="shared" ca="1" si="68"/>
        <v>0.45811323482645783</v>
      </c>
      <c r="D344" s="84">
        <f t="shared" ca="1" si="68"/>
        <v>1.2167375592618379E-2</v>
      </c>
      <c r="F344" s="84">
        <f t="shared" ca="1" si="69"/>
        <v>0.49081122190708582</v>
      </c>
      <c r="G344" s="84">
        <f t="shared" ca="1" si="69"/>
        <v>0.8922131447111219</v>
      </c>
      <c r="H344" s="84">
        <f t="shared" ca="1" si="69"/>
        <v>0.27029070571177782</v>
      </c>
      <c r="J344" s="85">
        <f t="shared" ca="1" si="57"/>
        <v>20200611.364349827</v>
      </c>
      <c r="K344" s="86">
        <f ca="1">IF(J344&gt;0,MIN(99,$B$12*Q344/(J344*12*(1-Inputs!$H$16))),99)</f>
        <v>22.824780865842492</v>
      </c>
      <c r="L344" s="84">
        <f t="shared" ca="1" si="58"/>
        <v>0.85227965182834486</v>
      </c>
      <c r="M344" s="84">
        <f t="shared" ca="1" si="59"/>
        <v>0.93327514731574945</v>
      </c>
      <c r="N344" s="84">
        <f t="shared" ca="1" si="60"/>
        <v>0.94954117297197982</v>
      </c>
      <c r="O344" s="84">
        <f t="shared" ca="1" si="61"/>
        <v>1.0219274882247547</v>
      </c>
      <c r="P344" s="84">
        <f t="shared" ca="1" si="62"/>
        <v>1.5505709236123268</v>
      </c>
      <c r="Q344" s="84">
        <f t="shared" ca="1" si="63"/>
        <v>1.0115819501116028</v>
      </c>
    </row>
    <row r="345" spans="1:17" ht="15" customHeight="1" x14ac:dyDescent="0.2">
      <c r="A345" s="15">
        <v>306</v>
      </c>
      <c r="B345" s="84">
        <f t="shared" ca="1" si="68"/>
        <v>0.66186771614510886</v>
      </c>
      <c r="C345" s="84">
        <f t="shared" ca="1" si="68"/>
        <v>0.55875900571800829</v>
      </c>
      <c r="D345" s="84">
        <f t="shared" ca="1" si="68"/>
        <v>0.65806587980229336</v>
      </c>
      <c r="F345" s="84">
        <f t="shared" ca="1" si="69"/>
        <v>0.4165059295412713</v>
      </c>
      <c r="G345" s="84">
        <f t="shared" ca="1" si="69"/>
        <v>0.71595740495376381</v>
      </c>
      <c r="H345" s="84">
        <f t="shared" ca="1" si="69"/>
        <v>0.1623475710223472</v>
      </c>
      <c r="J345" s="85">
        <f t="shared" ca="1" si="57"/>
        <v>156427780.7146706</v>
      </c>
      <c r="K345" s="86">
        <f ca="1">IF(J345&gt;0,MIN(99,$B$12*Q345/(J345*12*(1-Inputs!$H$16))),99)</f>
        <v>2.8350975651750132</v>
      </c>
      <c r="L345" s="84">
        <f t="shared" ca="1" si="58"/>
        <v>1.0593772066082818</v>
      </c>
      <c r="M345" s="84">
        <f t="shared" ca="1" si="59"/>
        <v>1.0256276932280852</v>
      </c>
      <c r="N345" s="84">
        <f t="shared" ca="1" si="60"/>
        <v>1.0219699454236499</v>
      </c>
      <c r="O345" s="84">
        <f t="shared" ca="1" si="61"/>
        <v>1.015590804673371</v>
      </c>
      <c r="P345" s="84">
        <f t="shared" ca="1" si="62"/>
        <v>1.3559679166658245</v>
      </c>
      <c r="Q345" s="84">
        <f t="shared" ca="1" si="63"/>
        <v>0.97299774625835478</v>
      </c>
    </row>
    <row r="346" spans="1:17" ht="15" customHeight="1" x14ac:dyDescent="0.2">
      <c r="A346" s="15">
        <v>307</v>
      </c>
      <c r="B346" s="84">
        <f t="shared" ca="1" si="68"/>
        <v>0.77848831934525331</v>
      </c>
      <c r="C346" s="84">
        <f t="shared" ca="1" si="68"/>
        <v>0.95786912550606362</v>
      </c>
      <c r="D346" s="84">
        <f t="shared" ca="1" si="68"/>
        <v>0.67035407497395072</v>
      </c>
      <c r="F346" s="84">
        <f t="shared" ca="1" si="69"/>
        <v>0.85683224766666954</v>
      </c>
      <c r="G346" s="84">
        <f t="shared" ca="1" si="69"/>
        <v>0.91248714761528171</v>
      </c>
      <c r="H346" s="84">
        <f t="shared" ca="1" si="69"/>
        <v>0.87357080230817674</v>
      </c>
      <c r="J346" s="85">
        <f t="shared" ca="1" si="57"/>
        <v>170323059.91503561</v>
      </c>
      <c r="K346" s="86">
        <f ca="1">IF(J346&gt;0,MIN(99,$B$12*Q346/(J346*12*(1-Inputs!$H$16))),99)</f>
        <v>3.4882117857421235</v>
      </c>
      <c r="L346" s="84">
        <f t="shared" ca="1" si="58"/>
        <v>1.10047820740656</v>
      </c>
      <c r="M346" s="84">
        <f t="shared" ca="1" si="59"/>
        <v>1.0438052283272976</v>
      </c>
      <c r="N346" s="84">
        <f t="shared" ca="1" si="60"/>
        <v>1.0232105581544291</v>
      </c>
      <c r="O346" s="84">
        <f t="shared" ca="1" si="61"/>
        <v>1.0641609049264933</v>
      </c>
      <c r="P346" s="84">
        <f t="shared" ca="1" si="62"/>
        <v>1.5814599672527578</v>
      </c>
      <c r="Q346" s="84">
        <f t="shared" ca="1" si="63"/>
        <v>1.3034855986541689</v>
      </c>
    </row>
    <row r="347" spans="1:17" ht="15" customHeight="1" x14ac:dyDescent="0.2">
      <c r="A347" s="15">
        <v>308</v>
      </c>
      <c r="B347" s="84">
        <f t="shared" ca="1" si="68"/>
        <v>0.76687608048694578</v>
      </c>
      <c r="C347" s="84">
        <f t="shared" ca="1" si="68"/>
        <v>0.72763035463495818</v>
      </c>
      <c r="D347" s="84">
        <f t="shared" ca="1" si="68"/>
        <v>0.65890919069366438</v>
      </c>
      <c r="F347" s="84">
        <f t="shared" ca="1" si="69"/>
        <v>5.9451553477796182E-3</v>
      </c>
      <c r="G347" s="84">
        <f t="shared" ca="1" si="69"/>
        <v>0.52464104977478265</v>
      </c>
      <c r="H347" s="84">
        <f t="shared" ca="1" si="69"/>
        <v>0.9110938096522998</v>
      </c>
      <c r="J347" s="85">
        <f t="shared" ca="1" si="57"/>
        <v>196197756.38660783</v>
      </c>
      <c r="K347" s="86">
        <f ca="1">IF(J347&gt;0,MIN(99,$B$12*Q347/(J347*12*(1-Inputs!$H$16))),99)</f>
        <v>3.1062392574187614</v>
      </c>
      <c r="L347" s="84">
        <f t="shared" ca="1" si="58"/>
        <v>1.0959621857454549</v>
      </c>
      <c r="M347" s="84">
        <f t="shared" ca="1" si="59"/>
        <v>1.0418079498995427</v>
      </c>
      <c r="N347" s="84">
        <f t="shared" ca="1" si="60"/>
        <v>1.0220543660095074</v>
      </c>
      <c r="O347" s="84">
        <f t="shared" ca="1" si="61"/>
        <v>0.97492688040925291</v>
      </c>
      <c r="P347" s="84">
        <f t="shared" ca="1" si="62"/>
        <v>1.2071431303795095</v>
      </c>
      <c r="Q347" s="84">
        <f t="shared" ca="1" si="63"/>
        <v>1.337084585983606</v>
      </c>
    </row>
    <row r="348" spans="1:17" ht="15" customHeight="1" x14ac:dyDescent="0.2">
      <c r="A348" s="15">
        <v>309</v>
      </c>
      <c r="B348" s="84">
        <f t="shared" ca="1" si="68"/>
        <v>0.21294855704660032</v>
      </c>
      <c r="C348" s="84">
        <f t="shared" ca="1" si="68"/>
        <v>0.47861687834704514</v>
      </c>
      <c r="D348" s="84">
        <f t="shared" ca="1" si="68"/>
        <v>0.29634990391013094</v>
      </c>
      <c r="F348" s="84">
        <f t="shared" ca="1" si="69"/>
        <v>0.35889073635289859</v>
      </c>
      <c r="G348" s="84">
        <f t="shared" ca="1" si="69"/>
        <v>0.36631125085373473</v>
      </c>
      <c r="H348" s="84">
        <f t="shared" ca="1" si="69"/>
        <v>0.76779088243556348</v>
      </c>
      <c r="J348" s="85">
        <f t="shared" ca="1" si="57"/>
        <v>81687951.535765931</v>
      </c>
      <c r="K348" s="86">
        <f ca="1">IF(J348&gt;0,MIN(99,$B$12*Q348/(J348*12*(1-Inputs!$H$16))),99)</f>
        <v>6.8605156822526689</v>
      </c>
      <c r="L348" s="84">
        <f t="shared" ca="1" si="58"/>
        <v>0.92977956153104491</v>
      </c>
      <c r="M348" s="84">
        <f t="shared" ca="1" si="59"/>
        <v>0.96794773946707513</v>
      </c>
      <c r="N348" s="84">
        <f t="shared" ca="1" si="60"/>
        <v>0.99128654121797721</v>
      </c>
      <c r="O348" s="84">
        <f t="shared" ca="1" si="61"/>
        <v>1.0109510242775654</v>
      </c>
      <c r="P348" s="84">
        <f t="shared" ca="1" si="62"/>
        <v>1.1057914681942274</v>
      </c>
      <c r="Q348" s="84">
        <f t="shared" ca="1" si="63"/>
        <v>1.229545793537246</v>
      </c>
    </row>
    <row r="349" spans="1:17" ht="15" customHeight="1" x14ac:dyDescent="0.2">
      <c r="A349" s="15">
        <v>310</v>
      </c>
      <c r="B349" s="84">
        <f t="shared" ca="1" si="68"/>
        <v>0.35271171777829224</v>
      </c>
      <c r="C349" s="84">
        <f t="shared" ca="1" si="68"/>
        <v>0.81200971047009662</v>
      </c>
      <c r="D349" s="84">
        <f t="shared" ca="1" si="68"/>
        <v>0.23693743439179948</v>
      </c>
      <c r="F349" s="84">
        <f t="shared" ca="1" si="69"/>
        <v>0.61693180049298901</v>
      </c>
      <c r="G349" s="84">
        <f t="shared" ca="1" si="69"/>
        <v>0.8182206160198936</v>
      </c>
      <c r="H349" s="84">
        <f t="shared" ca="1" si="69"/>
        <v>9.0366003655338867E-3</v>
      </c>
      <c r="J349" s="85">
        <f t="shared" ca="1" si="57"/>
        <v>96251118.946001574</v>
      </c>
      <c r="K349" s="86">
        <f ca="1">IF(J349&gt;0,MIN(99,$B$12*Q349/(J349*12*(1-Inputs!$H$16))),99)</f>
        <v>4.1331749247761449</v>
      </c>
      <c r="L349" s="84">
        <f t="shared" ca="1" si="58"/>
        <v>0.97419856487951384</v>
      </c>
      <c r="M349" s="84">
        <f t="shared" ca="1" si="59"/>
        <v>0.98782030438718849</v>
      </c>
      <c r="N349" s="84">
        <f t="shared" ca="1" si="60"/>
        <v>0.98574535201959546</v>
      </c>
      <c r="O349" s="84">
        <f t="shared" ca="1" si="61"/>
        <v>1.0338528536240719</v>
      </c>
      <c r="P349" s="84">
        <f t="shared" ca="1" si="62"/>
        <v>1.4573363468610534</v>
      </c>
      <c r="Q349" s="84">
        <f t="shared" ca="1" si="63"/>
        <v>0.87280959993833573</v>
      </c>
    </row>
    <row r="350" spans="1:17" ht="15" customHeight="1" x14ac:dyDescent="0.2">
      <c r="A350" s="15">
        <v>311</v>
      </c>
      <c r="B350" s="84">
        <f t="shared" ca="1" si="68"/>
        <v>0.98056049137956136</v>
      </c>
      <c r="C350" s="84">
        <f t="shared" ca="1" si="68"/>
        <v>0.80024216444440566</v>
      </c>
      <c r="D350" s="84">
        <f t="shared" ca="1" si="68"/>
        <v>0.69748952164803024</v>
      </c>
      <c r="F350" s="84">
        <f t="shared" ca="1" si="69"/>
        <v>0.35463601083521723</v>
      </c>
      <c r="G350" s="84">
        <f t="shared" ca="1" si="69"/>
        <v>0.88353389111729141</v>
      </c>
      <c r="H350" s="84">
        <f t="shared" ca="1" si="69"/>
        <v>0.87220599034839152</v>
      </c>
      <c r="J350" s="85">
        <f t="shared" ca="1" si="57"/>
        <v>277904618.269656</v>
      </c>
      <c r="K350" s="86">
        <f ca="1">IF(J350&gt;0,MIN(99,$B$12*Q350/(J350*12*(1-Inputs!$H$16))),99)</f>
        <v>2.1360286155478185</v>
      </c>
      <c r="L350" s="84">
        <f t="shared" ca="1" si="58"/>
        <v>1.2232995896021093</v>
      </c>
      <c r="M350" s="84">
        <f t="shared" ca="1" si="59"/>
        <v>1.0981248298560009</v>
      </c>
      <c r="N350" s="84">
        <f t="shared" ca="1" si="60"/>
        <v>1.0260348114748681</v>
      </c>
      <c r="O350" s="84">
        <f t="shared" ca="1" si="61"/>
        <v>1.010616821836041</v>
      </c>
      <c r="P350" s="84">
        <f t="shared" ca="1" si="62"/>
        <v>1.5382448998215354</v>
      </c>
      <c r="Q350" s="84">
        <f t="shared" ca="1" si="63"/>
        <v>1.3023651665031284</v>
      </c>
    </row>
    <row r="351" spans="1:17" ht="15" customHeight="1" x14ac:dyDescent="0.2">
      <c r="A351" s="15">
        <v>312</v>
      </c>
      <c r="B351" s="84">
        <f t="shared" ca="1" si="68"/>
        <v>0.71619440783637733</v>
      </c>
      <c r="C351" s="84">
        <f t="shared" ca="1" si="68"/>
        <v>0.49318504580450306</v>
      </c>
      <c r="D351" s="84">
        <f t="shared" ca="1" si="68"/>
        <v>0.5622687248287217</v>
      </c>
      <c r="F351" s="84">
        <f t="shared" ca="1" si="69"/>
        <v>0.54351646743619553</v>
      </c>
      <c r="G351" s="84">
        <f t="shared" ca="1" si="69"/>
        <v>0.32893292386993522</v>
      </c>
      <c r="H351" s="84">
        <f t="shared" ca="1" si="69"/>
        <v>0.28955650648833453</v>
      </c>
      <c r="J351" s="85">
        <f t="shared" ca="1" si="57"/>
        <v>180375257.20836473</v>
      </c>
      <c r="K351" s="86">
        <f ca="1">IF(J351&gt;0,MIN(99,$B$12*Q351/(J351*12*(1-Inputs!$H$16))),99)</f>
        <v>2.5729881680301054</v>
      </c>
      <c r="L351" s="84">
        <f t="shared" ca="1" si="58"/>
        <v>1.077456918818962</v>
      </c>
      <c r="M351" s="84">
        <f t="shared" ca="1" si="59"/>
        <v>1.0336237175805401</v>
      </c>
      <c r="N351" s="84">
        <f t="shared" ca="1" si="60"/>
        <v>1.0129770079753888</v>
      </c>
      <c r="O351" s="84">
        <f t="shared" ca="1" si="61"/>
        <v>1.0267076071500025</v>
      </c>
      <c r="P351" s="84">
        <f t="shared" ca="1" si="62"/>
        <v>1.0837861242963256</v>
      </c>
      <c r="Q351" s="84">
        <f t="shared" ca="1" si="63"/>
        <v>1.0182271993029073</v>
      </c>
    </row>
    <row r="352" spans="1:17" ht="15" customHeight="1" x14ac:dyDescent="0.2">
      <c r="A352" s="15">
        <v>313</v>
      </c>
      <c r="B352" s="84">
        <f t="shared" ca="1" si="68"/>
        <v>0.58654616131882309</v>
      </c>
      <c r="C352" s="84">
        <f t="shared" ca="1" si="68"/>
        <v>0.65640986432050363</v>
      </c>
      <c r="D352" s="84">
        <f t="shared" ca="1" si="68"/>
        <v>4.3839765418383414E-2</v>
      </c>
      <c r="F352" s="84">
        <f t="shared" ca="1" si="69"/>
        <v>0.70972111476172395</v>
      </c>
      <c r="G352" s="84">
        <f t="shared" ca="1" si="69"/>
        <v>0.68632937225564128</v>
      </c>
      <c r="H352" s="84">
        <f t="shared" ca="1" si="69"/>
        <v>0.61832649548849372</v>
      </c>
      <c r="J352" s="85">
        <f t="shared" ca="1" si="57"/>
        <v>150011618.65348119</v>
      </c>
      <c r="K352" s="86">
        <f ca="1">IF(J352&gt;0,MIN(99,$B$12*Q352/(J352*12*(1-Inputs!$H$16))),99)</f>
        <v>3.494112354671032</v>
      </c>
      <c r="L352" s="84">
        <f t="shared" ca="1" si="58"/>
        <v>1.0365678234410007</v>
      </c>
      <c r="M352" s="84">
        <f t="shared" ca="1" si="59"/>
        <v>1.0155399008371027</v>
      </c>
      <c r="N352" s="84">
        <f t="shared" ca="1" si="60"/>
        <v>0.9590691832728333</v>
      </c>
      <c r="O352" s="84">
        <f t="shared" ca="1" si="61"/>
        <v>1.0439513017682036</v>
      </c>
      <c r="P352" s="84">
        <f t="shared" ca="1" si="62"/>
        <v>1.3301917547791744</v>
      </c>
      <c r="Q352" s="84">
        <f t="shared" ca="1" si="63"/>
        <v>1.1499837523216174</v>
      </c>
    </row>
    <row r="353" spans="1:17" ht="15" customHeight="1" x14ac:dyDescent="0.2">
      <c r="A353" s="15">
        <v>314</v>
      </c>
      <c r="B353" s="84">
        <f t="shared" ca="1" si="68"/>
        <v>8.0680876037931837E-2</v>
      </c>
      <c r="C353" s="84">
        <f t="shared" ca="1" si="68"/>
        <v>0.93208977877447374</v>
      </c>
      <c r="D353" s="84">
        <f t="shared" ca="1" si="68"/>
        <v>0.74098855811737263</v>
      </c>
      <c r="F353" s="84">
        <f t="shared" ca="1" si="69"/>
        <v>0.64357107670963776</v>
      </c>
      <c r="G353" s="84">
        <f t="shared" ca="1" si="69"/>
        <v>0.87761533450388363</v>
      </c>
      <c r="H353" s="84">
        <f t="shared" ca="1" si="69"/>
        <v>0.37375943650877597</v>
      </c>
      <c r="J353" s="85">
        <f t="shared" ca="1" si="57"/>
        <v>14877724.018592045</v>
      </c>
      <c r="K353" s="86">
        <f ca="1">IF(J353&gt;0,MIN(99,$B$12*Q353/(J353*12*(1-Inputs!$H$16))),99)</f>
        <v>32.118535173987794</v>
      </c>
      <c r="L353" s="84">
        <f t="shared" ca="1" si="58"/>
        <v>0.87027118428080619</v>
      </c>
      <c r="M353" s="84">
        <f t="shared" ca="1" si="59"/>
        <v>0.94132435755734278</v>
      </c>
      <c r="N353" s="84">
        <f t="shared" ca="1" si="60"/>
        <v>1.030841009266285</v>
      </c>
      <c r="O353" s="84">
        <f t="shared" ca="1" si="61"/>
        <v>1.0366131932230411</v>
      </c>
      <c r="P353" s="84">
        <f t="shared" ca="1" si="62"/>
        <v>1.5301013421422953</v>
      </c>
      <c r="Q353" s="84">
        <f t="shared" ca="1" si="63"/>
        <v>1.0483883105739484</v>
      </c>
    </row>
    <row r="354" spans="1:17" ht="15" customHeight="1" x14ac:dyDescent="0.2">
      <c r="A354" s="15">
        <v>315</v>
      </c>
      <c r="B354" s="84">
        <f t="shared" ca="1" si="68"/>
        <v>0.75858452132907717</v>
      </c>
      <c r="C354" s="84">
        <f t="shared" ca="1" si="68"/>
        <v>0.34329971600062759</v>
      </c>
      <c r="D354" s="84">
        <f t="shared" ca="1" si="68"/>
        <v>0.44846809878348248</v>
      </c>
      <c r="F354" s="84">
        <f t="shared" ca="1" si="69"/>
        <v>0.54224183062389875</v>
      </c>
      <c r="G354" s="84">
        <f t="shared" ca="1" si="69"/>
        <v>0.62669012153329928</v>
      </c>
      <c r="H354" s="84">
        <f t="shared" ca="1" si="69"/>
        <v>0.31274545125072895</v>
      </c>
      <c r="J354" s="85">
        <f t="shared" ca="1" si="57"/>
        <v>186728706.29910856</v>
      </c>
      <c r="K354" s="86">
        <f ca="1">IF(J354&gt;0,MIN(99,$B$12*Q354/(J354*12*(1-Inputs!$H$16))),99)</f>
        <v>2.5052605059942965</v>
      </c>
      <c r="L354" s="84">
        <f t="shared" ca="1" si="58"/>
        <v>1.0928060694829493</v>
      </c>
      <c r="M354" s="84">
        <f t="shared" ca="1" si="59"/>
        <v>1.0404121100653629</v>
      </c>
      <c r="N354" s="84">
        <f t="shared" ca="1" si="60"/>
        <v>1.0034952348929964</v>
      </c>
      <c r="O354" s="84">
        <f t="shared" ca="1" si="61"/>
        <v>1.0265888406642467</v>
      </c>
      <c r="P354" s="84">
        <f t="shared" ca="1" si="62"/>
        <v>1.2817635212716625</v>
      </c>
      <c r="Q354" s="84">
        <f t="shared" ca="1" si="63"/>
        <v>1.0263463018550558</v>
      </c>
    </row>
    <row r="355" spans="1:17" ht="15" customHeight="1" x14ac:dyDescent="0.2">
      <c r="A355" s="15">
        <v>316</v>
      </c>
      <c r="B355" s="84">
        <f t="shared" ca="1" si="68"/>
        <v>0.20316956000754827</v>
      </c>
      <c r="C355" s="84">
        <f t="shared" ca="1" si="68"/>
        <v>0.73769751710252351</v>
      </c>
      <c r="D355" s="84">
        <f t="shared" ca="1" si="68"/>
        <v>0.17762055151537604</v>
      </c>
      <c r="F355" s="84">
        <f t="shared" ca="1" si="69"/>
        <v>0.94565296447158798</v>
      </c>
      <c r="G355" s="84">
        <f t="shared" ca="1" si="69"/>
        <v>0.61737665133901554</v>
      </c>
      <c r="H355" s="84">
        <f t="shared" ca="1" si="69"/>
        <v>0.17952535962336513</v>
      </c>
      <c r="J355" s="85">
        <f t="shared" ca="1" si="57"/>
        <v>63313746.870560244</v>
      </c>
      <c r="K355" s="86">
        <f ca="1">IF(J355&gt;0,MIN(99,$B$12*Q355/(J355*12*(1-Inputs!$H$16))),99)</f>
        <v>7.0532929027647242</v>
      </c>
      <c r="L355" s="84">
        <f t="shared" ca="1" si="58"/>
        <v>0.92618391283747481</v>
      </c>
      <c r="M355" s="84">
        <f t="shared" ca="1" si="59"/>
        <v>0.9663390864873509</v>
      </c>
      <c r="N355" s="84">
        <f t="shared" ca="1" si="60"/>
        <v>0.97946426523918084</v>
      </c>
      <c r="O355" s="84">
        <f t="shared" ca="1" si="61"/>
        <v>1.0824617402436196</v>
      </c>
      <c r="P355" s="84">
        <f t="shared" ca="1" si="62"/>
        <v>1.2745606374619132</v>
      </c>
      <c r="Q355" s="84">
        <f t="shared" ca="1" si="63"/>
        <v>0.97976038660722975</v>
      </c>
    </row>
    <row r="356" spans="1:17" ht="15" customHeight="1" x14ac:dyDescent="0.2">
      <c r="A356" s="15">
        <v>317</v>
      </c>
      <c r="B356" s="84">
        <f t="shared" ca="1" si="68"/>
        <v>0.74927877430672929</v>
      </c>
      <c r="C356" s="84">
        <f t="shared" ca="1" si="68"/>
        <v>0.35338717701017464</v>
      </c>
      <c r="D356" s="84">
        <f t="shared" ca="1" si="68"/>
        <v>0.35201435053964636</v>
      </c>
      <c r="F356" s="84">
        <f t="shared" ca="1" si="69"/>
        <v>0.91611819340645706</v>
      </c>
      <c r="G356" s="84">
        <f t="shared" ca="1" si="69"/>
        <v>0.93706238621129856</v>
      </c>
      <c r="H356" s="84">
        <f t="shared" ca="1" si="69"/>
        <v>0.2633682506010353</v>
      </c>
      <c r="J356" s="85">
        <f t="shared" ca="1" si="57"/>
        <v>164771162.09817463</v>
      </c>
      <c r="K356" s="86">
        <f ca="1">IF(J356&gt;0,MIN(99,$B$12*Q356/(J356*12*(1-Inputs!$H$16))),99)</f>
        <v>2.7917263599474413</v>
      </c>
      <c r="L356" s="84">
        <f t="shared" ca="1" si="58"/>
        <v>1.0893277927830212</v>
      </c>
      <c r="M356" s="84">
        <f t="shared" ca="1" si="59"/>
        <v>1.0388737899376359</v>
      </c>
      <c r="N356" s="84">
        <f t="shared" ca="1" si="60"/>
        <v>0.99599196425040926</v>
      </c>
      <c r="O356" s="84">
        <f t="shared" ca="1" si="61"/>
        <v>1.0753431494510115</v>
      </c>
      <c r="P356" s="84">
        <f t="shared" ca="1" si="62"/>
        <v>1.624205672773239</v>
      </c>
      <c r="Q356" s="84">
        <f t="shared" ca="1" si="63"/>
        <v>1.0092156891557231</v>
      </c>
    </row>
    <row r="357" spans="1:17" ht="15" customHeight="1" x14ac:dyDescent="0.2">
      <c r="A357" s="15">
        <v>318</v>
      </c>
      <c r="B357" s="84">
        <f t="shared" ca="1" si="68"/>
        <v>0.21393499072072963</v>
      </c>
      <c r="C357" s="84">
        <f t="shared" ca="1" si="68"/>
        <v>0.1335610314591732</v>
      </c>
      <c r="D357" s="84">
        <f t="shared" ca="1" si="68"/>
        <v>0.1531915438667224</v>
      </c>
      <c r="F357" s="84">
        <f t="shared" ca="1" si="69"/>
        <v>0.39990758111833768</v>
      </c>
      <c r="G357" s="84">
        <f t="shared" ca="1" si="69"/>
        <v>0.69211443346370172</v>
      </c>
      <c r="H357" s="84">
        <f t="shared" ca="1" si="69"/>
        <v>0.45293196591093099</v>
      </c>
      <c r="J357" s="85">
        <f t="shared" ca="1" si="57"/>
        <v>75663689.518418774</v>
      </c>
      <c r="K357" s="86">
        <f ca="1">IF(J357&gt;0,MIN(99,$B$12*Q357/(J357*12*(1-Inputs!$H$16))),99)</f>
        <v>6.4978108534385068</v>
      </c>
      <c r="L357" s="84">
        <f t="shared" ca="1" si="58"/>
        <v>0.93013763713580944</v>
      </c>
      <c r="M357" s="84">
        <f t="shared" ca="1" si="59"/>
        <v>0.96810793848473797</v>
      </c>
      <c r="N357" s="84">
        <f t="shared" ca="1" si="60"/>
        <v>0.9765739791226018</v>
      </c>
      <c r="O357" s="84">
        <f t="shared" ca="1" si="61"/>
        <v>1.0142315106367619</v>
      </c>
      <c r="P357" s="84">
        <f t="shared" ca="1" si="62"/>
        <v>1.335125773791114</v>
      </c>
      <c r="Q357" s="84">
        <f t="shared" ca="1" si="63"/>
        <v>1.078659868664847</v>
      </c>
    </row>
    <row r="358" spans="1:17" ht="15" customHeight="1" x14ac:dyDescent="0.2">
      <c r="A358" s="15">
        <v>319</v>
      </c>
      <c r="B358" s="84">
        <f t="shared" ca="1" si="68"/>
        <v>0.86373800567496517</v>
      </c>
      <c r="C358" s="84">
        <f t="shared" ca="1" si="68"/>
        <v>0.25202276149796732</v>
      </c>
      <c r="D358" s="84">
        <f t="shared" ca="1" si="68"/>
        <v>0.65532531556861284</v>
      </c>
      <c r="F358" s="84">
        <f t="shared" ca="1" si="69"/>
        <v>0.42180315840951144</v>
      </c>
      <c r="G358" s="84">
        <f t="shared" ca="1" si="69"/>
        <v>0.49572796466234237</v>
      </c>
      <c r="H358" s="84">
        <f t="shared" ca="1" si="69"/>
        <v>0.65610174835718116</v>
      </c>
      <c r="J358" s="85">
        <f t="shared" ca="1" si="57"/>
        <v>222660033.57978755</v>
      </c>
      <c r="K358" s="86">
        <f ca="1">IF(J358&gt;0,MIN(99,$B$12*Q358/(J358*12*(1-Inputs!$H$16))),99)</f>
        <v>2.3916596749461982</v>
      </c>
      <c r="L358" s="84">
        <f t="shared" ca="1" si="58"/>
        <v>1.1381204024710319</v>
      </c>
      <c r="M358" s="84">
        <f t="shared" ca="1" si="59"/>
        <v>1.0604530546260797</v>
      </c>
      <c r="N358" s="84">
        <f t="shared" ca="1" si="60"/>
        <v>1.021696314602591</v>
      </c>
      <c r="O358" s="84">
        <f t="shared" ca="1" si="61"/>
        <v>1.0160286718865974</v>
      </c>
      <c r="P358" s="84">
        <f t="shared" ca="1" si="62"/>
        <v>1.1874987271940867</v>
      </c>
      <c r="Q358" s="84">
        <f t="shared" ca="1" si="63"/>
        <v>1.1683463139603534</v>
      </c>
    </row>
    <row r="359" spans="1:17" ht="15" customHeight="1" x14ac:dyDescent="0.2">
      <c r="A359" s="15">
        <v>320</v>
      </c>
      <c r="B359" s="84">
        <f t="shared" ca="1" si="68"/>
        <v>9.5287334180402805E-2</v>
      </c>
      <c r="C359" s="84">
        <f t="shared" ca="1" si="68"/>
        <v>0.12498096768527189</v>
      </c>
      <c r="D359" s="84">
        <f t="shared" ca="1" si="68"/>
        <v>0.49992819460054805</v>
      </c>
      <c r="F359" s="84">
        <f t="shared" ca="1" si="69"/>
        <v>0.16824903417828441</v>
      </c>
      <c r="G359" s="84">
        <f t="shared" ca="1" si="69"/>
        <v>0.28843270073547556</v>
      </c>
      <c r="H359" s="84">
        <f t="shared" ca="1" si="69"/>
        <v>0.68081866616377351</v>
      </c>
      <c r="J359" s="85">
        <f t="shared" ca="1" si="57"/>
        <v>48895483.348512098</v>
      </c>
      <c r="K359" s="86">
        <f ca="1">IF(J359&gt;0,MIN(99,$B$12*Q359/(J359*12*(1-Inputs!$H$16))),99)</f>
        <v>11.00826963293008</v>
      </c>
      <c r="L359" s="84">
        <f t="shared" ca="1" si="58"/>
        <v>0.87853658819613156</v>
      </c>
      <c r="M359" s="84">
        <f t="shared" ca="1" si="59"/>
        <v>0.94502220675512139</v>
      </c>
      <c r="N359" s="84">
        <f t="shared" ca="1" si="60"/>
        <v>1.0076481542409732</v>
      </c>
      <c r="O359" s="84">
        <f t="shared" ca="1" si="61"/>
        <v>0.99670380041675743</v>
      </c>
      <c r="P359" s="84">
        <f t="shared" ca="1" si="62"/>
        <v>1.0606239837713813</v>
      </c>
      <c r="Q359" s="84">
        <f t="shared" ca="1" si="63"/>
        <v>1.1809125649708405</v>
      </c>
    </row>
    <row r="360" spans="1:17" ht="15" customHeight="1" x14ac:dyDescent="0.2">
      <c r="A360" s="15">
        <v>321</v>
      </c>
      <c r="B360" s="84">
        <f t="shared" ref="B360:D379" ca="1" si="70">RAND()</f>
        <v>0.43441962208689389</v>
      </c>
      <c r="C360" s="84">
        <f t="shared" ca="1" si="70"/>
        <v>0.79335958099656723</v>
      </c>
      <c r="D360" s="84">
        <f t="shared" ca="1" si="70"/>
        <v>0.71338433124484535</v>
      </c>
      <c r="F360" s="84">
        <f t="shared" ref="F360:H379" ca="1" si="71">RAND()</f>
        <v>0.13824650917507608</v>
      </c>
      <c r="G360" s="84">
        <f t="shared" ca="1" si="71"/>
        <v>0.79405021032004364</v>
      </c>
      <c r="H360" s="84">
        <f t="shared" ca="1" si="71"/>
        <v>0.98113807561622723</v>
      </c>
      <c r="J360" s="85">
        <f t="shared" ref="J360:J423" ca="1" si="72">$B$5*L360*M360-$B$6*L360*N360-$B$7*L360*M360-$B$8*L360*M360-$B$9*O360-$B$10*P360-$B$11</f>
        <v>110315409.62367968</v>
      </c>
      <c r="K360" s="86">
        <f ca="1">IF(J360&gt;0,MIN(99,$B$12*Q360/(J360*12*(1-Inputs!$H$16))),99)</f>
        <v>5.9134903824147118</v>
      </c>
      <c r="L360" s="84">
        <f t="shared" ref="L360:L423" ca="1" si="73">IF($D$16=$B$16,$C$16,IF(B360&lt;($C$16-$B$16)/($D$16-$B$16),$B$16+SQRT(B360*($D$16-$B$16)*($C$16-$B$16)),$D$16-SQRT((1-B360)*($D$16-$B$16)*($D$16-$C$16))))</f>
        <v>0.99607059389429331</v>
      </c>
      <c r="M360" s="84">
        <f t="shared" ref="M360:M423" ca="1" si="74">IF($D$17=$B$17,$C$17,IF(IF($B$33=1,B360,C360)&lt;($C$17-$B$17)/($D$17-$B$17),$B$17+SQRT(IF($B$33=1,B360,C360)*($D$17-$B$17)*($C$17-$B$17)),$D$17-SQRT((1-IF($B$33=1,B360,C360))*($D$17-$B$17)*($D$17-$C$17))))</f>
        <v>0.99760560535670673</v>
      </c>
      <c r="N360" s="84">
        <f t="shared" ref="N360:N423" ca="1" si="75">IF($D$18=$B$18,$C$18,IF(D360&lt;($C$18-$B$18)/($D$18-$B$18),$B$18+SQRT(D360*($D$18-$B$18)*($C$18-$B$18)),$D$18-SQRT((1-D360)*($D$18-$B$18)*($D$18-$C$18))))</f>
        <v>1.0277482540587395</v>
      </c>
      <c r="O360" s="84">
        <f t="shared" ref="O360:O423" ca="1" si="76">IF($D$19=$B$19,$C$19,IF(F360&lt;($C$19-$B$19)/($D$19-$B$19),$B$19+SQRT(F360*($D$19-$B$19)*($C$19-$B$19)),$D$19-SQRT((1-F360)*($D$19-$B$19)*($D$19-$C$19))))</f>
        <v>0.99419535434064832</v>
      </c>
      <c r="P360" s="84">
        <f t="shared" ref="P360:P423" ca="1" si="77">IF($D$20=$B$20,$C$20,IF(G360&lt;($C$20-$B$20)/($D$20-$B$20),$B$20+SQRT(G360*($D$20-$B$20)*($C$20-$B$20)),$D$20-SQRT((1-G360)*($D$20-$B$20)*($D$20-$C$20))))</f>
        <v>1.431223192994278</v>
      </c>
      <c r="Q360" s="84">
        <f t="shared" ref="Q360:Q423" ca="1" si="78">IF($D$21=$B$21,$C$21,IF(H360&lt;($C$21-$B$21)/($D$21-$B$21),$B$21+SQRT(H360*($D$21-$B$21)*($C$21-$B$21)),$D$21-SQRT((1-H360)*($D$21-$B$21)*($D$21-$C$21))))</f>
        <v>1.4312319354480991</v>
      </c>
    </row>
    <row r="361" spans="1:17" ht="15" customHeight="1" x14ac:dyDescent="0.2">
      <c r="A361" s="15">
        <v>322</v>
      </c>
      <c r="B361" s="84">
        <f t="shared" ca="1" si="70"/>
        <v>0.43553772384131828</v>
      </c>
      <c r="C361" s="84">
        <f t="shared" ca="1" si="70"/>
        <v>0.26859171278811245</v>
      </c>
      <c r="D361" s="84">
        <f t="shared" ca="1" si="70"/>
        <v>0.56308279926957672</v>
      </c>
      <c r="F361" s="84">
        <f t="shared" ca="1" si="71"/>
        <v>0.52353206621663406</v>
      </c>
      <c r="G361" s="84">
        <f t="shared" ca="1" si="71"/>
        <v>0.73603811904962502</v>
      </c>
      <c r="H361" s="84">
        <f t="shared" ca="1" si="71"/>
        <v>7.3499981059911512E-2</v>
      </c>
      <c r="J361" s="85">
        <f t="shared" ca="1" si="72"/>
        <v>110702001.51191889</v>
      </c>
      <c r="K361" s="86">
        <f ca="1">IF(J361&gt;0,MIN(99,$B$12*Q361/(J361*12*(1-Inputs!$H$16))),99)</f>
        <v>3.8295232836064756</v>
      </c>
      <c r="L361" s="84">
        <f t="shared" ca="1" si="73"/>
        <v>0.99635490492001366</v>
      </c>
      <c r="M361" s="84">
        <f t="shared" ca="1" si="74"/>
        <v>0.99773280292734579</v>
      </c>
      <c r="N361" s="84">
        <f t="shared" ca="1" si="75"/>
        <v>1.0130490235187861</v>
      </c>
      <c r="O361" s="84">
        <f t="shared" ca="1" si="76"/>
        <v>1.0248641867679018</v>
      </c>
      <c r="P361" s="84">
        <f t="shared" ca="1" si="77"/>
        <v>1.3742105860041387</v>
      </c>
      <c r="Q361" s="84">
        <f t="shared" ca="1" si="78"/>
        <v>0.9301010376401514</v>
      </c>
    </row>
    <row r="362" spans="1:17" ht="15" customHeight="1" x14ac:dyDescent="0.2">
      <c r="A362" s="15">
        <v>323</v>
      </c>
      <c r="B362" s="84">
        <f t="shared" ca="1" si="70"/>
        <v>0.53571707187771977</v>
      </c>
      <c r="C362" s="84">
        <f t="shared" ca="1" si="70"/>
        <v>0.8730496835317213</v>
      </c>
      <c r="D362" s="84">
        <f t="shared" ca="1" si="70"/>
        <v>0.20587136567736208</v>
      </c>
      <c r="F362" s="84">
        <f t="shared" ca="1" si="71"/>
        <v>0.75522059059836066</v>
      </c>
      <c r="G362" s="84">
        <f t="shared" ca="1" si="71"/>
        <v>0.9832454157349837</v>
      </c>
      <c r="H362" s="84">
        <f t="shared" ca="1" si="71"/>
        <v>0.47958266595527266</v>
      </c>
      <c r="J362" s="85">
        <f t="shared" ca="1" si="72"/>
        <v>117993295.38715826</v>
      </c>
      <c r="K362" s="86">
        <f ca="1">IF(J362&gt;0,MIN(99,$B$12*Q362/(J362*12*(1-Inputs!$H$16))),99)</f>
        <v>4.2079951909720785</v>
      </c>
      <c r="L362" s="84">
        <f t="shared" ca="1" si="73"/>
        <v>1.0223363844618432</v>
      </c>
      <c r="M362" s="84">
        <f t="shared" ca="1" si="74"/>
        <v>1.0092458331372529</v>
      </c>
      <c r="N362" s="84">
        <f t="shared" ca="1" si="75"/>
        <v>0.98256866133661946</v>
      </c>
      <c r="O362" s="84">
        <f t="shared" ca="1" si="76"/>
        <v>1.0494980356231949</v>
      </c>
      <c r="P362" s="84">
        <f t="shared" ca="1" si="77"/>
        <v>1.7396797159679074</v>
      </c>
      <c r="Q362" s="84">
        <f t="shared" ca="1" si="78"/>
        <v>1.0893376316244923</v>
      </c>
    </row>
    <row r="363" spans="1:17" ht="15" customHeight="1" x14ac:dyDescent="0.2">
      <c r="A363" s="15">
        <v>324</v>
      </c>
      <c r="B363" s="84">
        <f t="shared" ca="1" si="70"/>
        <v>0.71315979543361341</v>
      </c>
      <c r="C363" s="84">
        <f t="shared" ca="1" si="70"/>
        <v>0.32075103589980569</v>
      </c>
      <c r="D363" s="84">
        <f t="shared" ca="1" si="70"/>
        <v>0.44008431472490239</v>
      </c>
      <c r="F363" s="84">
        <f t="shared" ca="1" si="71"/>
        <v>7.164434841672318E-2</v>
      </c>
      <c r="G363" s="84">
        <f t="shared" ca="1" si="71"/>
        <v>0.96896109295873534</v>
      </c>
      <c r="H363" s="84">
        <f t="shared" ca="1" si="71"/>
        <v>0.15739045673330898</v>
      </c>
      <c r="J363" s="85">
        <f t="shared" ca="1" si="72"/>
        <v>165400115.72170842</v>
      </c>
      <c r="K363" s="86">
        <f ca="1">IF(J363&gt;0,MIN(99,$B$12*Q363/(J363*12*(1-Inputs!$H$16))),99)</f>
        <v>2.6757448306235445</v>
      </c>
      <c r="L363" s="84">
        <f t="shared" ca="1" si="73"/>
        <v>1.0764036049474257</v>
      </c>
      <c r="M363" s="84">
        <f t="shared" ca="1" si="74"/>
        <v>1.0331578736960003</v>
      </c>
      <c r="N363" s="84">
        <f t="shared" ca="1" si="75"/>
        <v>1.0028373081703434</v>
      </c>
      <c r="O363" s="84">
        <f t="shared" ca="1" si="76"/>
        <v>0.98738588167994712</v>
      </c>
      <c r="P363" s="84">
        <f t="shared" ca="1" si="77"/>
        <v>1.6952346141103283</v>
      </c>
      <c r="Q363" s="84">
        <f t="shared" ca="1" si="78"/>
        <v>0.97098036006402011</v>
      </c>
    </row>
    <row r="364" spans="1:17" ht="15" customHeight="1" x14ac:dyDescent="0.2">
      <c r="A364" s="15">
        <v>325</v>
      </c>
      <c r="B364" s="84">
        <f t="shared" ca="1" si="70"/>
        <v>0.71225730437150081</v>
      </c>
      <c r="C364" s="84">
        <f t="shared" ca="1" si="70"/>
        <v>0.69198004511440891</v>
      </c>
      <c r="D364" s="84">
        <f t="shared" ca="1" si="70"/>
        <v>0.91229359543431299</v>
      </c>
      <c r="F364" s="84">
        <f t="shared" ca="1" si="71"/>
        <v>0.87502762310577875</v>
      </c>
      <c r="G364" s="84">
        <f t="shared" ca="1" si="71"/>
        <v>0.46272202054221157</v>
      </c>
      <c r="H364" s="84">
        <f t="shared" ca="1" si="71"/>
        <v>0.62477771791825876</v>
      </c>
      <c r="J364" s="85">
        <f t="shared" ca="1" si="72"/>
        <v>159579541.30617923</v>
      </c>
      <c r="K364" s="86">
        <f ca="1">IF(J364&gt;0,MIN(99,$B$12*Q364/(J364*12*(1-Inputs!$H$16))),99)</f>
        <v>3.2933823638785711</v>
      </c>
      <c r="L364" s="84">
        <f t="shared" ca="1" si="73"/>
        <v>1.0760914264067065</v>
      </c>
      <c r="M364" s="84">
        <f t="shared" ca="1" si="74"/>
        <v>1.0330198080462369</v>
      </c>
      <c r="N364" s="84">
        <f t="shared" ca="1" si="75"/>
        <v>1.0557366094518839</v>
      </c>
      <c r="O364" s="84">
        <f t="shared" ca="1" si="76"/>
        <v>1.0672932411773992</v>
      </c>
      <c r="P364" s="84">
        <f t="shared" ca="1" si="77"/>
        <v>1.1657499427939468</v>
      </c>
      <c r="Q364" s="84">
        <f t="shared" ca="1" si="78"/>
        <v>1.1530531042795349</v>
      </c>
    </row>
    <row r="365" spans="1:17" ht="15" customHeight="1" x14ac:dyDescent="0.2">
      <c r="A365" s="15">
        <v>326</v>
      </c>
      <c r="B365" s="84">
        <f t="shared" ca="1" si="70"/>
        <v>0.22960377493304518</v>
      </c>
      <c r="C365" s="84">
        <f t="shared" ca="1" si="70"/>
        <v>0.43920977315594023</v>
      </c>
      <c r="D365" s="84">
        <f t="shared" ca="1" si="70"/>
        <v>0.33202783352424148</v>
      </c>
      <c r="F365" s="84">
        <f t="shared" ca="1" si="71"/>
        <v>0.17117754665512186</v>
      </c>
      <c r="G365" s="84">
        <f t="shared" ca="1" si="71"/>
        <v>0.34992590873138396</v>
      </c>
      <c r="H365" s="84">
        <f t="shared" ca="1" si="71"/>
        <v>0.48646438788177182</v>
      </c>
      <c r="J365" s="85">
        <f t="shared" ca="1" si="72"/>
        <v>87790709.033414945</v>
      </c>
      <c r="K365" s="86">
        <f ca="1">IF(J365&gt;0,MIN(99,$B$12*Q365/(J365*12*(1-Inputs!$H$16))),99)</f>
        <v>5.6702135046141517</v>
      </c>
      <c r="L365" s="84">
        <f t="shared" ca="1" si="73"/>
        <v>0.93571846402939385</v>
      </c>
      <c r="M365" s="84">
        <f t="shared" ca="1" si="74"/>
        <v>0.97060473797122393</v>
      </c>
      <c r="N365" s="84">
        <f t="shared" ca="1" si="75"/>
        <v>0.99434845900684199</v>
      </c>
      <c r="O365" s="84">
        <f t="shared" ca="1" si="76"/>
        <v>0.99693618920507121</v>
      </c>
      <c r="P365" s="84">
        <f t="shared" ca="1" si="77"/>
        <v>1.0960673480807199</v>
      </c>
      <c r="Q365" s="84">
        <f t="shared" ca="1" si="78"/>
        <v>1.0921389851043446</v>
      </c>
    </row>
    <row r="366" spans="1:17" ht="15" customHeight="1" x14ac:dyDescent="0.2">
      <c r="A366" s="15">
        <v>327</v>
      </c>
      <c r="B366" s="84">
        <f t="shared" ca="1" si="70"/>
        <v>0.62708076787128486</v>
      </c>
      <c r="C366" s="84">
        <f t="shared" ca="1" si="70"/>
        <v>0.13024501469463245</v>
      </c>
      <c r="D366" s="84">
        <f t="shared" ca="1" si="70"/>
        <v>0.58408759271155153</v>
      </c>
      <c r="F366" s="84">
        <f t="shared" ca="1" si="71"/>
        <v>0.14773540596552703</v>
      </c>
      <c r="G366" s="84">
        <f t="shared" ca="1" si="71"/>
        <v>0.35471244673847935</v>
      </c>
      <c r="H366" s="84">
        <f t="shared" ca="1" si="71"/>
        <v>0.73557943109394497</v>
      </c>
      <c r="J366" s="85">
        <f t="shared" ca="1" si="72"/>
        <v>163208322.57507354</v>
      </c>
      <c r="K366" s="86">
        <f ca="1">IF(J366&gt;0,MIN(99,$B$12*Q366/(J366*12*(1-Inputs!$H$16))),99)</f>
        <v>3.3809148716411546</v>
      </c>
      <c r="L366" s="84">
        <f t="shared" ca="1" si="73"/>
        <v>1.0485570835338442</v>
      </c>
      <c r="M366" s="84">
        <f t="shared" ca="1" si="74"/>
        <v>1.0208423312382715</v>
      </c>
      <c r="N366" s="84">
        <f t="shared" ca="1" si="75"/>
        <v>1.0149309344557762</v>
      </c>
      <c r="O366" s="84">
        <f t="shared" ca="1" si="76"/>
        <v>0.99501578749846309</v>
      </c>
      <c r="P366" s="84">
        <f t="shared" ca="1" si="77"/>
        <v>1.0988951897721493</v>
      </c>
      <c r="Q366" s="84">
        <f t="shared" ca="1" si="78"/>
        <v>1.210616192241929</v>
      </c>
    </row>
    <row r="367" spans="1:17" ht="15" customHeight="1" x14ac:dyDescent="0.2">
      <c r="A367" s="15">
        <v>328</v>
      </c>
      <c r="B367" s="84">
        <f t="shared" ca="1" si="70"/>
        <v>0.4245123631018477</v>
      </c>
      <c r="C367" s="84">
        <f t="shared" ca="1" si="70"/>
        <v>0.91410051769145451</v>
      </c>
      <c r="D367" s="84">
        <f t="shared" ca="1" si="70"/>
        <v>0.75165751623224186</v>
      </c>
      <c r="F367" s="84">
        <f t="shared" ca="1" si="71"/>
        <v>0.25538380951222528</v>
      </c>
      <c r="G367" s="84">
        <f t="shared" ca="1" si="71"/>
        <v>0.5339975250541632</v>
      </c>
      <c r="H367" s="84">
        <f t="shared" ca="1" si="71"/>
        <v>0.86115570500802596</v>
      </c>
      <c r="J367" s="85">
        <f t="shared" ca="1" si="72"/>
        <v>114337035.91735364</v>
      </c>
      <c r="K367" s="86">
        <f ca="1">IF(J367&gt;0,MIN(99,$B$12*Q367/(J367*12*(1-Inputs!$H$16))),99)</f>
        <v>5.1564565371114091</v>
      </c>
      <c r="L367" s="84">
        <f t="shared" ca="1" si="73"/>
        <v>0.99353521649600973</v>
      </c>
      <c r="M367" s="84">
        <f t="shared" ca="1" si="74"/>
        <v>0.99647130588697053</v>
      </c>
      <c r="N367" s="84">
        <f t="shared" ca="1" si="75"/>
        <v>1.0320802890200604</v>
      </c>
      <c r="O367" s="84">
        <f t="shared" ca="1" si="76"/>
        <v>1.0031118161364276</v>
      </c>
      <c r="P367" s="84">
        <f t="shared" ca="1" si="77"/>
        <v>1.2136275004944257</v>
      </c>
      <c r="Q367" s="84">
        <f t="shared" ca="1" si="78"/>
        <v>1.2935053587815157</v>
      </c>
    </row>
    <row r="368" spans="1:17" ht="15" customHeight="1" x14ac:dyDescent="0.2">
      <c r="A368" s="15">
        <v>329</v>
      </c>
      <c r="B368" s="84">
        <f t="shared" ca="1" si="70"/>
        <v>0.84179615572016697</v>
      </c>
      <c r="C368" s="84">
        <f t="shared" ca="1" si="70"/>
        <v>9.7254698118808269E-2</v>
      </c>
      <c r="D368" s="84">
        <f t="shared" ca="1" si="70"/>
        <v>0.88646450633033325</v>
      </c>
      <c r="F368" s="84">
        <f t="shared" ca="1" si="71"/>
        <v>0.43486959643229006</v>
      </c>
      <c r="G368" s="84">
        <f t="shared" ca="1" si="71"/>
        <v>0.41041821789104016</v>
      </c>
      <c r="H368" s="84">
        <f t="shared" ca="1" si="71"/>
        <v>0.70456526598769864</v>
      </c>
      <c r="J368" s="85">
        <f t="shared" ca="1" si="72"/>
        <v>209177833.52233124</v>
      </c>
      <c r="K368" s="86">
        <f ca="1">IF(J368&gt;0,MIN(99,$B$12*Q368/(J368*12*(1-Inputs!$H$16))),99)</f>
        <v>2.6005162926615006</v>
      </c>
      <c r="L368" s="84">
        <f t="shared" ca="1" si="73"/>
        <v>1.1275109204433187</v>
      </c>
      <c r="M368" s="84">
        <f t="shared" ca="1" si="74"/>
        <v>1.055760851803824</v>
      </c>
      <c r="N368" s="84">
        <f t="shared" ca="1" si="75"/>
        <v>1.0509632010281922</v>
      </c>
      <c r="O368" s="84">
        <f t="shared" ca="1" si="76"/>
        <v>1.01711739359941</v>
      </c>
      <c r="P368" s="84">
        <f t="shared" ca="1" si="77"/>
        <v>1.1326106118526229</v>
      </c>
      <c r="Q368" s="84">
        <f t="shared" ca="1" si="78"/>
        <v>1.1934526169696502</v>
      </c>
    </row>
    <row r="369" spans="1:17" ht="15" customHeight="1" x14ac:dyDescent="0.2">
      <c r="A369" s="15">
        <v>330</v>
      </c>
      <c r="B369" s="84">
        <f t="shared" ca="1" si="70"/>
        <v>0.71850492308891367</v>
      </c>
      <c r="C369" s="84">
        <f t="shared" ca="1" si="70"/>
        <v>0.48752723178714652</v>
      </c>
      <c r="D369" s="84">
        <f t="shared" ca="1" si="70"/>
        <v>0.91017539520709279</v>
      </c>
      <c r="F369" s="84">
        <f t="shared" ca="1" si="71"/>
        <v>0.71740074299752132</v>
      </c>
      <c r="G369" s="84">
        <f t="shared" ca="1" si="71"/>
        <v>0.59071955157159584</v>
      </c>
      <c r="H369" s="84">
        <f t="shared" ca="1" si="71"/>
        <v>6.0879777052794126E-2</v>
      </c>
      <c r="J369" s="85">
        <f t="shared" ca="1" si="72"/>
        <v>161680464.35701972</v>
      </c>
      <c r="K369" s="86">
        <f ca="1">IF(J369&gt;0,MIN(99,$B$12*Q369/(J369*12*(1-Inputs!$H$16))),99)</f>
        <v>2.5997019003556483</v>
      </c>
      <c r="L369" s="84">
        <f t="shared" ca="1" si="73"/>
        <v>1.0782626800139985</v>
      </c>
      <c r="M369" s="84">
        <f t="shared" ca="1" si="74"/>
        <v>1.0339800775746979</v>
      </c>
      <c r="N369" s="84">
        <f t="shared" ca="1" si="75"/>
        <v>1.0553206830634401</v>
      </c>
      <c r="O369" s="84">
        <f t="shared" ca="1" si="76"/>
        <v>1.0448552773175013</v>
      </c>
      <c r="P369" s="84">
        <f t="shared" ca="1" si="77"/>
        <v>1.2544156694598518</v>
      </c>
      <c r="Q369" s="84">
        <f t="shared" ca="1" si="78"/>
        <v>0.9221701087900851</v>
      </c>
    </row>
    <row r="370" spans="1:17" ht="15" customHeight="1" x14ac:dyDescent="0.2">
      <c r="A370" s="15">
        <v>331</v>
      </c>
      <c r="B370" s="84">
        <f t="shared" ca="1" si="70"/>
        <v>1.0557726055306915E-2</v>
      </c>
      <c r="C370" s="84">
        <f t="shared" ca="1" si="70"/>
        <v>0.74147459317630404</v>
      </c>
      <c r="D370" s="84">
        <f t="shared" ca="1" si="70"/>
        <v>0.88416695477867624</v>
      </c>
      <c r="F370" s="84">
        <f t="shared" ca="1" si="71"/>
        <v>0.71832309602948996</v>
      </c>
      <c r="G370" s="84">
        <f t="shared" ca="1" si="71"/>
        <v>0.66694478558205894</v>
      </c>
      <c r="H370" s="84">
        <f t="shared" ca="1" si="71"/>
        <v>0.79413946867802754</v>
      </c>
      <c r="J370" s="85">
        <f t="shared" ca="1" si="72"/>
        <v>-19117177.546408191</v>
      </c>
      <c r="K370" s="86">
        <f ca="1">IF(J370&gt;0,MIN(99,$B$12*Q370/(J370*12*(1-Inputs!$H$16))),99)</f>
        <v>99</v>
      </c>
      <c r="L370" s="84">
        <f t="shared" ca="1" si="73"/>
        <v>0.80946366465165931</v>
      </c>
      <c r="M370" s="84">
        <f t="shared" ca="1" si="74"/>
        <v>0.91411975388847311</v>
      </c>
      <c r="N370" s="84">
        <f t="shared" ca="1" si="75"/>
        <v>1.0505662996242375</v>
      </c>
      <c r="O370" s="84">
        <f t="shared" ca="1" si="76"/>
        <v>1.0449646702665716</v>
      </c>
      <c r="P370" s="84">
        <f t="shared" ca="1" si="77"/>
        <v>1.3139821068327402</v>
      </c>
      <c r="Q370" s="84">
        <f t="shared" ca="1" si="78"/>
        <v>1.2460312572951004</v>
      </c>
    </row>
    <row r="371" spans="1:17" ht="15" customHeight="1" x14ac:dyDescent="0.2">
      <c r="A371" s="15">
        <v>332</v>
      </c>
      <c r="B371" s="84">
        <f t="shared" ca="1" si="70"/>
        <v>0.92485354489142491</v>
      </c>
      <c r="C371" s="84">
        <f t="shared" ca="1" si="70"/>
        <v>0.11823832386376576</v>
      </c>
      <c r="D371" s="84">
        <f t="shared" ca="1" si="70"/>
        <v>0.24128200494953966</v>
      </c>
      <c r="F371" s="84">
        <f t="shared" ca="1" si="71"/>
        <v>0.38582135417956709</v>
      </c>
      <c r="G371" s="84">
        <f t="shared" ca="1" si="71"/>
        <v>0.58932595484581718</v>
      </c>
      <c r="H371" s="84">
        <f t="shared" ca="1" si="71"/>
        <v>0.49958111984662701</v>
      </c>
      <c r="J371" s="85">
        <f t="shared" ca="1" si="72"/>
        <v>257559715.96914583</v>
      </c>
      <c r="K371" s="86">
        <f ca="1">IF(J371&gt;0,MIN(99,$B$12*Q371/(J371*12*(1-Inputs!$H$16))),99)</f>
        <v>1.9422667857287701</v>
      </c>
      <c r="L371" s="84">
        <f t="shared" ca="1" si="73"/>
        <v>1.1733504177213252</v>
      </c>
      <c r="M371" s="84">
        <f t="shared" ca="1" si="74"/>
        <v>1.0760340581617607</v>
      </c>
      <c r="N371" s="84">
        <f t="shared" ca="1" si="75"/>
        <v>0.98617258697799737</v>
      </c>
      <c r="O371" s="84">
        <f t="shared" ca="1" si="76"/>
        <v>1.0130926200042327</v>
      </c>
      <c r="P371" s="84">
        <f t="shared" ca="1" si="77"/>
        <v>1.2533808353011746</v>
      </c>
      <c r="Q371" s="84">
        <f t="shared" ca="1" si="78"/>
        <v>1.097530915440962</v>
      </c>
    </row>
    <row r="372" spans="1:17" ht="15" customHeight="1" x14ac:dyDescent="0.2">
      <c r="A372" s="15">
        <v>333</v>
      </c>
      <c r="B372" s="84">
        <f t="shared" ca="1" si="70"/>
        <v>0.40680428449906325</v>
      </c>
      <c r="C372" s="84">
        <f t="shared" ca="1" si="70"/>
        <v>0.50938067435061651</v>
      </c>
      <c r="D372" s="84">
        <f t="shared" ca="1" si="70"/>
        <v>0.97135880378426875</v>
      </c>
      <c r="F372" s="84">
        <f t="shared" ca="1" si="71"/>
        <v>0.80840311672803578</v>
      </c>
      <c r="G372" s="84">
        <f t="shared" ca="1" si="71"/>
        <v>0.48863670005402216</v>
      </c>
      <c r="H372" s="84">
        <f t="shared" ca="1" si="71"/>
        <v>0.64828079774174918</v>
      </c>
      <c r="J372" s="85">
        <f t="shared" ca="1" si="72"/>
        <v>95140148.98678197</v>
      </c>
      <c r="K372" s="86">
        <f ca="1">IF(J372&gt;0,MIN(99,$B$12*Q372/(J372*12*(1-Inputs!$H$16))),99)</f>
        <v>5.5786947718888031</v>
      </c>
      <c r="L372" s="84">
        <f t="shared" ca="1" si="73"/>
        <v>0.98892868439305803</v>
      </c>
      <c r="M372" s="84">
        <f t="shared" ca="1" si="74"/>
        <v>0.99441039498461803</v>
      </c>
      <c r="N372" s="84">
        <f t="shared" ca="1" si="75"/>
        <v>1.0705860041588395</v>
      </c>
      <c r="O372" s="84">
        <f t="shared" ca="1" si="76"/>
        <v>1.0566840337286292</v>
      </c>
      <c r="P372" s="84">
        <f t="shared" ca="1" si="77"/>
        <v>1.1827673693772012</v>
      </c>
      <c r="Q372" s="84">
        <f t="shared" ca="1" si="78"/>
        <v>1.1644648107817543</v>
      </c>
    </row>
    <row r="373" spans="1:17" ht="15" customHeight="1" x14ac:dyDescent="0.2">
      <c r="A373" s="15">
        <v>334</v>
      </c>
      <c r="B373" s="84">
        <f t="shared" ca="1" si="70"/>
        <v>0.54143601358112969</v>
      </c>
      <c r="C373" s="84">
        <f t="shared" ca="1" si="70"/>
        <v>0.63005404772151052</v>
      </c>
      <c r="D373" s="84">
        <f t="shared" ca="1" si="70"/>
        <v>0.30142718694201076</v>
      </c>
      <c r="F373" s="84">
        <f t="shared" ca="1" si="71"/>
        <v>0.6344520651954888</v>
      </c>
      <c r="G373" s="84">
        <f t="shared" ca="1" si="71"/>
        <v>6.6324235969555945E-2</v>
      </c>
      <c r="H373" s="84">
        <f t="shared" ca="1" si="71"/>
        <v>0.66448264365910914</v>
      </c>
      <c r="J373" s="85">
        <f t="shared" ca="1" si="72"/>
        <v>150070990.06118739</v>
      </c>
      <c r="K373" s="86">
        <f ca="1">IF(J373&gt;0,MIN(99,$B$12*Q373/(J373*12*(1-Inputs!$H$16))),99)</f>
        <v>3.5612834802696227</v>
      </c>
      <c r="L373" s="84">
        <f t="shared" ca="1" si="73"/>
        <v>1.0238973354729293</v>
      </c>
      <c r="M373" s="84">
        <f t="shared" ca="1" si="74"/>
        <v>1.009936187173434</v>
      </c>
      <c r="N373" s="84">
        <f t="shared" ca="1" si="75"/>
        <v>0.99173311653540741</v>
      </c>
      <c r="O373" s="84">
        <f t="shared" ca="1" si="76"/>
        <v>1.035657028660756</v>
      </c>
      <c r="P373" s="84">
        <f t="shared" ca="1" si="77"/>
        <v>0.92818517393581512</v>
      </c>
      <c r="Q373" s="84">
        <f t="shared" ca="1" si="78"/>
        <v>1.1725550306442893</v>
      </c>
    </row>
    <row r="374" spans="1:17" ht="15" customHeight="1" x14ac:dyDescent="0.2">
      <c r="A374" s="15">
        <v>335</v>
      </c>
      <c r="B374" s="84">
        <f t="shared" ca="1" si="70"/>
        <v>6.3458725004201466E-2</v>
      </c>
      <c r="C374" s="84">
        <f t="shared" ca="1" si="70"/>
        <v>0.22297948184904914</v>
      </c>
      <c r="D374" s="84">
        <f t="shared" ca="1" si="70"/>
        <v>0.2934092452260646</v>
      </c>
      <c r="F374" s="84">
        <f t="shared" ca="1" si="71"/>
        <v>7.5409279463391043E-2</v>
      </c>
      <c r="G374" s="84">
        <f t="shared" ca="1" si="71"/>
        <v>0.77101760814557718</v>
      </c>
      <c r="H374" s="84">
        <f t="shared" ca="1" si="71"/>
        <v>0.12225147180242735</v>
      </c>
      <c r="J374" s="85">
        <f t="shared" ca="1" si="72"/>
        <v>28233669.724894658</v>
      </c>
      <c r="K374" s="86">
        <f ca="1">IF(J374&gt;0,MIN(99,$B$12*Q374/(J374*12*(1-Inputs!$H$16))),99)</f>
        <v>15.427861334023484</v>
      </c>
      <c r="L374" s="84">
        <f t="shared" ca="1" si="73"/>
        <v>0.85949323382953613</v>
      </c>
      <c r="M374" s="84">
        <f t="shared" ca="1" si="74"/>
        <v>0.93650242316209442</v>
      </c>
      <c r="N374" s="84">
        <f t="shared" ca="1" si="75"/>
        <v>0.991026143193531</v>
      </c>
      <c r="O374" s="84">
        <f t="shared" ca="1" si="76"/>
        <v>0.98783981464661519</v>
      </c>
      <c r="P374" s="84">
        <f t="shared" ca="1" si="77"/>
        <v>1.407731571485169</v>
      </c>
      <c r="Q374" s="84">
        <f t="shared" ca="1" si="78"/>
        <v>0.9556590970160338</v>
      </c>
    </row>
    <row r="375" spans="1:17" ht="15" customHeight="1" x14ac:dyDescent="0.2">
      <c r="A375" s="15">
        <v>336</v>
      </c>
      <c r="B375" s="84">
        <f t="shared" ca="1" si="70"/>
        <v>0.39237996276500031</v>
      </c>
      <c r="C375" s="84">
        <f t="shared" ca="1" si="70"/>
        <v>0.93743427879179031</v>
      </c>
      <c r="D375" s="84">
        <f t="shared" ca="1" si="70"/>
        <v>0.89294643950050001</v>
      </c>
      <c r="F375" s="84">
        <f t="shared" ca="1" si="71"/>
        <v>0.35026175296448914</v>
      </c>
      <c r="G375" s="84">
        <f t="shared" ca="1" si="71"/>
        <v>0.3862553331465749</v>
      </c>
      <c r="H375" s="84">
        <f t="shared" ca="1" si="71"/>
        <v>0.30623858569083873</v>
      </c>
      <c r="J375" s="85">
        <f t="shared" ca="1" si="72"/>
        <v>106618451.00979717</v>
      </c>
      <c r="K375" s="86">
        <f ca="1">IF(J375&gt;0,MIN(99,$B$12*Q375/(J375*12*(1-Inputs!$H$16))),99)</f>
        <v>4.3778484749594169</v>
      </c>
      <c r="L375" s="84">
        <f t="shared" ca="1" si="73"/>
        <v>0.98510175108994813</v>
      </c>
      <c r="M375" s="84">
        <f t="shared" ca="1" si="74"/>
        <v>0.99269826785933402</v>
      </c>
      <c r="N375" s="84">
        <f t="shared" ca="1" si="75"/>
        <v>1.0521051279360871</v>
      </c>
      <c r="O375" s="84">
        <f t="shared" ca="1" si="76"/>
        <v>1.010274376834279</v>
      </c>
      <c r="P375" s="84">
        <f t="shared" ca="1" si="77"/>
        <v>1.1177988302374389</v>
      </c>
      <c r="Q375" s="84">
        <f t="shared" ca="1" si="78"/>
        <v>1.0240544187416749</v>
      </c>
    </row>
    <row r="376" spans="1:17" ht="15" customHeight="1" x14ac:dyDescent="0.2">
      <c r="A376" s="15">
        <v>337</v>
      </c>
      <c r="B376" s="84">
        <f t="shared" ca="1" si="70"/>
        <v>0.77211789901063776</v>
      </c>
      <c r="C376" s="84">
        <f t="shared" ca="1" si="70"/>
        <v>0.85189378578534747</v>
      </c>
      <c r="D376" s="84">
        <f t="shared" ca="1" si="70"/>
        <v>0.40346103140425693</v>
      </c>
      <c r="F376" s="84">
        <f t="shared" ca="1" si="71"/>
        <v>0.22966542513796018</v>
      </c>
      <c r="G376" s="84">
        <f t="shared" ca="1" si="71"/>
        <v>0.57769325103417801</v>
      </c>
      <c r="H376" s="84">
        <f t="shared" ca="1" si="71"/>
        <v>0.3473569609000029</v>
      </c>
      <c r="J376" s="85">
        <f t="shared" ca="1" si="72"/>
        <v>197124856.46406239</v>
      </c>
      <c r="K376" s="86">
        <f ca="1">IF(J376&gt;0,MIN(99,$B$12*Q376/(J376*12*(1-Inputs!$H$16))),99)</f>
        <v>2.4017557163909951</v>
      </c>
      <c r="L376" s="84">
        <f t="shared" ca="1" si="73"/>
        <v>1.0979864725902642</v>
      </c>
      <c r="M376" s="84">
        <f t="shared" ca="1" si="74"/>
        <v>1.0427032211692859</v>
      </c>
      <c r="N376" s="84">
        <f t="shared" ca="1" si="75"/>
        <v>1.0000194035795684</v>
      </c>
      <c r="O376" s="84">
        <f t="shared" ca="1" si="76"/>
        <v>1.0012501665957494</v>
      </c>
      <c r="P376" s="84">
        <f t="shared" ca="1" si="77"/>
        <v>1.2448104149876755</v>
      </c>
      <c r="Q376" s="84">
        <f t="shared" ca="1" si="78"/>
        <v>1.0387239960146417</v>
      </c>
    </row>
    <row r="377" spans="1:17" ht="15" customHeight="1" x14ac:dyDescent="0.2">
      <c r="A377" s="15">
        <v>338</v>
      </c>
      <c r="B377" s="84">
        <f t="shared" ca="1" si="70"/>
        <v>0.68750088865562398</v>
      </c>
      <c r="C377" s="84">
        <f t="shared" ca="1" si="70"/>
        <v>0.32285181219336501</v>
      </c>
      <c r="D377" s="84">
        <f t="shared" ca="1" si="70"/>
        <v>6.2019349731718632E-2</v>
      </c>
      <c r="F377" s="84">
        <f t="shared" ca="1" si="71"/>
        <v>0.98118818510722983</v>
      </c>
      <c r="G377" s="84">
        <f t="shared" ca="1" si="71"/>
        <v>0.19298508485210164</v>
      </c>
      <c r="H377" s="84">
        <f t="shared" ca="1" si="71"/>
        <v>0.49904068081566821</v>
      </c>
      <c r="J377" s="85">
        <f t="shared" ca="1" si="72"/>
        <v>176119567.36501145</v>
      </c>
      <c r="K377" s="86">
        <f ca="1">IF(J377&gt;0,MIN(99,$B$12*Q377/(J377*12*(1-Inputs!$H$16))),99)</f>
        <v>2.839819549839921</v>
      </c>
      <c r="L377" s="84">
        <f t="shared" ca="1" si="73"/>
        <v>1.0677112453367243</v>
      </c>
      <c r="M377" s="84">
        <f t="shared" ca="1" si="74"/>
        <v>1.0293135470652697</v>
      </c>
      <c r="N377" s="84">
        <f t="shared" ca="1" si="75"/>
        <v>0.96288307126066575</v>
      </c>
      <c r="O377" s="84">
        <f t="shared" ca="1" si="76"/>
        <v>1.0945532581424922</v>
      </c>
      <c r="P377" s="84">
        <f t="shared" ca="1" si="77"/>
        <v>1.0085178240461217</v>
      </c>
      <c r="Q377" s="84">
        <f t="shared" ca="1" si="78"/>
        <v>1.0973073696838591</v>
      </c>
    </row>
    <row r="378" spans="1:17" ht="15" customHeight="1" x14ac:dyDescent="0.2">
      <c r="A378" s="15">
        <v>339</v>
      </c>
      <c r="B378" s="84">
        <f t="shared" ca="1" si="70"/>
        <v>0.61619996126024956</v>
      </c>
      <c r="C378" s="84">
        <f t="shared" ca="1" si="70"/>
        <v>0.51889941066912071</v>
      </c>
      <c r="D378" s="84">
        <f t="shared" ca="1" si="70"/>
        <v>0.80460320030606192</v>
      </c>
      <c r="F378" s="84">
        <f t="shared" ca="1" si="71"/>
        <v>0.2174752384386277</v>
      </c>
      <c r="G378" s="84">
        <f t="shared" ca="1" si="71"/>
        <v>0.155473390899043</v>
      </c>
      <c r="H378" s="84">
        <f t="shared" ca="1" si="71"/>
        <v>0.18901380525917755</v>
      </c>
      <c r="J378" s="85">
        <f t="shared" ca="1" si="72"/>
        <v>158743219.32101434</v>
      </c>
      <c r="K378" s="86">
        <f ca="1">IF(J378&gt;0,MIN(99,$B$12*Q378/(J378*12*(1-Inputs!$H$16))),99)</f>
        <v>2.8234898693951886</v>
      </c>
      <c r="L378" s="84">
        <f t="shared" ca="1" si="73"/>
        <v>1.0452773295325084</v>
      </c>
      <c r="M378" s="84">
        <f t="shared" ca="1" si="74"/>
        <v>1.0193918107565765</v>
      </c>
      <c r="N378" s="84">
        <f t="shared" ca="1" si="75"/>
        <v>1.038667817248929</v>
      </c>
      <c r="O378" s="84">
        <f t="shared" ca="1" si="76"/>
        <v>1.0003786302545177</v>
      </c>
      <c r="P378" s="84">
        <f t="shared" ca="1" si="77"/>
        <v>0.98845879352935762</v>
      </c>
      <c r="Q378" s="84">
        <f t="shared" ca="1" si="78"/>
        <v>0.98335732875008441</v>
      </c>
    </row>
    <row r="379" spans="1:17" ht="15" customHeight="1" x14ac:dyDescent="0.2">
      <c r="A379" s="15">
        <v>340</v>
      </c>
      <c r="B379" s="84">
        <f t="shared" ca="1" si="70"/>
        <v>0.80086277011111751</v>
      </c>
      <c r="C379" s="84">
        <f t="shared" ca="1" si="70"/>
        <v>0.97808567590269047</v>
      </c>
      <c r="D379" s="84">
        <f t="shared" ca="1" si="70"/>
        <v>0.56312719785446541</v>
      </c>
      <c r="F379" s="84">
        <f t="shared" ca="1" si="71"/>
        <v>0.18665657319879603</v>
      </c>
      <c r="G379" s="84">
        <f t="shared" ca="1" si="71"/>
        <v>0.1523591538856105</v>
      </c>
      <c r="H379" s="84">
        <f t="shared" ca="1" si="71"/>
        <v>0.25932384019916555</v>
      </c>
      <c r="J379" s="85">
        <f t="shared" ca="1" si="72"/>
        <v>213145146.83116972</v>
      </c>
      <c r="K379" s="86">
        <f ca="1">IF(J379&gt;0,MIN(99,$B$12*Q379/(J379*12*(1-Inputs!$H$16))),99)</f>
        <v>2.1551896502930679</v>
      </c>
      <c r="L379" s="84">
        <f t="shared" ca="1" si="73"/>
        <v>1.1095268326594268</v>
      </c>
      <c r="M379" s="84">
        <f t="shared" ca="1" si="74"/>
        <v>1.0478071187907654</v>
      </c>
      <c r="N379" s="84">
        <f t="shared" ca="1" si="75"/>
        <v>1.0130529530834491</v>
      </c>
      <c r="O379" s="84">
        <f t="shared" ca="1" si="76"/>
        <v>0.99813276827114716</v>
      </c>
      <c r="P379" s="84">
        <f t="shared" ca="1" si="77"/>
        <v>0.9867096180466729</v>
      </c>
      <c r="Q379" s="84">
        <f t="shared" ca="1" si="78"/>
        <v>1.0078383563581326</v>
      </c>
    </row>
    <row r="380" spans="1:17" ht="15" customHeight="1" x14ac:dyDescent="0.2">
      <c r="A380" s="15">
        <v>341</v>
      </c>
      <c r="B380" s="84">
        <f t="shared" ref="B380:D399" ca="1" si="79">RAND()</f>
        <v>0.198680367106017</v>
      </c>
      <c r="C380" s="84">
        <f t="shared" ca="1" si="79"/>
        <v>0.48457786175381445</v>
      </c>
      <c r="D380" s="84">
        <f t="shared" ca="1" si="79"/>
        <v>0.44758642786441283</v>
      </c>
      <c r="F380" s="84">
        <f t="shared" ref="F380:H399" ca="1" si="80">RAND()</f>
        <v>0.1304497475460088</v>
      </c>
      <c r="G380" s="84">
        <f t="shared" ca="1" si="80"/>
        <v>6.010518322067282E-2</v>
      </c>
      <c r="H380" s="84">
        <f t="shared" ca="1" si="80"/>
        <v>0.99706457697533235</v>
      </c>
      <c r="J380" s="85">
        <f t="shared" ca="1" si="72"/>
        <v>85553101.350967929</v>
      </c>
      <c r="K380" s="86">
        <f ca="1">IF(J380&gt;0,MIN(99,$B$12*Q380/(J380*12*(1-Inputs!$H$16))),99)</f>
        <v>7.884423726636677</v>
      </c>
      <c r="L380" s="84">
        <f t="shared" ca="1" si="73"/>
        <v>0.92450431866480276</v>
      </c>
      <c r="M380" s="84">
        <f t="shared" ca="1" si="74"/>
        <v>0.96558765485404707</v>
      </c>
      <c r="N380" s="84">
        <f t="shared" ca="1" si="75"/>
        <v>1.0034258105806564</v>
      </c>
      <c r="O380" s="84">
        <f t="shared" ca="1" si="76"/>
        <v>0.99349990396160759</v>
      </c>
      <c r="P380" s="84">
        <f t="shared" ca="1" si="77"/>
        <v>0.92273305812033501</v>
      </c>
      <c r="Q380" s="84">
        <f t="shared" ca="1" si="78"/>
        <v>1.4799111941016203</v>
      </c>
    </row>
    <row r="381" spans="1:17" ht="15" customHeight="1" x14ac:dyDescent="0.2">
      <c r="A381" s="15">
        <v>342</v>
      </c>
      <c r="B381" s="84">
        <f t="shared" ca="1" si="79"/>
        <v>0.58659415767502676</v>
      </c>
      <c r="C381" s="84">
        <f t="shared" ca="1" si="79"/>
        <v>0.39074583437184096</v>
      </c>
      <c r="D381" s="84">
        <f t="shared" ca="1" si="79"/>
        <v>0.20088501570777506</v>
      </c>
      <c r="F381" s="84">
        <f t="shared" ca="1" si="80"/>
        <v>0.57190207472089816</v>
      </c>
      <c r="G381" s="84">
        <f t="shared" ca="1" si="80"/>
        <v>9.1014155603814095E-2</v>
      </c>
      <c r="H381" s="84">
        <f t="shared" ca="1" si="80"/>
        <v>0.70423147136367914</v>
      </c>
      <c r="J381" s="85">
        <f t="shared" ca="1" si="72"/>
        <v>161778319.55697858</v>
      </c>
      <c r="K381" s="86">
        <f ca="1">IF(J381&gt;0,MIN(99,$B$12*Q381/(J381*12*(1-Inputs!$H$16))),99)</f>
        <v>3.3619366466031564</v>
      </c>
      <c r="L381" s="84">
        <f t="shared" ca="1" si="73"/>
        <v>1.0365816632058604</v>
      </c>
      <c r="M381" s="84">
        <f t="shared" ca="1" si="74"/>
        <v>1.0155460216810386</v>
      </c>
      <c r="N381" s="84">
        <f t="shared" ca="1" si="75"/>
        <v>0.98203697832182013</v>
      </c>
      <c r="O381" s="84">
        <f t="shared" ca="1" si="76"/>
        <v>1.0293968068450217</v>
      </c>
      <c r="P381" s="84">
        <f t="shared" ca="1" si="77"/>
        <v>0.94764258534592904</v>
      </c>
      <c r="Q381" s="84">
        <f t="shared" ca="1" si="78"/>
        <v>1.1932729245655396</v>
      </c>
    </row>
    <row r="382" spans="1:17" ht="15" customHeight="1" x14ac:dyDescent="0.2">
      <c r="A382" s="15">
        <v>343</v>
      </c>
      <c r="B382" s="84">
        <f t="shared" ca="1" si="79"/>
        <v>0.19656096442866755</v>
      </c>
      <c r="C382" s="84">
        <f t="shared" ca="1" si="79"/>
        <v>0.89130212426953037</v>
      </c>
      <c r="D382" s="84">
        <f t="shared" ca="1" si="79"/>
        <v>0.72856606335097729</v>
      </c>
      <c r="F382" s="84">
        <f t="shared" ca="1" si="80"/>
        <v>0.94365937614052087</v>
      </c>
      <c r="G382" s="84">
        <f t="shared" ca="1" si="80"/>
        <v>0.40483371946308488</v>
      </c>
      <c r="H382" s="84">
        <f t="shared" ca="1" si="80"/>
        <v>0.76767327354938941</v>
      </c>
      <c r="J382" s="85">
        <f t="shared" ca="1" si="72"/>
        <v>57293106.153061941</v>
      </c>
      <c r="K382" s="86">
        <f ca="1">IF(J382&gt;0,MIN(99,$B$12*Q382/(J382*12*(1-Inputs!$H$16))),99)</f>
        <v>9.7810880761241794</v>
      </c>
      <c r="L382" s="84">
        <f t="shared" ca="1" si="73"/>
        <v>0.92370476958801651</v>
      </c>
      <c r="M382" s="84">
        <f t="shared" ca="1" si="74"/>
        <v>0.96522994554637531</v>
      </c>
      <c r="N382" s="84">
        <f t="shared" ca="1" si="75"/>
        <v>1.0294297814946471</v>
      </c>
      <c r="O382" s="84">
        <f t="shared" ca="1" si="76"/>
        <v>1.0819278630724842</v>
      </c>
      <c r="P382" s="84">
        <f t="shared" ca="1" si="77"/>
        <v>1.1291607577205984</v>
      </c>
      <c r="Q382" s="84">
        <f t="shared" ca="1" si="78"/>
        <v>1.2294743686932528</v>
      </c>
    </row>
    <row r="383" spans="1:17" ht="15" customHeight="1" x14ac:dyDescent="0.2">
      <c r="A383" s="15">
        <v>344</v>
      </c>
      <c r="B383" s="84">
        <f t="shared" ca="1" si="79"/>
        <v>0.98883096415300065</v>
      </c>
      <c r="C383" s="84">
        <f t="shared" ca="1" si="79"/>
        <v>0.88018237778092057</v>
      </c>
      <c r="D383" s="84">
        <f t="shared" ca="1" si="79"/>
        <v>0.63129830357746564</v>
      </c>
      <c r="F383" s="84">
        <f t="shared" ca="1" si="80"/>
        <v>0.97456470600366552</v>
      </c>
      <c r="G383" s="84">
        <f t="shared" ca="1" si="80"/>
        <v>0.50134717212356983</v>
      </c>
      <c r="H383" s="84">
        <f t="shared" ca="1" si="80"/>
        <v>0.58402435722793733</v>
      </c>
      <c r="J383" s="85">
        <f t="shared" ca="1" si="72"/>
        <v>289681889.98955858</v>
      </c>
      <c r="K383" s="86">
        <f ca="1">IF(J383&gt;0,MIN(99,$B$12*Q383/(J383*12*(1-Inputs!$H$16))),99)</f>
        <v>1.7844045336420169</v>
      </c>
      <c r="L383" s="84">
        <f t="shared" ca="1" si="73"/>
        <v>1.2358114502824815</v>
      </c>
      <c r="M383" s="84">
        <f t="shared" ca="1" si="74"/>
        <v>1.1036583882184885</v>
      </c>
      <c r="N383" s="84">
        <f t="shared" ca="1" si="75"/>
        <v>1.0193424533612956</v>
      </c>
      <c r="O383" s="84">
        <f t="shared" ca="1" si="76"/>
        <v>1.0917400077611796</v>
      </c>
      <c r="P383" s="84">
        <f t="shared" ca="1" si="77"/>
        <v>1.1912715892663772</v>
      </c>
      <c r="Q383" s="84">
        <f t="shared" ca="1" si="78"/>
        <v>1.1340823846129233</v>
      </c>
    </row>
    <row r="384" spans="1:17" ht="15" customHeight="1" x14ac:dyDescent="0.2">
      <c r="A384" s="15">
        <v>345</v>
      </c>
      <c r="B384" s="84">
        <f t="shared" ca="1" si="79"/>
        <v>0.86821436913944894</v>
      </c>
      <c r="C384" s="84">
        <f t="shared" ca="1" si="79"/>
        <v>0.22052272958202435</v>
      </c>
      <c r="D384" s="84">
        <f t="shared" ca="1" si="79"/>
        <v>0.50716495919255578</v>
      </c>
      <c r="F384" s="84">
        <f t="shared" ca="1" si="80"/>
        <v>0.71407028688179253</v>
      </c>
      <c r="G384" s="84">
        <f t="shared" ca="1" si="80"/>
        <v>0.58953551765883372</v>
      </c>
      <c r="H384" s="84">
        <f t="shared" ca="1" si="80"/>
        <v>0.3944559752950817</v>
      </c>
      <c r="J384" s="85">
        <f t="shared" ca="1" si="72"/>
        <v>220495872.22405607</v>
      </c>
      <c r="K384" s="86">
        <f ca="1">IF(J384&gt;0,MIN(99,$B$12*Q384/(J384*12*(1-Inputs!$H$16))),99)</f>
        <v>2.1831203031645927</v>
      </c>
      <c r="L384" s="84">
        <f t="shared" ca="1" si="73"/>
        <v>1.1403875033909341</v>
      </c>
      <c r="M384" s="84">
        <f t="shared" ca="1" si="74"/>
        <v>1.0614557140685406</v>
      </c>
      <c r="N384" s="84">
        <f t="shared" ca="1" si="75"/>
        <v>1.0082490123463077</v>
      </c>
      <c r="O384" s="84">
        <f t="shared" ca="1" si="76"/>
        <v>1.044461757021909</v>
      </c>
      <c r="P384" s="84">
        <f t="shared" ca="1" si="77"/>
        <v>1.2535363367232657</v>
      </c>
      <c r="Q384" s="84">
        <f t="shared" ca="1" si="78"/>
        <v>1.0561073710083373</v>
      </c>
    </row>
    <row r="385" spans="1:17" ht="15" customHeight="1" x14ac:dyDescent="0.2">
      <c r="A385" s="15">
        <v>346</v>
      </c>
      <c r="B385" s="84">
        <f t="shared" ca="1" si="79"/>
        <v>4.4246071191451186E-2</v>
      </c>
      <c r="C385" s="84">
        <f t="shared" ca="1" si="79"/>
        <v>0.58803705586305088</v>
      </c>
      <c r="D385" s="84">
        <f t="shared" ca="1" si="79"/>
        <v>0.99283430320280297</v>
      </c>
      <c r="F385" s="84">
        <f t="shared" ca="1" si="80"/>
        <v>7.9702586532970687E-2</v>
      </c>
      <c r="G385" s="84">
        <f t="shared" ca="1" si="80"/>
        <v>0.37659406698731035</v>
      </c>
      <c r="H385" s="84">
        <f t="shared" ca="1" si="80"/>
        <v>0.50939350613155998</v>
      </c>
      <c r="J385" s="85">
        <f t="shared" ca="1" si="72"/>
        <v>14266491.595039427</v>
      </c>
      <c r="K385" s="86">
        <f ca="1">IF(J385&gt;0,MIN(99,$B$12*Q385/(J385*12*(1-Inputs!$H$16))),99)</f>
        <v>35.195009770416469</v>
      </c>
      <c r="L385" s="84">
        <f t="shared" ca="1" si="73"/>
        <v>0.8455526966815462</v>
      </c>
      <c r="M385" s="84">
        <f t="shared" ca="1" si="74"/>
        <v>0.93026558287728811</v>
      </c>
      <c r="N385" s="84">
        <f t="shared" ca="1" si="75"/>
        <v>1.0804828255073946</v>
      </c>
      <c r="O385" s="84">
        <f t="shared" ca="1" si="76"/>
        <v>0.98834383493508482</v>
      </c>
      <c r="P385" s="84">
        <f t="shared" ca="1" si="77"/>
        <v>1.1119582710511144</v>
      </c>
      <c r="Q385" s="84">
        <f t="shared" ca="1" si="78"/>
        <v>1.1016108795903454</v>
      </c>
    </row>
    <row r="386" spans="1:17" ht="15" customHeight="1" x14ac:dyDescent="0.2">
      <c r="A386" s="15">
        <v>347</v>
      </c>
      <c r="B386" s="84">
        <f t="shared" ca="1" si="79"/>
        <v>0.16842510433853342</v>
      </c>
      <c r="C386" s="84">
        <f t="shared" ca="1" si="79"/>
        <v>0.48584651134384504</v>
      </c>
      <c r="D386" s="84">
        <f t="shared" ca="1" si="79"/>
        <v>0.25622008737695512</v>
      </c>
      <c r="F386" s="84">
        <f t="shared" ca="1" si="80"/>
        <v>0.73116918497071803</v>
      </c>
      <c r="G386" s="84">
        <f t="shared" ca="1" si="80"/>
        <v>0.42211315551120299</v>
      </c>
      <c r="H386" s="84">
        <f t="shared" ca="1" si="80"/>
        <v>0.19015399669682154</v>
      </c>
      <c r="J386" s="85">
        <f t="shared" ca="1" si="72"/>
        <v>63726794.758085713</v>
      </c>
      <c r="K386" s="86">
        <f ca="1">IF(J386&gt;0,MIN(99,$B$12*Q386/(J386*12*(1-Inputs!$H$16))),99)</f>
        <v>7.0363508101176642</v>
      </c>
      <c r="L386" s="84">
        <f t="shared" ca="1" si="73"/>
        <v>0.91265109602936334</v>
      </c>
      <c r="M386" s="84">
        <f t="shared" ca="1" si="74"/>
        <v>0.96028465571902821</v>
      </c>
      <c r="N386" s="84">
        <f t="shared" ca="1" si="75"/>
        <v>0.98761296144679678</v>
      </c>
      <c r="O386" s="84">
        <f t="shared" ca="1" si="76"/>
        <v>1.0465072820400905</v>
      </c>
      <c r="P386" s="84">
        <f t="shared" ca="1" si="77"/>
        <v>1.139888562478176</v>
      </c>
      <c r="Q386" s="84">
        <f t="shared" ca="1" si="78"/>
        <v>0.98378342405559072</v>
      </c>
    </row>
    <row r="387" spans="1:17" ht="15" customHeight="1" x14ac:dyDescent="0.2">
      <c r="A387" s="15">
        <v>348</v>
      </c>
      <c r="B387" s="84">
        <f t="shared" ca="1" si="79"/>
        <v>7.4024855188164929E-2</v>
      </c>
      <c r="C387" s="84">
        <f t="shared" ca="1" si="79"/>
        <v>0.29221310986044868</v>
      </c>
      <c r="D387" s="84">
        <f t="shared" ca="1" si="79"/>
        <v>0.26454745855298256</v>
      </c>
      <c r="F387" s="84">
        <f t="shared" ca="1" si="80"/>
        <v>0.20419669547640384</v>
      </c>
      <c r="G387" s="84">
        <f t="shared" ca="1" si="80"/>
        <v>0.64908774401621705</v>
      </c>
      <c r="H387" s="84">
        <f t="shared" ca="1" si="80"/>
        <v>0.4684456999528458</v>
      </c>
      <c r="J387" s="85">
        <f t="shared" ca="1" si="72"/>
        <v>35178149.402112246</v>
      </c>
      <c r="K387" s="86">
        <f ca="1">IF(J387&gt;0,MIN(99,$B$12*Q387/(J387*12*(1-Inputs!$H$16))),99)</f>
        <v>14.056072179974322</v>
      </c>
      <c r="L387" s="84">
        <f t="shared" ca="1" si="73"/>
        <v>0.86625675979711614</v>
      </c>
      <c r="M387" s="84">
        <f t="shared" ca="1" si="74"/>
        <v>0.93952834897643944</v>
      </c>
      <c r="N387" s="84">
        <f t="shared" ca="1" si="75"/>
        <v>0.9883977070817439</v>
      </c>
      <c r="O387" s="84">
        <f t="shared" ca="1" si="76"/>
        <v>0.99943016300164567</v>
      </c>
      <c r="P387" s="84">
        <f t="shared" ca="1" si="77"/>
        <v>1.2994624231303309</v>
      </c>
      <c r="Q387" s="84">
        <f t="shared" ca="1" si="78"/>
        <v>1.0848430451660653</v>
      </c>
    </row>
    <row r="388" spans="1:17" ht="15" customHeight="1" x14ac:dyDescent="0.2">
      <c r="A388" s="15">
        <v>349</v>
      </c>
      <c r="B388" s="84">
        <f t="shared" ca="1" si="79"/>
        <v>0.38544216187945557</v>
      </c>
      <c r="C388" s="84">
        <f t="shared" ca="1" si="79"/>
        <v>0.732316110173726</v>
      </c>
      <c r="D388" s="84">
        <f t="shared" ca="1" si="79"/>
        <v>0.78817819092663299</v>
      </c>
      <c r="F388" s="84">
        <f t="shared" ca="1" si="80"/>
        <v>0.59211685945911097</v>
      </c>
      <c r="G388" s="84">
        <f t="shared" ca="1" si="80"/>
        <v>0.51153032026336609</v>
      </c>
      <c r="H388" s="84">
        <f t="shared" ca="1" si="80"/>
        <v>0.97208539072586686</v>
      </c>
      <c r="J388" s="85">
        <f t="shared" ca="1" si="72"/>
        <v>102064798.43052982</v>
      </c>
      <c r="K388" s="86">
        <f ca="1">IF(J388&gt;0,MIN(99,$B$12*Q388/(J388*12*(1-Inputs!$H$16))),99)</f>
        <v>6.3137802022996308</v>
      </c>
      <c r="L388" s="84">
        <f t="shared" ca="1" si="73"/>
        <v>0.9832360276499692</v>
      </c>
      <c r="M388" s="84">
        <f t="shared" ca="1" si="74"/>
        <v>0.99186356407516552</v>
      </c>
      <c r="N388" s="84">
        <f t="shared" ca="1" si="75"/>
        <v>1.0365379181112069</v>
      </c>
      <c r="O388" s="84">
        <f t="shared" ca="1" si="76"/>
        <v>1.0313666901835896</v>
      </c>
      <c r="P388" s="84">
        <f t="shared" ca="1" si="77"/>
        <v>1.1981633575766848</v>
      </c>
      <c r="Q388" s="84">
        <f t="shared" ca="1" si="78"/>
        <v>1.4138241073877797</v>
      </c>
    </row>
    <row r="389" spans="1:17" ht="15" customHeight="1" x14ac:dyDescent="0.2">
      <c r="A389" s="15">
        <v>350</v>
      </c>
      <c r="B389" s="84">
        <f t="shared" ca="1" si="79"/>
        <v>7.2270206484986166E-2</v>
      </c>
      <c r="C389" s="84">
        <f t="shared" ca="1" si="79"/>
        <v>0.42080886429242259</v>
      </c>
      <c r="D389" s="84">
        <f t="shared" ca="1" si="79"/>
        <v>0.57686995968053256</v>
      </c>
      <c r="F389" s="84">
        <f t="shared" ca="1" si="80"/>
        <v>7.7224776082861935E-2</v>
      </c>
      <c r="G389" s="84">
        <f t="shared" ca="1" si="80"/>
        <v>5.3280286748376149E-3</v>
      </c>
      <c r="H389" s="84">
        <f t="shared" ca="1" si="80"/>
        <v>0.31714059195851441</v>
      </c>
      <c r="J389" s="85">
        <f t="shared" ca="1" si="72"/>
        <v>48661135.722038612</v>
      </c>
      <c r="K389" s="86">
        <f ca="1">IF(J389&gt;0,MIN(99,$B$12*Q389/(J389*12*(1-Inputs!$H$16))),99)</f>
        <v>9.6280626188420459</v>
      </c>
      <c r="L389" s="84">
        <f t="shared" ca="1" si="73"/>
        <v>0.86516872090454067</v>
      </c>
      <c r="M389" s="84">
        <f t="shared" ca="1" si="74"/>
        <v>0.9390415725542246</v>
      </c>
      <c r="N389" s="84">
        <f t="shared" ca="1" si="75"/>
        <v>1.0142790273790896</v>
      </c>
      <c r="O389" s="84">
        <f t="shared" ca="1" si="76"/>
        <v>0.98805465426873329</v>
      </c>
      <c r="P389" s="84">
        <f t="shared" ca="1" si="77"/>
        <v>0.84685669495114912</v>
      </c>
      <c r="Q389" s="84">
        <f t="shared" ca="1" si="78"/>
        <v>1.0279005264309948</v>
      </c>
    </row>
    <row r="390" spans="1:17" ht="15" customHeight="1" x14ac:dyDescent="0.2">
      <c r="A390" s="15">
        <v>351</v>
      </c>
      <c r="B390" s="84">
        <f t="shared" ca="1" si="79"/>
        <v>0.78657339762036416</v>
      </c>
      <c r="C390" s="84">
        <f t="shared" ca="1" si="79"/>
        <v>0.97847589191769169</v>
      </c>
      <c r="D390" s="84">
        <f t="shared" ca="1" si="79"/>
        <v>0.92348145351786892</v>
      </c>
      <c r="F390" s="84">
        <f t="shared" ca="1" si="80"/>
        <v>0.35424509768083268</v>
      </c>
      <c r="G390" s="84">
        <f t="shared" ca="1" si="80"/>
        <v>0.40438767738244763</v>
      </c>
      <c r="H390" s="84">
        <f t="shared" ca="1" si="80"/>
        <v>7.1047211109053876E-2</v>
      </c>
      <c r="J390" s="85">
        <f t="shared" ca="1" si="72"/>
        <v>190542345.7737394</v>
      </c>
      <c r="K390" s="86">
        <f ca="1">IF(J390&gt;0,MIN(99,$B$12*Q390/(J390*12*(1-Inputs!$H$16))),99)</f>
        <v>2.2213393714552714</v>
      </c>
      <c r="L390" s="84">
        <f t="shared" ca="1" si="73"/>
        <v>1.1036927969196859</v>
      </c>
      <c r="M390" s="84">
        <f t="shared" ca="1" si="74"/>
        <v>1.0452269288350589</v>
      </c>
      <c r="N390" s="84">
        <f t="shared" ca="1" si="75"/>
        <v>1.0580219904522872</v>
      </c>
      <c r="O390" s="84">
        <f t="shared" ca="1" si="76"/>
        <v>1.0105861715149074</v>
      </c>
      <c r="P390" s="84">
        <f t="shared" ca="1" si="77"/>
        <v>1.1288859121854227</v>
      </c>
      <c r="Q390" s="84">
        <f t="shared" ca="1" si="78"/>
        <v>0.9286164295309266</v>
      </c>
    </row>
    <row r="391" spans="1:17" ht="15" customHeight="1" x14ac:dyDescent="0.2">
      <c r="A391" s="15">
        <v>352</v>
      </c>
      <c r="B391" s="84">
        <f t="shared" ca="1" si="79"/>
        <v>0.81416182163347284</v>
      </c>
      <c r="C391" s="84">
        <f t="shared" ca="1" si="79"/>
        <v>0.86301848758562605</v>
      </c>
      <c r="D391" s="84">
        <f t="shared" ca="1" si="79"/>
        <v>0.38982446173794105</v>
      </c>
      <c r="F391" s="84">
        <f t="shared" ca="1" si="80"/>
        <v>0.21514949155936425</v>
      </c>
      <c r="G391" s="84">
        <f t="shared" ca="1" si="80"/>
        <v>0.35545729258772463</v>
      </c>
      <c r="H391" s="84">
        <f t="shared" ca="1" si="80"/>
        <v>0.9005702864738796</v>
      </c>
      <c r="J391" s="85">
        <f t="shared" ca="1" si="72"/>
        <v>216249158.50417393</v>
      </c>
      <c r="K391" s="86">
        <f ca="1">IF(J391&gt;0,MIN(99,$B$12*Q391/(J391*12*(1-Inputs!$H$16))),99)</f>
        <v>2.7970535012186102</v>
      </c>
      <c r="L391" s="84">
        <f t="shared" ca="1" si="73"/>
        <v>1.1151477259298526</v>
      </c>
      <c r="M391" s="84">
        <f t="shared" ca="1" si="74"/>
        <v>1.050293043287192</v>
      </c>
      <c r="N391" s="84">
        <f t="shared" ca="1" si="75"/>
        <v>0.99897819524580866</v>
      </c>
      <c r="O391" s="84">
        <f t="shared" ca="1" si="76"/>
        <v>1.0002131241837051</v>
      </c>
      <c r="P391" s="84">
        <f t="shared" ca="1" si="77"/>
        <v>1.0993361795230165</v>
      </c>
      <c r="Q391" s="84">
        <f t="shared" ca="1" si="78"/>
        <v>1.3270434449284025</v>
      </c>
    </row>
    <row r="392" spans="1:17" ht="15" customHeight="1" x14ac:dyDescent="0.2">
      <c r="A392" s="15">
        <v>353</v>
      </c>
      <c r="B392" s="84">
        <f t="shared" ca="1" si="79"/>
        <v>0.95906464131601943</v>
      </c>
      <c r="C392" s="84">
        <f t="shared" ca="1" si="79"/>
        <v>0.68802609238297119</v>
      </c>
      <c r="D392" s="84">
        <f t="shared" ca="1" si="79"/>
        <v>0.61261282939105655</v>
      </c>
      <c r="F392" s="84">
        <f t="shared" ca="1" si="80"/>
        <v>0.16954495227538624</v>
      </c>
      <c r="G392" s="84">
        <f t="shared" ca="1" si="80"/>
        <v>0.82373741481086138</v>
      </c>
      <c r="H392" s="84">
        <f t="shared" ca="1" si="80"/>
        <v>0.77201920633109822</v>
      </c>
      <c r="J392" s="85">
        <f t="shared" ca="1" si="72"/>
        <v>266011345.14871645</v>
      </c>
      <c r="K392" s="86">
        <f ca="1">IF(J392&gt;0,MIN(99,$B$12*Q392/(J392*12*(1-Inputs!$H$16))),99)</f>
        <v>2.1111785055129948</v>
      </c>
      <c r="L392" s="84">
        <f t="shared" ca="1" si="73"/>
        <v>1.1999759250703659</v>
      </c>
      <c r="M392" s="84">
        <f t="shared" ca="1" si="74"/>
        <v>1.0878095888050876</v>
      </c>
      <c r="N392" s="84">
        <f t="shared" ca="1" si="75"/>
        <v>1.0175644617307751</v>
      </c>
      <c r="O392" s="84">
        <f t="shared" ca="1" si="76"/>
        <v>0.99680688396835382</v>
      </c>
      <c r="P392" s="84">
        <f t="shared" ca="1" si="77"/>
        <v>1.4635359147847955</v>
      </c>
      <c r="Q392" s="84">
        <f t="shared" ca="1" si="78"/>
        <v>1.2321258134573072</v>
      </c>
    </row>
    <row r="393" spans="1:17" ht="15" customHeight="1" x14ac:dyDescent="0.2">
      <c r="A393" s="15">
        <v>354</v>
      </c>
      <c r="B393" s="84">
        <f t="shared" ca="1" si="79"/>
        <v>0.82731093357348418</v>
      </c>
      <c r="C393" s="84">
        <f t="shared" ca="1" si="79"/>
        <v>0.40780351530785375</v>
      </c>
      <c r="D393" s="84">
        <f t="shared" ca="1" si="79"/>
        <v>0.35477549729942992</v>
      </c>
      <c r="F393" s="84">
        <f t="shared" ca="1" si="80"/>
        <v>0.6754677224503477</v>
      </c>
      <c r="G393" s="84">
        <f t="shared" ca="1" si="80"/>
        <v>0.8288763464326766</v>
      </c>
      <c r="H393" s="84">
        <f t="shared" ca="1" si="80"/>
        <v>0.67783125437431491</v>
      </c>
      <c r="J393" s="85">
        <f t="shared" ca="1" si="72"/>
        <v>200756842.80256379</v>
      </c>
      <c r="K393" s="86">
        <f ca="1">IF(J393&gt;0,MIN(99,$B$12*Q393/(J393*12*(1-Inputs!$H$16))),99)</f>
        <v>2.6776217241147093</v>
      </c>
      <c r="L393" s="84">
        <f t="shared" ca="1" si="73"/>
        <v>1.1209066950395121</v>
      </c>
      <c r="M393" s="84">
        <f t="shared" ca="1" si="74"/>
        <v>1.0528400338979536</v>
      </c>
      <c r="N393" s="84">
        <f t="shared" ca="1" si="75"/>
        <v>0.99621530821801485</v>
      </c>
      <c r="O393" s="84">
        <f t="shared" ca="1" si="76"/>
        <v>1.0400578098529574</v>
      </c>
      <c r="P393" s="84">
        <f t="shared" ca="1" si="77"/>
        <v>1.4693987376318125</v>
      </c>
      <c r="Q393" s="84">
        <f t="shared" ca="1" si="78"/>
        <v>1.1793684932570634</v>
      </c>
    </row>
    <row r="394" spans="1:17" ht="15" customHeight="1" x14ac:dyDescent="0.2">
      <c r="A394" s="15">
        <v>355</v>
      </c>
      <c r="B394" s="84">
        <f t="shared" ca="1" si="79"/>
        <v>0.17254899605747887</v>
      </c>
      <c r="C394" s="84">
        <f t="shared" ca="1" si="79"/>
        <v>0.98763452296226506</v>
      </c>
      <c r="D394" s="84">
        <f t="shared" ca="1" si="79"/>
        <v>0.50767577272678532</v>
      </c>
      <c r="F394" s="84">
        <f t="shared" ca="1" si="80"/>
        <v>0.35580808832819388</v>
      </c>
      <c r="G394" s="84">
        <f t="shared" ca="1" si="80"/>
        <v>8.3164417906711363E-2</v>
      </c>
      <c r="H394" s="84">
        <f t="shared" ca="1" si="80"/>
        <v>0.46217619112742736</v>
      </c>
      <c r="J394" s="85">
        <f t="shared" ca="1" si="72"/>
        <v>74231192.660807237</v>
      </c>
      <c r="K394" s="86">
        <f ca="1">IF(J394&gt;0,MIN(99,$B$12*Q394/(J394*12*(1-Inputs!$H$16))),99)</f>
        <v>6.6457612647044524</v>
      </c>
      <c r="L394" s="84">
        <f t="shared" ca="1" si="73"/>
        <v>0.9143260996958803</v>
      </c>
      <c r="M394" s="84">
        <f t="shared" ca="1" si="74"/>
        <v>0.9610340336112595</v>
      </c>
      <c r="N394" s="84">
        <f t="shared" ca="1" si="75"/>
        <v>1.008291590618474</v>
      </c>
      <c r="O394" s="84">
        <f t="shared" ca="1" si="76"/>
        <v>1.0107087765805067</v>
      </c>
      <c r="P394" s="84">
        <f t="shared" ca="1" si="77"/>
        <v>0.94177983295068957</v>
      </c>
      <c r="Q394" s="84">
        <f t="shared" ca="1" si="78"/>
        <v>1.0823335375710799</v>
      </c>
    </row>
    <row r="395" spans="1:17" ht="15" customHeight="1" x14ac:dyDescent="0.2">
      <c r="A395" s="15">
        <v>356</v>
      </c>
      <c r="B395" s="84">
        <f t="shared" ca="1" si="79"/>
        <v>8.7781281268385025E-2</v>
      </c>
      <c r="C395" s="84">
        <f t="shared" ca="1" si="79"/>
        <v>0.80875898647246336</v>
      </c>
      <c r="D395" s="84">
        <f t="shared" ca="1" si="79"/>
        <v>0.85677977700868868</v>
      </c>
      <c r="F395" s="84">
        <f t="shared" ca="1" si="80"/>
        <v>0.48369877027023056</v>
      </c>
      <c r="G395" s="84">
        <f t="shared" ca="1" si="80"/>
        <v>0.71774334654468575</v>
      </c>
      <c r="H395" s="84">
        <f t="shared" ca="1" si="80"/>
        <v>0.25058629838698643</v>
      </c>
      <c r="J395" s="85">
        <f t="shared" ca="1" si="72"/>
        <v>23673822.447374359</v>
      </c>
      <c r="K395" s="86">
        <f ca="1">IF(J395&gt;0,MIN(99,$B$12*Q395/(J395*12*(1-Inputs!$H$16))),99)</f>
        <v>19.347014210179683</v>
      </c>
      <c r="L395" s="84">
        <f t="shared" ca="1" si="73"/>
        <v>0.87437501769908432</v>
      </c>
      <c r="M395" s="84">
        <f t="shared" ca="1" si="74"/>
        <v>0.94316036669483438</v>
      </c>
      <c r="N395" s="84">
        <f t="shared" ca="1" si="75"/>
        <v>1.0461082910389568</v>
      </c>
      <c r="O395" s="84">
        <f t="shared" ca="1" si="76"/>
        <v>1.0213017479934856</v>
      </c>
      <c r="P395" s="84">
        <f t="shared" ca="1" si="77"/>
        <v>1.357563697171501</v>
      </c>
      <c r="Q395" s="84">
        <f t="shared" ca="1" si="78"/>
        <v>1.0048755471969724</v>
      </c>
    </row>
    <row r="396" spans="1:17" ht="15" customHeight="1" x14ac:dyDescent="0.2">
      <c r="A396" s="15">
        <v>357</v>
      </c>
      <c r="B396" s="84">
        <f t="shared" ca="1" si="79"/>
        <v>0.83587114639575999</v>
      </c>
      <c r="C396" s="84">
        <f t="shared" ca="1" si="79"/>
        <v>4.0670999997371005E-2</v>
      </c>
      <c r="D396" s="84">
        <f t="shared" ca="1" si="79"/>
        <v>0.53402107169912549</v>
      </c>
      <c r="F396" s="84">
        <f t="shared" ca="1" si="80"/>
        <v>0.7102427470870325</v>
      </c>
      <c r="G396" s="84">
        <f t="shared" ca="1" si="80"/>
        <v>0.93610079101226595</v>
      </c>
      <c r="H396" s="84">
        <f t="shared" ca="1" si="80"/>
        <v>0.88596613605183028</v>
      </c>
      <c r="J396" s="85">
        <f t="shared" ca="1" si="72"/>
        <v>193870975.43984658</v>
      </c>
      <c r="K396" s="86">
        <f ca="1">IF(J396&gt;0,MIN(99,$B$12*Q396/(J396*12*(1-Inputs!$H$16))),99)</f>
        <v>3.0891341036827273</v>
      </c>
      <c r="L396" s="84">
        <f t="shared" ca="1" si="73"/>
        <v>1.1247744450148942</v>
      </c>
      <c r="M396" s="84">
        <f t="shared" ca="1" si="74"/>
        <v>1.0545506044331467</v>
      </c>
      <c r="N396" s="84">
        <f t="shared" ca="1" si="75"/>
        <v>1.0105183411289229</v>
      </c>
      <c r="O396" s="84">
        <f t="shared" ca="1" si="76"/>
        <v>1.0440123221430879</v>
      </c>
      <c r="P396" s="84">
        <f t="shared" ca="1" si="77"/>
        <v>1.6223901525695275</v>
      </c>
      <c r="Q396" s="84">
        <f t="shared" ca="1" si="78"/>
        <v>1.3139519957264656</v>
      </c>
    </row>
    <row r="397" spans="1:17" ht="15" customHeight="1" x14ac:dyDescent="0.2">
      <c r="A397" s="15">
        <v>358</v>
      </c>
      <c r="B397" s="84">
        <f t="shared" ca="1" si="79"/>
        <v>0.76084775583012032</v>
      </c>
      <c r="C397" s="84">
        <f t="shared" ca="1" si="79"/>
        <v>0.30960733317388422</v>
      </c>
      <c r="D397" s="84">
        <f t="shared" ca="1" si="79"/>
        <v>0.84890323587858774</v>
      </c>
      <c r="F397" s="84">
        <f t="shared" ca="1" si="80"/>
        <v>0.3594693516265649</v>
      </c>
      <c r="G397" s="84">
        <f t="shared" ca="1" si="80"/>
        <v>0.23298535903822126</v>
      </c>
      <c r="H397" s="84">
        <f t="shared" ca="1" si="80"/>
        <v>0.64163416555909547</v>
      </c>
      <c r="J397" s="85">
        <f t="shared" ca="1" si="72"/>
        <v>189748466.19984037</v>
      </c>
      <c r="K397" s="86">
        <f ca="1">IF(J397&gt;0,MIN(99,$B$12*Q397/(J397*12*(1-Inputs!$H$16))),99)</f>
        <v>2.7893228079564416</v>
      </c>
      <c r="L397" s="84">
        <f t="shared" ca="1" si="73"/>
        <v>1.0936621011113274</v>
      </c>
      <c r="M397" s="84">
        <f t="shared" ca="1" si="74"/>
        <v>1.0407907029139227</v>
      </c>
      <c r="N397" s="84">
        <f t="shared" ca="1" si="75"/>
        <v>1.04490700724251</v>
      </c>
      <c r="O397" s="84">
        <f t="shared" ca="1" si="76"/>
        <v>1.0109965592156069</v>
      </c>
      <c r="P397" s="84">
        <f t="shared" ca="1" si="77"/>
        <v>1.0299575855869474</v>
      </c>
      <c r="Q397" s="84">
        <f t="shared" ca="1" si="78"/>
        <v>1.1611999099300441</v>
      </c>
    </row>
    <row r="398" spans="1:17" ht="15" customHeight="1" x14ac:dyDescent="0.2">
      <c r="A398" s="15">
        <v>359</v>
      </c>
      <c r="B398" s="84">
        <f t="shared" ca="1" si="79"/>
        <v>4.0580509841965817E-2</v>
      </c>
      <c r="C398" s="84">
        <f t="shared" ca="1" si="79"/>
        <v>1.0995256648401619E-2</v>
      </c>
      <c r="D398" s="84">
        <f t="shared" ca="1" si="79"/>
        <v>4.268185837428351E-2</v>
      </c>
      <c r="F398" s="84">
        <f t="shared" ca="1" si="80"/>
        <v>0.88811112843305451</v>
      </c>
      <c r="G398" s="84">
        <f t="shared" ca="1" si="80"/>
        <v>6.4699683175525657E-2</v>
      </c>
      <c r="H398" s="84">
        <f t="shared" ca="1" si="80"/>
        <v>0.14624779613017103</v>
      </c>
      <c r="J398" s="85">
        <f t="shared" ca="1" si="72"/>
        <v>27938352.293405131</v>
      </c>
      <c r="K398" s="86">
        <f ca="1">IF(J398&gt;0,MIN(99,$B$12*Q398/(J398*12*(1-Inputs!$H$16))),99)</f>
        <v>15.764967799026156</v>
      </c>
      <c r="L398" s="84">
        <f t="shared" ca="1" si="73"/>
        <v>0.84256705822530054</v>
      </c>
      <c r="M398" s="84">
        <f t="shared" ca="1" si="74"/>
        <v>0.92892984164995196</v>
      </c>
      <c r="N398" s="84">
        <f t="shared" ca="1" si="75"/>
        <v>0.95880148217775785</v>
      </c>
      <c r="O398" s="84">
        <f t="shared" ca="1" si="76"/>
        <v>1.069689207952822</v>
      </c>
      <c r="P398" s="84">
        <f t="shared" ca="1" si="77"/>
        <v>0.92678655207524208</v>
      </c>
      <c r="Q398" s="84">
        <f t="shared" ca="1" si="78"/>
        <v>0.96632634255118133</v>
      </c>
    </row>
    <row r="399" spans="1:17" ht="15" customHeight="1" x14ac:dyDescent="0.2">
      <c r="A399" s="15">
        <v>360</v>
      </c>
      <c r="B399" s="84">
        <f t="shared" ca="1" si="79"/>
        <v>0.32560169035513065</v>
      </c>
      <c r="C399" s="84">
        <f t="shared" ca="1" si="79"/>
        <v>7.9639029733804323E-2</v>
      </c>
      <c r="D399" s="84">
        <f t="shared" ca="1" si="79"/>
        <v>0.83905304541745263</v>
      </c>
      <c r="F399" s="84">
        <f t="shared" ca="1" si="80"/>
        <v>4.5870701470916875E-2</v>
      </c>
      <c r="G399" s="84">
        <f t="shared" ca="1" si="80"/>
        <v>0.54373288279177312</v>
      </c>
      <c r="H399" s="84">
        <f t="shared" ca="1" si="80"/>
        <v>0.46142005566510969</v>
      </c>
      <c r="J399" s="85">
        <f t="shared" ca="1" si="72"/>
        <v>96085695.784250781</v>
      </c>
      <c r="K399" s="86">
        <f ca="1">IF(J399&gt;0,MIN(99,$B$12*Q399/(J399*12*(1-Inputs!$H$16))),99)</f>
        <v>5.1327648863118149</v>
      </c>
      <c r="L399" s="84">
        <f t="shared" ca="1" si="73"/>
        <v>0.96639015169269338</v>
      </c>
      <c r="M399" s="84">
        <f t="shared" ca="1" si="74"/>
        <v>0.98432690772628595</v>
      </c>
      <c r="N399" s="84">
        <f t="shared" ca="1" si="75"/>
        <v>1.0434479582753455</v>
      </c>
      <c r="O399" s="84">
        <f t="shared" ca="1" si="76"/>
        <v>0.98388863855987851</v>
      </c>
      <c r="P399" s="84">
        <f t="shared" ca="1" si="77"/>
        <v>1.2204439367225119</v>
      </c>
      <c r="Q399" s="84">
        <f t="shared" ca="1" si="78"/>
        <v>1.0820318684854677</v>
      </c>
    </row>
    <row r="400" spans="1:17" ht="15" customHeight="1" x14ac:dyDescent="0.2">
      <c r="A400" s="15">
        <v>361</v>
      </c>
      <c r="B400" s="84">
        <f t="shared" ref="B400:D419" ca="1" si="81">RAND()</f>
        <v>0.99488088989298584</v>
      </c>
      <c r="C400" s="84">
        <f t="shared" ca="1" si="81"/>
        <v>0.90391740969322354</v>
      </c>
      <c r="D400" s="84">
        <f t="shared" ca="1" si="81"/>
        <v>0.98056281149172086</v>
      </c>
      <c r="F400" s="84">
        <f t="shared" ref="F400:H419" ca="1" si="82">RAND()</f>
        <v>0.59770055957047397</v>
      </c>
      <c r="G400" s="84">
        <f t="shared" ca="1" si="82"/>
        <v>0.33413230709119368</v>
      </c>
      <c r="H400" s="84">
        <f t="shared" ca="1" si="82"/>
        <v>0.94552118801999263</v>
      </c>
      <c r="J400" s="85">
        <f t="shared" ca="1" si="72"/>
        <v>299569169.13461566</v>
      </c>
      <c r="K400" s="86">
        <f ca="1">IF(J400&gt;0,MIN(99,$B$12*Q400/(J400*12*(1-Inputs!$H$16))),99)</f>
        <v>2.0920612263149434</v>
      </c>
      <c r="L400" s="84">
        <f t="shared" ca="1" si="73"/>
        <v>1.248469307590746</v>
      </c>
      <c r="M400" s="84">
        <f t="shared" ca="1" si="74"/>
        <v>1.109256515783096</v>
      </c>
      <c r="N400" s="84">
        <f t="shared" ca="1" si="75"/>
        <v>1.0740749828776788</v>
      </c>
      <c r="O400" s="84">
        <f t="shared" ca="1" si="76"/>
        <v>1.0319193667746216</v>
      </c>
      <c r="P400" s="84">
        <f t="shared" ca="1" si="77"/>
        <v>1.0868097351616757</v>
      </c>
      <c r="Q400" s="84">
        <f t="shared" ca="1" si="78"/>
        <v>1.3749960380015904</v>
      </c>
    </row>
    <row r="401" spans="1:17" ht="15" customHeight="1" x14ac:dyDescent="0.2">
      <c r="A401" s="15">
        <v>362</v>
      </c>
      <c r="B401" s="84">
        <f t="shared" ca="1" si="81"/>
        <v>0.29241883882495534</v>
      </c>
      <c r="C401" s="84">
        <f t="shared" ca="1" si="81"/>
        <v>0.18385606221358541</v>
      </c>
      <c r="D401" s="84">
        <f t="shared" ca="1" si="81"/>
        <v>0.97266353215571466</v>
      </c>
      <c r="F401" s="84">
        <f t="shared" ca="1" si="82"/>
        <v>0.70152246991730038</v>
      </c>
      <c r="G401" s="84">
        <f t="shared" ca="1" si="82"/>
        <v>0.72587160220387414</v>
      </c>
      <c r="H401" s="84">
        <f t="shared" ca="1" si="82"/>
        <v>0.11035132716398699</v>
      </c>
      <c r="J401" s="85">
        <f t="shared" ca="1" si="72"/>
        <v>68265588.268802449</v>
      </c>
      <c r="K401" s="86">
        <f ca="1">IF(J401&gt;0,MIN(99,$B$12*Q401/(J401*12*(1-Inputs!$H$16))),99)</f>
        <v>6.3428198003099263</v>
      </c>
      <c r="L401" s="84">
        <f t="shared" ca="1" si="73"/>
        <v>0.95637563057866259</v>
      </c>
      <c r="M401" s="84">
        <f t="shared" ca="1" si="74"/>
        <v>0.9798465230715212</v>
      </c>
      <c r="N401" s="84">
        <f t="shared" ca="1" si="75"/>
        <v>1.0710422732671301</v>
      </c>
      <c r="O401" s="84">
        <f t="shared" ca="1" si="76"/>
        <v>1.0429993331490532</v>
      </c>
      <c r="P401" s="84">
        <f t="shared" ca="1" si="77"/>
        <v>1.3648910916429697</v>
      </c>
      <c r="Q401" s="84">
        <f t="shared" ca="1" si="78"/>
        <v>0.9499793209684444</v>
      </c>
    </row>
    <row r="402" spans="1:17" ht="15" customHeight="1" x14ac:dyDescent="0.2">
      <c r="A402" s="15">
        <v>363</v>
      </c>
      <c r="B402" s="84">
        <f t="shared" ca="1" si="81"/>
        <v>0.9655867986671729</v>
      </c>
      <c r="C402" s="84">
        <f t="shared" ca="1" si="81"/>
        <v>0.48319262064272395</v>
      </c>
      <c r="D402" s="84">
        <f t="shared" ca="1" si="81"/>
        <v>0.79758890613990174</v>
      </c>
      <c r="F402" s="84">
        <f t="shared" ca="1" si="82"/>
        <v>0.7982160550500168</v>
      </c>
      <c r="G402" s="84">
        <f t="shared" ca="1" si="82"/>
        <v>2.305961834347614E-2</v>
      </c>
      <c r="H402" s="84">
        <f t="shared" ca="1" si="82"/>
        <v>0.60822658059749291</v>
      </c>
      <c r="J402" s="85">
        <f t="shared" ca="1" si="72"/>
        <v>278118372.4636851</v>
      </c>
      <c r="K402" s="86">
        <f ca="1">IF(J402&gt;0,MIN(99,$B$12*Q402/(J402*12*(1-Inputs!$H$16))),99)</f>
        <v>1.8768653672816229</v>
      </c>
      <c r="L402" s="84">
        <f t="shared" ca="1" si="73"/>
        <v>1.2062118092746748</v>
      </c>
      <c r="M402" s="84">
        <f t="shared" ca="1" si="74"/>
        <v>1.0905675022815691</v>
      </c>
      <c r="N402" s="84">
        <f t="shared" ca="1" si="75"/>
        <v>1.0377477003560247</v>
      </c>
      <c r="O402" s="84">
        <f t="shared" ca="1" si="76"/>
        <v>1.0552368735214395</v>
      </c>
      <c r="P402" s="84">
        <f t="shared" ca="1" si="77"/>
        <v>0.88161098755480749</v>
      </c>
      <c r="Q402" s="84">
        <f t="shared" ca="1" si="78"/>
        <v>1.1452300663536736</v>
      </c>
    </row>
    <row r="403" spans="1:17" ht="15" customHeight="1" x14ac:dyDescent="0.2">
      <c r="A403" s="15">
        <v>364</v>
      </c>
      <c r="B403" s="84">
        <f t="shared" ca="1" si="81"/>
        <v>0.99555586832604315</v>
      </c>
      <c r="C403" s="84">
        <f t="shared" ca="1" si="81"/>
        <v>0.28916149989736795</v>
      </c>
      <c r="D403" s="84">
        <f t="shared" ca="1" si="81"/>
        <v>0.12233784514947921</v>
      </c>
      <c r="F403" s="84">
        <f t="shared" ca="1" si="82"/>
        <v>1.2094357220468477E-2</v>
      </c>
      <c r="G403" s="84">
        <f t="shared" ca="1" si="82"/>
        <v>0.31162248942935622</v>
      </c>
      <c r="H403" s="84">
        <f t="shared" ca="1" si="82"/>
        <v>0.58076577058667189</v>
      </c>
      <c r="J403" s="85">
        <f t="shared" ca="1" si="72"/>
        <v>338035311.96304417</v>
      </c>
      <c r="K403" s="86">
        <f ca="1">IF(J403&gt;0,MIN(99,$B$12*Q403/(J403*12*(1-Inputs!$H$16))),99)</f>
        <v>1.5271687898076438</v>
      </c>
      <c r="L403" s="84">
        <f t="shared" ca="1" si="73"/>
        <v>1.250280208229658</v>
      </c>
      <c r="M403" s="84">
        <f t="shared" ca="1" si="74"/>
        <v>1.1100574137973942</v>
      </c>
      <c r="N403" s="84">
        <f t="shared" ca="1" si="75"/>
        <v>0.97257051188114996</v>
      </c>
      <c r="O403" s="84">
        <f t="shared" ca="1" si="76"/>
        <v>0.9770759241933904</v>
      </c>
      <c r="P403" s="84">
        <f t="shared" ca="1" si="77"/>
        <v>1.0738030484153742</v>
      </c>
      <c r="Q403" s="84">
        <f t="shared" ca="1" si="78"/>
        <v>1.1326065045546414</v>
      </c>
    </row>
    <row r="404" spans="1:17" ht="15" customHeight="1" x14ac:dyDescent="0.2">
      <c r="A404" s="15">
        <v>365</v>
      </c>
      <c r="B404" s="84">
        <f t="shared" ca="1" si="81"/>
        <v>0.4631555682372468</v>
      </c>
      <c r="C404" s="84">
        <f t="shared" ca="1" si="81"/>
        <v>0.29233852836099639</v>
      </c>
      <c r="D404" s="84">
        <f t="shared" ca="1" si="81"/>
        <v>4.7500626483119812E-2</v>
      </c>
      <c r="F404" s="84">
        <f t="shared" ca="1" si="82"/>
        <v>0.1832691609138275</v>
      </c>
      <c r="G404" s="84">
        <f t="shared" ca="1" si="82"/>
        <v>0.18469863611460902</v>
      </c>
      <c r="H404" s="84">
        <f t="shared" ca="1" si="82"/>
        <v>0.2033764546815704</v>
      </c>
      <c r="J404" s="85">
        <f t="shared" ca="1" si="72"/>
        <v>145587292.04397708</v>
      </c>
      <c r="K404" s="86">
        <f ca="1">IF(J404&gt;0,MIN(99,$B$12*Q404/(J404*12*(1-Inputs!$H$16))),99)</f>
        <v>3.0951543077475931</v>
      </c>
      <c r="L404" s="84">
        <f t="shared" ca="1" si="73"/>
        <v>1.0033087977733204</v>
      </c>
      <c r="M404" s="84">
        <f t="shared" ca="1" si="74"/>
        <v>1.0008305970562275</v>
      </c>
      <c r="N404" s="84">
        <f t="shared" ca="1" si="75"/>
        <v>0.95989307117743794</v>
      </c>
      <c r="O404" s="84">
        <f t="shared" ca="1" si="76"/>
        <v>0.997875283045493</v>
      </c>
      <c r="P404" s="84">
        <f t="shared" ca="1" si="77"/>
        <v>1.004143303525149</v>
      </c>
      <c r="Q404" s="84">
        <f t="shared" ca="1" si="78"/>
        <v>0.98863439356156935</v>
      </c>
    </row>
    <row r="405" spans="1:17" ht="15" customHeight="1" x14ac:dyDescent="0.2">
      <c r="A405" s="15">
        <v>366</v>
      </c>
      <c r="B405" s="84">
        <f t="shared" ca="1" si="81"/>
        <v>0.17396369972706272</v>
      </c>
      <c r="C405" s="84">
        <f t="shared" ca="1" si="81"/>
        <v>0.39798815479014982</v>
      </c>
      <c r="D405" s="84">
        <f t="shared" ca="1" si="81"/>
        <v>0.54747087451156473</v>
      </c>
      <c r="F405" s="84">
        <f t="shared" ca="1" si="82"/>
        <v>0.63370330716577494</v>
      </c>
      <c r="G405" s="84">
        <f t="shared" ca="1" si="82"/>
        <v>0.82669284924066466</v>
      </c>
      <c r="H405" s="84">
        <f t="shared" ca="1" si="82"/>
        <v>0.17893930144185122</v>
      </c>
      <c r="J405" s="85">
        <f t="shared" ca="1" si="72"/>
        <v>49954394.619397804</v>
      </c>
      <c r="K405" s="86">
        <f ca="1">IF(J405&gt;0,MIN(99,$B$12*Q405/(J405*12*(1-Inputs!$H$16))),99)</f>
        <v>8.9375066516404988</v>
      </c>
      <c r="L405" s="84">
        <f t="shared" ca="1" si="73"/>
        <v>0.91489609079346912</v>
      </c>
      <c r="M405" s="84">
        <f t="shared" ca="1" si="74"/>
        <v>0.96128904124846049</v>
      </c>
      <c r="N405" s="84">
        <f t="shared" ca="1" si="75"/>
        <v>1.0116794285531532</v>
      </c>
      <c r="O405" s="84">
        <f t="shared" ca="1" si="76"/>
        <v>1.0355790510431733</v>
      </c>
      <c r="P405" s="84">
        <f t="shared" ca="1" si="77"/>
        <v>1.4668970551728635</v>
      </c>
      <c r="Q405" s="84">
        <f t="shared" ca="1" si="78"/>
        <v>0.97953513810431669</v>
      </c>
    </row>
    <row r="406" spans="1:17" ht="15" customHeight="1" x14ac:dyDescent="0.2">
      <c r="A406" s="15">
        <v>367</v>
      </c>
      <c r="B406" s="84">
        <f t="shared" ca="1" si="81"/>
        <v>0.80549795057612739</v>
      </c>
      <c r="C406" s="84">
        <f t="shared" ca="1" si="81"/>
        <v>0.45763142876218621</v>
      </c>
      <c r="D406" s="84">
        <f t="shared" ca="1" si="81"/>
        <v>0.33863855005193366</v>
      </c>
      <c r="F406" s="84">
        <f t="shared" ca="1" si="82"/>
        <v>0.41393339845652</v>
      </c>
      <c r="G406" s="84">
        <f t="shared" ca="1" si="82"/>
        <v>0.62764992895764848</v>
      </c>
      <c r="H406" s="84">
        <f t="shared" ca="1" si="82"/>
        <v>0.96388111411031274</v>
      </c>
      <c r="J406" s="85">
        <f t="shared" ca="1" si="72"/>
        <v>204924955.38300568</v>
      </c>
      <c r="K406" s="86">
        <f ca="1">IF(J406&gt;0,MIN(99,$B$12*Q406/(J406*12*(1-Inputs!$H$16))),99)</f>
        <v>3.1147267655516</v>
      </c>
      <c r="L406" s="84">
        <f t="shared" ca="1" si="73"/>
        <v>1.1114639740125054</v>
      </c>
      <c r="M406" s="84">
        <f t="shared" ca="1" si="74"/>
        <v>1.0486638486575279</v>
      </c>
      <c r="N406" s="84">
        <f t="shared" ca="1" si="75"/>
        <v>0.99489740497443102</v>
      </c>
      <c r="O406" s="84">
        <f t="shared" ca="1" si="76"/>
        <v>1.0153788771451164</v>
      </c>
      <c r="P406" s="84">
        <f t="shared" ca="1" si="77"/>
        <v>1.2825109024269812</v>
      </c>
      <c r="Q406" s="84">
        <f t="shared" ca="1" si="78"/>
        <v>1.4003762785644096</v>
      </c>
    </row>
    <row r="407" spans="1:17" ht="15" customHeight="1" x14ac:dyDescent="0.2">
      <c r="A407" s="15">
        <v>368</v>
      </c>
      <c r="B407" s="84">
        <f t="shared" ca="1" si="81"/>
        <v>9.8647008847061457E-2</v>
      </c>
      <c r="C407" s="84">
        <f t="shared" ca="1" si="81"/>
        <v>0.40488219473189246</v>
      </c>
      <c r="D407" s="84">
        <f t="shared" ca="1" si="81"/>
        <v>0.50764015825432807</v>
      </c>
      <c r="F407" s="84">
        <f t="shared" ca="1" si="82"/>
        <v>0.79337994177258309</v>
      </c>
      <c r="G407" s="84">
        <f t="shared" ca="1" si="82"/>
        <v>0.85740662069480633</v>
      </c>
      <c r="H407" s="84">
        <f t="shared" ca="1" si="82"/>
        <v>0.95908154346481522</v>
      </c>
      <c r="J407" s="85">
        <f t="shared" ca="1" si="72"/>
        <v>23541718.784625724</v>
      </c>
      <c r="K407" s="86">
        <f ca="1">IF(J407&gt;0,MIN(99,$B$12*Q407/(J407*12*(1-Inputs!$H$16))),99)</f>
        <v>26.974293524695636</v>
      </c>
      <c r="L407" s="84">
        <f t="shared" ca="1" si="73"/>
        <v>0.88034604166884689</v>
      </c>
      <c r="M407" s="84">
        <f t="shared" ca="1" si="74"/>
        <v>0.94583173598576087</v>
      </c>
      <c r="N407" s="84">
        <f t="shared" ca="1" si="75"/>
        <v>1.0082886212991324</v>
      </c>
      <c r="O407" s="84">
        <f t="shared" ca="1" si="76"/>
        <v>1.0545626608052718</v>
      </c>
      <c r="P407" s="84">
        <f t="shared" ca="1" si="77"/>
        <v>1.503684644101958</v>
      </c>
      <c r="Q407" s="84">
        <f t="shared" ca="1" si="78"/>
        <v>1.3932151488529354</v>
      </c>
    </row>
    <row r="408" spans="1:17" ht="15" customHeight="1" x14ac:dyDescent="0.2">
      <c r="A408" s="15">
        <v>369</v>
      </c>
      <c r="B408" s="84">
        <f t="shared" ca="1" si="81"/>
        <v>0.18434387737764779</v>
      </c>
      <c r="C408" s="84">
        <f t="shared" ca="1" si="81"/>
        <v>0.27058677128856745</v>
      </c>
      <c r="D408" s="84">
        <f t="shared" ca="1" si="81"/>
        <v>0.53769926487772968</v>
      </c>
      <c r="F408" s="84">
        <f t="shared" ca="1" si="82"/>
        <v>0.79615711814781265</v>
      </c>
      <c r="G408" s="84">
        <f t="shared" ca="1" si="82"/>
        <v>0.62614950429389415</v>
      </c>
      <c r="H408" s="84">
        <f t="shared" ca="1" si="82"/>
        <v>0.89825736095528286</v>
      </c>
      <c r="J408" s="85">
        <f t="shared" ca="1" si="72"/>
        <v>56621658.276642367</v>
      </c>
      <c r="K408" s="86">
        <f ca="1">IF(J408&gt;0,MIN(99,$B$12*Q408/(J408*12*(1-Inputs!$H$16))),99)</f>
        <v>10.665310279159321</v>
      </c>
      <c r="L408" s="84">
        <f t="shared" ca="1" si="73"/>
        <v>0.91900932679859793</v>
      </c>
      <c r="M408" s="84">
        <f t="shared" ca="1" si="74"/>
        <v>0.96312925699806695</v>
      </c>
      <c r="N408" s="84">
        <f t="shared" ca="1" si="75"/>
        <v>1.0108341867180042</v>
      </c>
      <c r="O408" s="84">
        <f t="shared" ca="1" si="76"/>
        <v>1.0549488559670777</v>
      </c>
      <c r="P408" s="84">
        <f t="shared" ca="1" si="77"/>
        <v>1.2813429773499316</v>
      </c>
      <c r="Q408" s="84">
        <f t="shared" ca="1" si="78"/>
        <v>1.3249089090855213</v>
      </c>
    </row>
    <row r="409" spans="1:17" ht="15" customHeight="1" x14ac:dyDescent="0.2">
      <c r="A409" s="15">
        <v>370</v>
      </c>
      <c r="B409" s="84">
        <f t="shared" ca="1" si="81"/>
        <v>0.88682219417674579</v>
      </c>
      <c r="C409" s="84">
        <f t="shared" ca="1" si="81"/>
        <v>0.62237084551322708</v>
      </c>
      <c r="D409" s="84">
        <f t="shared" ca="1" si="81"/>
        <v>6.3714270551721297E-2</v>
      </c>
      <c r="F409" s="84">
        <f t="shared" ca="1" si="82"/>
        <v>0.93042593355861025</v>
      </c>
      <c r="G409" s="84">
        <f t="shared" ca="1" si="82"/>
        <v>0.96454746805646618</v>
      </c>
      <c r="H409" s="84">
        <f t="shared" ca="1" si="82"/>
        <v>0.15082673276019753</v>
      </c>
      <c r="J409" s="85">
        <f t="shared" ca="1" si="72"/>
        <v>217487478.76071262</v>
      </c>
      <c r="K409" s="86">
        <f ca="1">IF(J409&gt;0,MIN(99,$B$12*Q409/(J409*12*(1-Inputs!$H$16))),99)</f>
        <v>2.0292128794490667</v>
      </c>
      <c r="L409" s="84">
        <f t="shared" ca="1" si="73"/>
        <v>1.1502524617449408</v>
      </c>
      <c r="M409" s="84">
        <f t="shared" ca="1" si="74"/>
        <v>1.0658186401104712</v>
      </c>
      <c r="N409" s="84">
        <f t="shared" ca="1" si="75"/>
        <v>0.96320813058537236</v>
      </c>
      <c r="O409" s="84">
        <f t="shared" ca="1" si="76"/>
        <v>1.0786006958561585</v>
      </c>
      <c r="P409" s="84">
        <f t="shared" ca="1" si="77"/>
        <v>1.6837191749729472</v>
      </c>
      <c r="Q409" s="84">
        <f t="shared" ca="1" si="78"/>
        <v>0.96825959705929443</v>
      </c>
    </row>
    <row r="410" spans="1:17" ht="15" customHeight="1" x14ac:dyDescent="0.2">
      <c r="A410" s="15">
        <v>371</v>
      </c>
      <c r="B410" s="84">
        <f t="shared" ca="1" si="81"/>
        <v>0.46840289392029544</v>
      </c>
      <c r="C410" s="84">
        <f t="shared" ca="1" si="81"/>
        <v>0.32243230387708721</v>
      </c>
      <c r="D410" s="84">
        <f t="shared" ca="1" si="81"/>
        <v>0.62848710740332903</v>
      </c>
      <c r="F410" s="84">
        <f t="shared" ca="1" si="82"/>
        <v>0.65597207483469389</v>
      </c>
      <c r="G410" s="84">
        <f t="shared" ca="1" si="82"/>
        <v>0.79531476755197394</v>
      </c>
      <c r="H410" s="84">
        <f t="shared" ca="1" si="82"/>
        <v>0.64547231283547279</v>
      </c>
      <c r="J410" s="85">
        <f t="shared" ca="1" si="72"/>
        <v>110883034.24843906</v>
      </c>
      <c r="K410" s="86">
        <f ca="1">IF(J410&gt;0,MIN(99,$B$12*Q410/(J410*12*(1-Inputs!$H$16))),99)</f>
        <v>4.7809600236340364</v>
      </c>
      <c r="L410" s="84">
        <f t="shared" ca="1" si="73"/>
        <v>1.0046398659455145</v>
      </c>
      <c r="M410" s="84">
        <f t="shared" ca="1" si="74"/>
        <v>1.001419281953178</v>
      </c>
      <c r="N410" s="84">
        <f t="shared" ca="1" si="75"/>
        <v>1.0190721247812806</v>
      </c>
      <c r="O410" s="84">
        <f t="shared" ca="1" si="76"/>
        <v>1.0379333357560179</v>
      </c>
      <c r="P410" s="84">
        <f t="shared" ca="1" si="77"/>
        <v>1.4325500965809703</v>
      </c>
      <c r="Q410" s="84">
        <f t="shared" ca="1" si="78"/>
        <v>1.1630815200925677</v>
      </c>
    </row>
    <row r="411" spans="1:17" ht="15" customHeight="1" x14ac:dyDescent="0.2">
      <c r="A411" s="15">
        <v>372</v>
      </c>
      <c r="B411" s="84">
        <f t="shared" ca="1" si="81"/>
        <v>0.17941502488835448</v>
      </c>
      <c r="C411" s="84">
        <f t="shared" ca="1" si="81"/>
        <v>0.78019069124953999</v>
      </c>
      <c r="D411" s="84">
        <f t="shared" ca="1" si="81"/>
        <v>0.62781868046012768</v>
      </c>
      <c r="F411" s="84">
        <f t="shared" ca="1" si="82"/>
        <v>1.5895908017376392E-2</v>
      </c>
      <c r="G411" s="84">
        <f t="shared" ca="1" si="82"/>
        <v>4.9016182581515522E-2</v>
      </c>
      <c r="H411" s="84">
        <f t="shared" ca="1" si="82"/>
        <v>0.8394305782159065</v>
      </c>
      <c r="J411" s="85">
        <f t="shared" ca="1" si="72"/>
        <v>80487158.293315783</v>
      </c>
      <c r="K411" s="86">
        <f ca="1">IF(J411&gt;0,MIN(99,$B$12*Q411/(J411*12*(1-Inputs!$H$16))),99)</f>
        <v>7.2319417172342213</v>
      </c>
      <c r="L411" s="84">
        <f t="shared" ca="1" si="73"/>
        <v>0.91707107481799344</v>
      </c>
      <c r="M411" s="84">
        <f t="shared" ca="1" si="74"/>
        <v>0.9622621047566281</v>
      </c>
      <c r="N411" s="84">
        <f t="shared" ca="1" si="75"/>
        <v>1.0190079985617293</v>
      </c>
      <c r="O411" s="84">
        <f t="shared" ca="1" si="76"/>
        <v>0.97812886183840675</v>
      </c>
      <c r="P411" s="84">
        <f t="shared" ca="1" si="77"/>
        <v>0.91225854770039705</v>
      </c>
      <c r="Q411" s="84">
        <f t="shared" ca="1" si="78"/>
        <v>1.2770604441478672</v>
      </c>
    </row>
    <row r="412" spans="1:17" ht="15" customHeight="1" x14ac:dyDescent="0.2">
      <c r="A412" s="15">
        <v>373</v>
      </c>
      <c r="B412" s="84">
        <f t="shared" ca="1" si="81"/>
        <v>8.0309594663848682E-2</v>
      </c>
      <c r="C412" s="84">
        <f t="shared" ca="1" si="81"/>
        <v>0.54140259139979785</v>
      </c>
      <c r="D412" s="84">
        <f t="shared" ca="1" si="81"/>
        <v>8.6555871942919471E-2</v>
      </c>
      <c r="F412" s="84">
        <f t="shared" ca="1" si="82"/>
        <v>0.1363389458254517</v>
      </c>
      <c r="G412" s="84">
        <f t="shared" ca="1" si="82"/>
        <v>0.55510889646006034</v>
      </c>
      <c r="H412" s="84">
        <f t="shared" ca="1" si="82"/>
        <v>0.6785245842638612</v>
      </c>
      <c r="J412" s="85">
        <f t="shared" ca="1" si="72"/>
        <v>45150125.61123009</v>
      </c>
      <c r="K412" s="86">
        <f ca="1">IF(J412&gt;0,MIN(99,$B$12*Q412/(J412*12*(1-Inputs!$H$16))),99)</f>
        <v>11.90946693235853</v>
      </c>
      <c r="L412" s="84">
        <f t="shared" ca="1" si="73"/>
        <v>0.87005171960402916</v>
      </c>
      <c r="M412" s="84">
        <f t="shared" ca="1" si="74"/>
        <v>0.94122617151740151</v>
      </c>
      <c r="N412" s="84">
        <f t="shared" ca="1" si="75"/>
        <v>0.96722682117101777</v>
      </c>
      <c r="O412" s="84">
        <f t="shared" ca="1" si="76"/>
        <v>0.99402705601252173</v>
      </c>
      <c r="P412" s="84">
        <f t="shared" ca="1" si="77"/>
        <v>1.2285019242206219</v>
      </c>
      <c r="Q412" s="84">
        <f t="shared" ca="1" si="78"/>
        <v>1.1797262071800894</v>
      </c>
    </row>
    <row r="413" spans="1:17" ht="15" customHeight="1" x14ac:dyDescent="0.2">
      <c r="A413" s="15">
        <v>374</v>
      </c>
      <c r="B413" s="84">
        <f t="shared" ca="1" si="81"/>
        <v>0.77955571632044574</v>
      </c>
      <c r="C413" s="84">
        <f t="shared" ca="1" si="81"/>
        <v>0.76129244871145318</v>
      </c>
      <c r="D413" s="84">
        <f t="shared" ca="1" si="81"/>
        <v>2.1593857901590185E-2</v>
      </c>
      <c r="F413" s="84">
        <f t="shared" ca="1" si="82"/>
        <v>0.53600839179817739</v>
      </c>
      <c r="G413" s="84">
        <f t="shared" ca="1" si="82"/>
        <v>0.29170959093394933</v>
      </c>
      <c r="H413" s="84">
        <f t="shared" ca="1" si="82"/>
        <v>0.82697339632251932</v>
      </c>
      <c r="J413" s="85">
        <f t="shared" ca="1" si="72"/>
        <v>213233160.06870717</v>
      </c>
      <c r="K413" s="86">
        <f ca="1">IF(J413&gt;0,MIN(99,$B$12*Q413/(J413*12*(1-Inputs!$H$16))),99)</f>
        <v>2.7106882876777076</v>
      </c>
      <c r="L413" s="84">
        <f t="shared" ca="1" si="73"/>
        <v>1.1008991987211467</v>
      </c>
      <c r="M413" s="84">
        <f t="shared" ca="1" si="74"/>
        <v>1.0439914180610932</v>
      </c>
      <c r="N413" s="84">
        <f t="shared" ca="1" si="75"/>
        <v>0.95306513358732148</v>
      </c>
      <c r="O413" s="84">
        <f t="shared" ca="1" si="76"/>
        <v>1.0260103963975797</v>
      </c>
      <c r="P413" s="84">
        <f t="shared" ca="1" si="77"/>
        <v>1.0624731166624541</v>
      </c>
      <c r="Q413" s="84">
        <f t="shared" ca="1" si="78"/>
        <v>1.2681314222905982</v>
      </c>
    </row>
    <row r="414" spans="1:17" ht="15" customHeight="1" x14ac:dyDescent="0.2">
      <c r="A414" s="15">
        <v>375</v>
      </c>
      <c r="B414" s="84">
        <f t="shared" ca="1" si="81"/>
        <v>0.94023081174276824</v>
      </c>
      <c r="C414" s="84">
        <f t="shared" ca="1" si="81"/>
        <v>0.25997329340318887</v>
      </c>
      <c r="D414" s="84">
        <f t="shared" ca="1" si="81"/>
        <v>0.79145991050539088</v>
      </c>
      <c r="F414" s="84">
        <f t="shared" ca="1" si="82"/>
        <v>0.48241585382800822</v>
      </c>
      <c r="G414" s="84">
        <f t="shared" ca="1" si="82"/>
        <v>0.54203010086223935</v>
      </c>
      <c r="H414" s="84">
        <f t="shared" ca="1" si="82"/>
        <v>0.11732973933492563</v>
      </c>
      <c r="J414" s="85">
        <f t="shared" ca="1" si="72"/>
        <v>253499293.44177467</v>
      </c>
      <c r="K414" s="86">
        <f ca="1">IF(J414&gt;0,MIN(99,$B$12*Q414/(J414*12*(1-Inputs!$H$16))),99)</f>
        <v>1.7141288084369084</v>
      </c>
      <c r="L414" s="84">
        <f t="shared" ca="1" si="73"/>
        <v>1.1843453620305646</v>
      </c>
      <c r="M414" s="84">
        <f t="shared" ca="1" si="74"/>
        <v>1.0808967374691574</v>
      </c>
      <c r="N414" s="84">
        <f t="shared" ca="1" si="75"/>
        <v>1.036956684629917</v>
      </c>
      <c r="O414" s="84">
        <f t="shared" ca="1" si="76"/>
        <v>1.0211893392441753</v>
      </c>
      <c r="P414" s="84">
        <f t="shared" ca="1" si="77"/>
        <v>1.2192464845475377</v>
      </c>
      <c r="Q414" s="84">
        <f t="shared" ca="1" si="78"/>
        <v>0.95334512156526618</v>
      </c>
    </row>
    <row r="415" spans="1:17" ht="15" customHeight="1" x14ac:dyDescent="0.2">
      <c r="A415" s="15">
        <v>376</v>
      </c>
      <c r="B415" s="84">
        <f t="shared" ca="1" si="81"/>
        <v>0.74662289609544075</v>
      </c>
      <c r="C415" s="84">
        <f t="shared" ca="1" si="81"/>
        <v>0.56061860637250149</v>
      </c>
      <c r="D415" s="84">
        <f t="shared" ca="1" si="81"/>
        <v>0.86552635493332375</v>
      </c>
      <c r="F415" s="84">
        <f t="shared" ca="1" si="82"/>
        <v>0.42028532152062836</v>
      </c>
      <c r="G415" s="84">
        <f t="shared" ca="1" si="82"/>
        <v>1.424006033102776E-3</v>
      </c>
      <c r="H415" s="84">
        <f t="shared" ca="1" si="82"/>
        <v>0.15761959310921247</v>
      </c>
      <c r="J415" s="85">
        <f t="shared" ca="1" si="72"/>
        <v>191838063.96773303</v>
      </c>
      <c r="K415" s="86">
        <f ca="1">IF(J415&gt;0,MIN(99,$B$12*Q415/(J415*12*(1-Inputs!$H$16))),99)</f>
        <v>2.3072132579950764</v>
      </c>
      <c r="L415" s="84">
        <f t="shared" ca="1" si="73"/>
        <v>1.0883469748788492</v>
      </c>
      <c r="M415" s="84">
        <f t="shared" ca="1" si="74"/>
        <v>1.0384400084838332</v>
      </c>
      <c r="N415" s="84">
        <f t="shared" ca="1" si="75"/>
        <v>1.0474816616465406</v>
      </c>
      <c r="O415" s="84">
        <f t="shared" ca="1" si="76"/>
        <v>1.0159030036946866</v>
      </c>
      <c r="P415" s="84">
        <f t="shared" ca="1" si="77"/>
        <v>0.831318591828072</v>
      </c>
      <c r="Q415" s="84">
        <f t="shared" ca="1" si="78"/>
        <v>0.97107430558356955</v>
      </c>
    </row>
    <row r="416" spans="1:17" ht="15" customHeight="1" x14ac:dyDescent="0.2">
      <c r="A416" s="15">
        <v>377</v>
      </c>
      <c r="B416" s="84">
        <f t="shared" ca="1" si="81"/>
        <v>0.2763476031314136</v>
      </c>
      <c r="C416" s="84">
        <f t="shared" ca="1" si="81"/>
        <v>0.12586910498439219</v>
      </c>
      <c r="D416" s="84">
        <f t="shared" ca="1" si="81"/>
        <v>0.71876681645956697</v>
      </c>
      <c r="F416" s="84">
        <f t="shared" ca="1" si="82"/>
        <v>7.2075539096528085E-2</v>
      </c>
      <c r="G416" s="84">
        <f t="shared" ca="1" si="82"/>
        <v>0.41962302581219446</v>
      </c>
      <c r="H416" s="84">
        <f t="shared" ca="1" si="82"/>
        <v>0.94648888557997146</v>
      </c>
      <c r="J416" s="85">
        <f t="shared" ca="1" si="72"/>
        <v>91449436.16738756</v>
      </c>
      <c r="K416" s="86">
        <f ca="1">IF(J416&gt;0,MIN(99,$B$12*Q416/(J416*12*(1-Inputs!$H$16))),99)</f>
        <v>6.8592289110057392</v>
      </c>
      <c r="L416" s="84">
        <f t="shared" ca="1" si="73"/>
        <v>0.95132102924008821</v>
      </c>
      <c r="M416" s="84">
        <f t="shared" ca="1" si="74"/>
        <v>0.97758515100835053</v>
      </c>
      <c r="N416" s="84">
        <f t="shared" ca="1" si="75"/>
        <v>1.0283392033202168</v>
      </c>
      <c r="O416" s="84">
        <f t="shared" ca="1" si="76"/>
        <v>0.98743846504748289</v>
      </c>
      <c r="P416" s="84">
        <f t="shared" ca="1" si="77"/>
        <v>1.1383327873270106</v>
      </c>
      <c r="Q416" s="84">
        <f t="shared" ca="1" si="78"/>
        <v>1.376214946648266</v>
      </c>
    </row>
    <row r="417" spans="1:17" ht="15" customHeight="1" x14ac:dyDescent="0.2">
      <c r="A417" s="15">
        <v>378</v>
      </c>
      <c r="B417" s="84">
        <f t="shared" ca="1" si="81"/>
        <v>0.83742322883715303</v>
      </c>
      <c r="C417" s="84">
        <f t="shared" ca="1" si="81"/>
        <v>0.28277152016209417</v>
      </c>
      <c r="D417" s="84">
        <f t="shared" ca="1" si="81"/>
        <v>0.71727153141212086</v>
      </c>
      <c r="F417" s="84">
        <f t="shared" ca="1" si="82"/>
        <v>0.15943747723965251</v>
      </c>
      <c r="G417" s="84">
        <f t="shared" ca="1" si="82"/>
        <v>0.33035952925930634</v>
      </c>
      <c r="H417" s="84">
        <f t="shared" ca="1" si="82"/>
        <v>0.68187613352880949</v>
      </c>
      <c r="J417" s="85">
        <f t="shared" ca="1" si="72"/>
        <v>218477522.17395467</v>
      </c>
      <c r="K417" s="86">
        <f ca="1">IF(J417&gt;0,MIN(99,$B$12*Q417/(J417*12*(1-Inputs!$H$16))),99)</f>
        <v>2.4648053875913178</v>
      </c>
      <c r="L417" s="84">
        <f t="shared" ca="1" si="73"/>
        <v>1.1254864352813048</v>
      </c>
      <c r="M417" s="84">
        <f t="shared" ca="1" si="74"/>
        <v>1.0548654928253174</v>
      </c>
      <c r="N417" s="84">
        <f t="shared" ca="1" si="75"/>
        <v>1.0281744711453191</v>
      </c>
      <c r="O417" s="84">
        <f t="shared" ca="1" si="76"/>
        <v>0.99599209608306516</v>
      </c>
      <c r="P417" s="84">
        <f t="shared" ca="1" si="77"/>
        <v>1.0846145722921734</v>
      </c>
      <c r="Q417" s="84">
        <f t="shared" ca="1" si="78"/>
        <v>1.1814608572959375</v>
      </c>
    </row>
    <row r="418" spans="1:17" ht="15" customHeight="1" x14ac:dyDescent="0.2">
      <c r="A418" s="15">
        <v>379</v>
      </c>
      <c r="B418" s="84">
        <f t="shared" ca="1" si="81"/>
        <v>0.67297400609746594</v>
      </c>
      <c r="C418" s="84">
        <f t="shared" ca="1" si="81"/>
        <v>0.15080918892741513</v>
      </c>
      <c r="D418" s="84">
        <f t="shared" ca="1" si="81"/>
        <v>0.50170008873764327</v>
      </c>
      <c r="F418" s="84">
        <f t="shared" ca="1" si="82"/>
        <v>0.526817499423475</v>
      </c>
      <c r="G418" s="84">
        <f t="shared" ca="1" si="82"/>
        <v>0.5879386593581496</v>
      </c>
      <c r="H418" s="84">
        <f t="shared" ca="1" si="82"/>
        <v>0.48179483602723339</v>
      </c>
      <c r="J418" s="85">
        <f t="shared" ca="1" si="72"/>
        <v>164625206.34921294</v>
      </c>
      <c r="K418" s="86">
        <f ca="1">IF(J418&gt;0,MIN(99,$B$12*Q418/(J418*12*(1-Inputs!$H$16))),99)</f>
        <v>3.0185216102871775</v>
      </c>
      <c r="L418" s="84">
        <f t="shared" ca="1" si="73"/>
        <v>1.0629479446890495</v>
      </c>
      <c r="M418" s="84">
        <f t="shared" ca="1" si="74"/>
        <v>1.0272069057906164</v>
      </c>
      <c r="N418" s="84">
        <f t="shared" ca="1" si="75"/>
        <v>1.0077948679359097</v>
      </c>
      <c r="O418" s="84">
        <f t="shared" ca="1" si="76"/>
        <v>1.0251645517253705</v>
      </c>
      <c r="P418" s="84">
        <f t="shared" ca="1" si="77"/>
        <v>1.2523524226831273</v>
      </c>
      <c r="Q418" s="84">
        <f t="shared" ca="1" si="78"/>
        <v>1.0902361121557598</v>
      </c>
    </row>
    <row r="419" spans="1:17" ht="15" customHeight="1" x14ac:dyDescent="0.2">
      <c r="A419" s="15">
        <v>380</v>
      </c>
      <c r="B419" s="84">
        <f t="shared" ca="1" si="81"/>
        <v>0.84242551826644285</v>
      </c>
      <c r="C419" s="84">
        <f t="shared" ca="1" si="81"/>
        <v>0.58681939520002291</v>
      </c>
      <c r="D419" s="84">
        <f t="shared" ca="1" si="81"/>
        <v>0.52133285699106513</v>
      </c>
      <c r="F419" s="84">
        <f t="shared" ca="1" si="82"/>
        <v>0.94558334943440669</v>
      </c>
      <c r="G419" s="84">
        <f t="shared" ca="1" si="82"/>
        <v>0.21290531203596974</v>
      </c>
      <c r="H419" s="84">
        <f t="shared" ca="1" si="82"/>
        <v>0.71753802970630809</v>
      </c>
      <c r="J419" s="85">
        <f t="shared" ca="1" si="72"/>
        <v>212865395.76397115</v>
      </c>
      <c r="K419" s="86">
        <f ca="1">IF(J419&gt;0,MIN(99,$B$12*Q419/(J419*12*(1-Inputs!$H$16))),99)</f>
        <v>2.570592194516482</v>
      </c>
      <c r="L419" s="84">
        <f t="shared" ca="1" si="73"/>
        <v>1.1278045814627231</v>
      </c>
      <c r="M419" s="84">
        <f t="shared" ca="1" si="74"/>
        <v>1.055890727801581</v>
      </c>
      <c r="N419" s="84">
        <f t="shared" ca="1" si="75"/>
        <v>1.0094382644233297</v>
      </c>
      <c r="O419" s="84">
        <f t="shared" ca="1" si="76"/>
        <v>1.0824429341332782</v>
      </c>
      <c r="P419" s="84">
        <f t="shared" ca="1" si="77"/>
        <v>1.019126765006404</v>
      </c>
      <c r="Q419" s="84">
        <f t="shared" ca="1" si="78"/>
        <v>1.2005166632502446</v>
      </c>
    </row>
    <row r="420" spans="1:17" ht="15" customHeight="1" x14ac:dyDescent="0.2">
      <c r="A420" s="15">
        <v>381</v>
      </c>
      <c r="B420" s="84">
        <f t="shared" ref="B420:D439" ca="1" si="83">RAND()</f>
        <v>0.22769179897909375</v>
      </c>
      <c r="C420" s="84">
        <f t="shared" ca="1" si="83"/>
        <v>0.97978059701673559</v>
      </c>
      <c r="D420" s="84">
        <f t="shared" ca="1" si="83"/>
        <v>0.66114119004266125</v>
      </c>
      <c r="F420" s="84">
        <f t="shared" ref="F420:H439" ca="1" si="84">RAND()</f>
        <v>4.825833504650634E-2</v>
      </c>
      <c r="G420" s="84">
        <f t="shared" ca="1" si="84"/>
        <v>0.7096443605754954</v>
      </c>
      <c r="H420" s="84">
        <f t="shared" ca="1" si="84"/>
        <v>0.25767796041076929</v>
      </c>
      <c r="J420" s="85">
        <f t="shared" ca="1" si="72"/>
        <v>74228876.550547585</v>
      </c>
      <c r="K420" s="86">
        <f ca="1">IF(J420&gt;0,MIN(99,$B$12*Q420/(J420*12*(1-Inputs!$H$16))),99)</f>
        <v>6.1851027468267787</v>
      </c>
      <c r="L420" s="84">
        <f t="shared" ca="1" si="73"/>
        <v>0.93504789091127705</v>
      </c>
      <c r="M420" s="84">
        <f t="shared" ca="1" si="74"/>
        <v>0.97030473106384429</v>
      </c>
      <c r="N420" s="84">
        <f t="shared" ca="1" si="75"/>
        <v>1.0222783077907851</v>
      </c>
      <c r="O420" s="84">
        <f t="shared" ca="1" si="76"/>
        <v>0.98424845233363401</v>
      </c>
      <c r="P420" s="84">
        <f t="shared" ca="1" si="77"/>
        <v>1.3503668955642338</v>
      </c>
      <c r="Q420" s="84">
        <f t="shared" ca="1" si="78"/>
        <v>1.0072789252116183</v>
      </c>
    </row>
    <row r="421" spans="1:17" ht="15" customHeight="1" x14ac:dyDescent="0.2">
      <c r="A421" s="15">
        <v>382</v>
      </c>
      <c r="B421" s="84">
        <f t="shared" ca="1" si="83"/>
        <v>0.37469526402143061</v>
      </c>
      <c r="C421" s="84">
        <f t="shared" ca="1" si="83"/>
        <v>0.83230261500969704</v>
      </c>
      <c r="D421" s="84">
        <f t="shared" ca="1" si="83"/>
        <v>0.2264917641666635</v>
      </c>
      <c r="F421" s="84">
        <f t="shared" ca="1" si="84"/>
        <v>0.93556202597493232</v>
      </c>
      <c r="G421" s="84">
        <f t="shared" ca="1" si="84"/>
        <v>0.71590608103278108</v>
      </c>
      <c r="H421" s="84">
        <f t="shared" ca="1" si="84"/>
        <v>0.718522469714717</v>
      </c>
      <c r="J421" s="85">
        <f t="shared" ca="1" si="72"/>
        <v>96919139.306062713</v>
      </c>
      <c r="K421" s="86">
        <f ca="1">IF(J421&gt;0,MIN(99,$B$12*Q421/(J421*12*(1-Inputs!$H$16))),99)</f>
        <v>5.6483936023821428</v>
      </c>
      <c r="L421" s="84">
        <f t="shared" ca="1" si="73"/>
        <v>0.9803124867181997</v>
      </c>
      <c r="M421" s="84">
        <f t="shared" ca="1" si="74"/>
        <v>0.99055560458522796</v>
      </c>
      <c r="N421" s="84">
        <f t="shared" ca="1" si="75"/>
        <v>0.98470183086203211</v>
      </c>
      <c r="O421" s="84">
        <f t="shared" ca="1" si="76"/>
        <v>1.0798508931661113</v>
      </c>
      <c r="P421" s="84">
        <f t="shared" ca="1" si="77"/>
        <v>1.3559221318117989</v>
      </c>
      <c r="Q421" s="84">
        <f t="shared" ca="1" si="78"/>
        <v>1.2010592784290617</v>
      </c>
    </row>
    <row r="422" spans="1:17" ht="15" customHeight="1" x14ac:dyDescent="0.2">
      <c r="A422" s="15">
        <v>383</v>
      </c>
      <c r="B422" s="84">
        <f t="shared" ca="1" si="83"/>
        <v>0.69678159858751232</v>
      </c>
      <c r="C422" s="84">
        <f t="shared" ca="1" si="83"/>
        <v>0.93693769360335155</v>
      </c>
      <c r="D422" s="84">
        <f t="shared" ca="1" si="83"/>
        <v>0.92766374019825371</v>
      </c>
      <c r="F422" s="84">
        <f t="shared" ca="1" si="84"/>
        <v>0.66536643260444905</v>
      </c>
      <c r="G422" s="84">
        <f t="shared" ca="1" si="84"/>
        <v>0.93810180798631992</v>
      </c>
      <c r="H422" s="84">
        <f t="shared" ca="1" si="84"/>
        <v>0.82075402735858771</v>
      </c>
      <c r="J422" s="85">
        <f t="shared" ca="1" si="72"/>
        <v>142284647.96123511</v>
      </c>
      <c r="K422" s="86">
        <f ca="1">IF(J422&gt;0,MIN(99,$B$12*Q422/(J422*12*(1-Inputs!$H$16))),99)</f>
        <v>4.0484452154222836</v>
      </c>
      <c r="L422" s="84">
        <f t="shared" ca="1" si="73"/>
        <v>1.070812512150678</v>
      </c>
      <c r="M422" s="84">
        <f t="shared" ca="1" si="74"/>
        <v>1.0306851289067762</v>
      </c>
      <c r="N422" s="84">
        <f t="shared" ca="1" si="75"/>
        <v>1.0589189112247319</v>
      </c>
      <c r="O422" s="84">
        <f t="shared" ca="1" si="76"/>
        <v>1.0389493241612355</v>
      </c>
      <c r="P422" s="84">
        <f t="shared" ca="1" si="77"/>
        <v>1.6261838005746525</v>
      </c>
      <c r="Q422" s="84">
        <f t="shared" ca="1" si="78"/>
        <v>1.2637938911823507</v>
      </c>
    </row>
    <row r="423" spans="1:17" ht="15" customHeight="1" x14ac:dyDescent="0.2">
      <c r="A423" s="15">
        <v>384</v>
      </c>
      <c r="B423" s="84">
        <f t="shared" ca="1" si="83"/>
        <v>0.66558151214872407</v>
      </c>
      <c r="C423" s="84">
        <f t="shared" ca="1" si="83"/>
        <v>0.26206749691878262</v>
      </c>
      <c r="D423" s="84">
        <f t="shared" ca="1" si="83"/>
        <v>0.20520588618329749</v>
      </c>
      <c r="F423" s="84">
        <f t="shared" ca="1" si="84"/>
        <v>0.65520308869531707</v>
      </c>
      <c r="G423" s="84">
        <f t="shared" ca="1" si="84"/>
        <v>2.2375794928480408E-2</v>
      </c>
      <c r="H423" s="84">
        <f t="shared" ca="1" si="84"/>
        <v>0.27235251933580606</v>
      </c>
      <c r="J423" s="85">
        <f t="shared" ca="1" si="72"/>
        <v>180553837.50880522</v>
      </c>
      <c r="K423" s="86">
        <f ca="1">IF(J423&gt;0,MIN(99,$B$12*Q423/(J423*12*(1-Inputs!$H$16))),99)</f>
        <v>2.5554524693240923</v>
      </c>
      <c r="L423" s="84">
        <f t="shared" ca="1" si="73"/>
        <v>1.0605645969538835</v>
      </c>
      <c r="M423" s="84">
        <f t="shared" ca="1" si="74"/>
        <v>1.0261528344476281</v>
      </c>
      <c r="N423" s="84">
        <f t="shared" ca="1" si="75"/>
        <v>0.98249807800449984</v>
      </c>
      <c r="O423" s="84">
        <f t="shared" ca="1" si="76"/>
        <v>1.0378507886147044</v>
      </c>
      <c r="P423" s="84">
        <f t="shared" ca="1" si="77"/>
        <v>0.88061123515937201</v>
      </c>
      <c r="Q423" s="84">
        <f t="shared" ca="1" si="78"/>
        <v>1.0122888946549611</v>
      </c>
    </row>
    <row r="424" spans="1:17" ht="15" customHeight="1" x14ac:dyDescent="0.2">
      <c r="A424" s="15">
        <v>385</v>
      </c>
      <c r="B424" s="84">
        <f t="shared" ca="1" si="83"/>
        <v>0.22743766823078593</v>
      </c>
      <c r="C424" s="84">
        <f t="shared" ca="1" si="83"/>
        <v>6.573019288556492E-2</v>
      </c>
      <c r="D424" s="84">
        <f t="shared" ca="1" si="83"/>
        <v>0.7595863268633789</v>
      </c>
      <c r="F424" s="84">
        <f t="shared" ca="1" si="84"/>
        <v>6.7893012941550701E-2</v>
      </c>
      <c r="G424" s="84">
        <f t="shared" ca="1" si="84"/>
        <v>9.6216849698587237E-2</v>
      </c>
      <c r="H424" s="84">
        <f t="shared" ca="1" si="84"/>
        <v>0.45927096457121752</v>
      </c>
      <c r="J424" s="85">
        <f t="shared" ref="J424:J487" ca="1" si="85">$B$5*L424*M424-$B$6*L424*N424-$B$7*L424*M424-$B$8*L424*M424-$B$9*O424-$B$10*P424-$B$11</f>
        <v>86632980.717963383</v>
      </c>
      <c r="K424" s="86">
        <f ca="1">IF(J424&gt;0,MIN(99,$B$12*Q424/(J424*12*(1-Inputs!$H$16))),99)</f>
        <v>5.6883072254170779</v>
      </c>
      <c r="L424" s="84">
        <f t="shared" ref="L424:L487" ca="1" si="86">IF($D$16=$B$16,$C$16,IF(B424&lt;($C$16-$B$16)/($D$16-$B$16),$B$16+SQRT(B424*($D$16-$B$16)*($C$16-$B$16)),$D$16-SQRT((1-B424)*($D$16-$B$16)*($D$16-$C$16))))</f>
        <v>0.9349585498682812</v>
      </c>
      <c r="M424" s="84">
        <f t="shared" ref="M424:M487" ca="1" si="87">IF($D$17=$B$17,$C$17,IF(IF($B$33=1,B424,C424)&lt;($C$17-$B$17)/($D$17-$B$17),$B$17+SQRT(IF($B$33=1,B424,C424)*($D$17-$B$17)*($C$17-$B$17)),$D$17-SQRT((1-IF($B$33=1,B424,C424))*($D$17-$B$17)*($D$17-$C$17))))</f>
        <v>0.9702647608811944</v>
      </c>
      <c r="N424" s="84">
        <f t="shared" ref="N424:N487" ca="1" si="88">IF($D$18=$B$18,$C$18,IF(D424&lt;($C$18-$B$18)/($D$18-$B$18),$B$18+SQRT(D424*($D$18-$B$18)*($C$18-$B$18)),$D$18-SQRT((1-D424)*($D$18-$B$18)*($D$18-$C$18))))</f>
        <v>1.0330186178496517</v>
      </c>
      <c r="O424" s="84">
        <f t="shared" ref="O424:O487" ca="1" si="89">IF($D$19=$B$19,$C$19,IF(F424&lt;($C$19-$B$19)/($D$19-$B$19),$B$19+SQRT(F424*($D$19-$B$19)*($C$19-$B$19)),$D$19-SQRT((1-F424)*($D$19-$B$19)*($D$19-$C$19))))</f>
        <v>0.98692156223248084</v>
      </c>
      <c r="P424" s="84">
        <f t="shared" ref="P424:P487" ca="1" si="90">IF($D$20=$B$20,$C$20,IF(G424&lt;($C$20-$B$20)/($D$20-$B$20),$B$20+SQRT(G424*($D$20-$B$20)*($C$20-$B$20)),$D$20-SQRT((1-G424)*($D$20-$B$20)*($D$20-$C$20))))</f>
        <v>0.95138985344258908</v>
      </c>
      <c r="Q424" s="84">
        <f t="shared" ref="Q424:Q487" ca="1" si="91">IF($D$21=$B$21,$C$21,IF(H424&lt;($C$21-$B$21)/($D$21-$B$21),$B$21+SQRT(H424*($D$21-$B$21)*($C$21-$B$21)),$D$21-SQRT((1-H424)*($D$21-$B$21)*($D$21-$C$21))))</f>
        <v>1.0811756178248673</v>
      </c>
    </row>
    <row r="425" spans="1:17" ht="15" customHeight="1" x14ac:dyDescent="0.2">
      <c r="A425" s="15">
        <v>386</v>
      </c>
      <c r="B425" s="84">
        <f t="shared" ca="1" si="83"/>
        <v>9.8522843921970416E-2</v>
      </c>
      <c r="C425" s="84">
        <f t="shared" ca="1" si="83"/>
        <v>0.47847650349327842</v>
      </c>
      <c r="D425" s="84">
        <f t="shared" ca="1" si="83"/>
        <v>0.83796372232953709</v>
      </c>
      <c r="F425" s="84">
        <f t="shared" ca="1" si="84"/>
        <v>0.72051485975273455</v>
      </c>
      <c r="G425" s="84">
        <f t="shared" ca="1" si="84"/>
        <v>0.19589779432574361</v>
      </c>
      <c r="H425" s="84">
        <f t="shared" ca="1" si="84"/>
        <v>0.76690792559364962</v>
      </c>
      <c r="J425" s="85">
        <f t="shared" ca="1" si="85"/>
        <v>37073730.308495298</v>
      </c>
      <c r="K425" s="86">
        <f ca="1">IF(J425&gt;0,MIN(99,$B$12*Q425/(J425*12*(1-Inputs!$H$16))),99)</f>
        <v>15.109816547653169</v>
      </c>
      <c r="L425" s="84">
        <f t="shared" ca="1" si="86"/>
        <v>0.88027972236485841</v>
      </c>
      <c r="M425" s="84">
        <f t="shared" ca="1" si="87"/>
        <v>0.94580206547146262</v>
      </c>
      <c r="N425" s="84">
        <f t="shared" ca="1" si="88"/>
        <v>1.0432893790890541</v>
      </c>
      <c r="O425" s="84">
        <f t="shared" ca="1" si="89"/>
        <v>1.04522533860009</v>
      </c>
      <c r="P425" s="84">
        <f t="shared" ca="1" si="90"/>
        <v>1.0100608106169573</v>
      </c>
      <c r="Q425" s="84">
        <f t="shared" ca="1" si="91"/>
        <v>1.2290100075336947</v>
      </c>
    </row>
    <row r="426" spans="1:17" ht="15" customHeight="1" x14ac:dyDescent="0.2">
      <c r="A426" s="15">
        <v>387</v>
      </c>
      <c r="B426" s="84">
        <f t="shared" ca="1" si="83"/>
        <v>0.76087587570683524</v>
      </c>
      <c r="C426" s="84">
        <f t="shared" ca="1" si="83"/>
        <v>0.41065448904742896</v>
      </c>
      <c r="D426" s="84">
        <f t="shared" ca="1" si="83"/>
        <v>0.88086300822734076</v>
      </c>
      <c r="F426" s="84">
        <f t="shared" ca="1" si="84"/>
        <v>0.90252736556426516</v>
      </c>
      <c r="G426" s="84">
        <f t="shared" ca="1" si="84"/>
        <v>0.40477664934060587</v>
      </c>
      <c r="H426" s="84">
        <f t="shared" ca="1" si="84"/>
        <v>0.16643879990407873</v>
      </c>
      <c r="J426" s="85">
        <f t="shared" ca="1" si="85"/>
        <v>174546286.84756094</v>
      </c>
      <c r="K426" s="86">
        <f ca="1">IF(J426&gt;0,MIN(99,$B$12*Q426/(J426*12*(1-Inputs!$H$16))),99)</f>
        <v>2.5450922143804893</v>
      </c>
      <c r="L426" s="84">
        <f t="shared" ca="1" si="86"/>
        <v>1.0936727624147156</v>
      </c>
      <c r="M426" s="84">
        <f t="shared" ca="1" si="87"/>
        <v>1.0407954180355201</v>
      </c>
      <c r="N426" s="84">
        <f t="shared" ca="1" si="88"/>
        <v>1.0500023811119714</v>
      </c>
      <c r="O426" s="84">
        <f t="shared" ca="1" si="89"/>
        <v>1.0724978682433228</v>
      </c>
      <c r="P426" s="84">
        <f t="shared" ca="1" si="90"/>
        <v>1.1291255860826528</v>
      </c>
      <c r="Q426" s="84">
        <f t="shared" ca="1" si="91"/>
        <v>0.97463965678846065</v>
      </c>
    </row>
    <row r="427" spans="1:17" ht="15" customHeight="1" x14ac:dyDescent="0.2">
      <c r="A427" s="15">
        <v>388</v>
      </c>
      <c r="B427" s="84">
        <f t="shared" ca="1" si="83"/>
        <v>0.70416237411225446</v>
      </c>
      <c r="C427" s="84">
        <f t="shared" ca="1" si="83"/>
        <v>0.38278443286547881</v>
      </c>
      <c r="D427" s="84">
        <f t="shared" ca="1" si="83"/>
        <v>0.89518614381230677</v>
      </c>
      <c r="F427" s="84">
        <f t="shared" ca="1" si="84"/>
        <v>0.5118012320855696</v>
      </c>
      <c r="G427" s="84">
        <f t="shared" ca="1" si="84"/>
        <v>0.27559341038504426</v>
      </c>
      <c r="H427" s="84">
        <f t="shared" ca="1" si="84"/>
        <v>0.95363429097282459</v>
      </c>
      <c r="J427" s="85">
        <f t="shared" ca="1" si="85"/>
        <v>169773211.26076579</v>
      </c>
      <c r="K427" s="86">
        <f ca="1">IF(J427&gt;0,MIN(99,$B$12*Q427/(J427*12*(1-Inputs!$H$16))),99)</f>
        <v>3.7199095110304716</v>
      </c>
      <c r="L427" s="84">
        <f t="shared" ca="1" si="86"/>
        <v>1.0733129316005485</v>
      </c>
      <c r="M427" s="84">
        <f t="shared" ca="1" si="87"/>
        <v>1.0317909769744633</v>
      </c>
      <c r="N427" s="84">
        <f t="shared" ca="1" si="88"/>
        <v>1.0525076998891747</v>
      </c>
      <c r="O427" s="84">
        <f t="shared" ca="1" si="89"/>
        <v>1.0238000777208272</v>
      </c>
      <c r="P427" s="84">
        <f t="shared" ca="1" si="90"/>
        <v>1.0534195401745732</v>
      </c>
      <c r="Q427" s="84">
        <f t="shared" ca="1" si="91"/>
        <v>1.3855795993984366</v>
      </c>
    </row>
    <row r="428" spans="1:17" ht="15" customHeight="1" x14ac:dyDescent="0.2">
      <c r="A428" s="15">
        <v>389</v>
      </c>
      <c r="B428" s="84">
        <f t="shared" ca="1" si="83"/>
        <v>0.93087113049524439</v>
      </c>
      <c r="C428" s="84">
        <f t="shared" ca="1" si="83"/>
        <v>0.20077138118811433</v>
      </c>
      <c r="D428" s="84">
        <f t="shared" ca="1" si="83"/>
        <v>0.7928058055692816</v>
      </c>
      <c r="F428" s="84">
        <f t="shared" ca="1" si="84"/>
        <v>0.53274052337888367</v>
      </c>
      <c r="G428" s="84">
        <f t="shared" ca="1" si="84"/>
        <v>0.43846786408539518</v>
      </c>
      <c r="H428" s="84">
        <f t="shared" ca="1" si="84"/>
        <v>0.67638249147125018</v>
      </c>
      <c r="J428" s="85">
        <f t="shared" ca="1" si="85"/>
        <v>249811986.8061294</v>
      </c>
      <c r="K428" s="86">
        <f ca="1">IF(J428&gt;0,MIN(99,$B$12*Q428/(J428*12*(1-Inputs!$H$16))),99)</f>
        <v>2.1504602829629564</v>
      </c>
      <c r="L428" s="84">
        <f t="shared" ca="1" si="86"/>
        <v>1.1775052844667779</v>
      </c>
      <c r="M428" s="84">
        <f t="shared" ca="1" si="87"/>
        <v>1.0778716104021231</v>
      </c>
      <c r="N428" s="84">
        <f t="shared" ca="1" si="88"/>
        <v>1.0371293807960542</v>
      </c>
      <c r="O428" s="84">
        <f t="shared" ca="1" si="89"/>
        <v>1.0257087003010406</v>
      </c>
      <c r="P428" s="84">
        <f t="shared" ca="1" si="90"/>
        <v>1.1501910151263934</v>
      </c>
      <c r="Q428" s="84">
        <f t="shared" ca="1" si="91"/>
        <v>1.1786222645245334</v>
      </c>
    </row>
    <row r="429" spans="1:17" ht="15" customHeight="1" x14ac:dyDescent="0.2">
      <c r="A429" s="15">
        <v>390</v>
      </c>
      <c r="B429" s="84">
        <f t="shared" ca="1" si="83"/>
        <v>0.95851082635634755</v>
      </c>
      <c r="C429" s="84">
        <f t="shared" ca="1" si="83"/>
        <v>0.58154983366729063</v>
      </c>
      <c r="D429" s="84">
        <f t="shared" ca="1" si="83"/>
        <v>0.78950348825082106</v>
      </c>
      <c r="F429" s="84">
        <f t="shared" ca="1" si="84"/>
        <v>5.9486983541443883E-2</v>
      </c>
      <c r="G429" s="84">
        <f t="shared" ca="1" si="84"/>
        <v>0.27044441891280768</v>
      </c>
      <c r="H429" s="84">
        <f t="shared" ca="1" si="84"/>
        <v>0.82455592923028509</v>
      </c>
      <c r="J429" s="85">
        <f t="shared" ca="1" si="85"/>
        <v>278088474.58226562</v>
      </c>
      <c r="K429" s="86">
        <f ca="1">IF(J429&gt;0,MIN(99,$B$12*Q429/(J429*12*(1-Inputs!$H$16))),99)</f>
        <v>2.0757278961517449</v>
      </c>
      <c r="L429" s="84">
        <f t="shared" ca="1" si="86"/>
        <v>1.1994701292467529</v>
      </c>
      <c r="M429" s="84">
        <f t="shared" ca="1" si="87"/>
        <v>1.0875858930030831</v>
      </c>
      <c r="N429" s="84">
        <f t="shared" ca="1" si="88"/>
        <v>1.0367066405102243</v>
      </c>
      <c r="O429" s="84">
        <f t="shared" ca="1" si="89"/>
        <v>0.98583209526765658</v>
      </c>
      <c r="P429" s="84">
        <f t="shared" ca="1" si="90"/>
        <v>1.0505482660535181</v>
      </c>
      <c r="Q429" s="84">
        <f t="shared" ca="1" si="91"/>
        <v>1.2664363085634918</v>
      </c>
    </row>
    <row r="430" spans="1:17" ht="15" customHeight="1" x14ac:dyDescent="0.2">
      <c r="A430" s="15">
        <v>391</v>
      </c>
      <c r="B430" s="84">
        <f t="shared" ca="1" si="83"/>
        <v>0.25315864807246502</v>
      </c>
      <c r="C430" s="84">
        <f t="shared" ca="1" si="83"/>
        <v>5.7015264718378256E-2</v>
      </c>
      <c r="D430" s="84">
        <f t="shared" ca="1" si="83"/>
        <v>0.31047163634355779</v>
      </c>
      <c r="F430" s="84">
        <f t="shared" ca="1" si="84"/>
        <v>9.1734994890135035E-2</v>
      </c>
      <c r="G430" s="84">
        <f t="shared" ca="1" si="84"/>
        <v>0.818041828756497</v>
      </c>
      <c r="H430" s="84">
        <f t="shared" ca="1" si="84"/>
        <v>0.24511811957711027</v>
      </c>
      <c r="J430" s="85">
        <f t="shared" ca="1" si="85"/>
        <v>81194080.18338789</v>
      </c>
      <c r="K430" s="86">
        <f ca="1">IF(J430&gt;0,MIN(99,$B$12*Q430/(J430*12*(1-Inputs!$H$16))),99)</f>
        <v>5.6306647397894034</v>
      </c>
      <c r="L430" s="84">
        <f t="shared" ca="1" si="86"/>
        <v>0.94376121565144144</v>
      </c>
      <c r="M430" s="84">
        <f t="shared" ca="1" si="87"/>
        <v>0.97420297502511755</v>
      </c>
      <c r="N430" s="84">
        <f t="shared" ca="1" si="88"/>
        <v>0.99251940742709832</v>
      </c>
      <c r="O430" s="84">
        <f t="shared" ca="1" si="89"/>
        <v>0.98968816042896779</v>
      </c>
      <c r="P430" s="84">
        <f t="shared" ca="1" si="90"/>
        <v>1.4571370176833529</v>
      </c>
      <c r="Q430" s="84">
        <f t="shared" ca="1" si="91"/>
        <v>1.00303012555257</v>
      </c>
    </row>
    <row r="431" spans="1:17" ht="15" customHeight="1" x14ac:dyDescent="0.2">
      <c r="A431" s="15">
        <v>392</v>
      </c>
      <c r="B431" s="84">
        <f t="shared" ca="1" si="83"/>
        <v>0.78457510760866445</v>
      </c>
      <c r="C431" s="84">
        <f t="shared" ca="1" si="83"/>
        <v>0.79926366427905782</v>
      </c>
      <c r="D431" s="84">
        <f t="shared" ca="1" si="83"/>
        <v>0.75256746637665239</v>
      </c>
      <c r="F431" s="84">
        <f t="shared" ca="1" si="84"/>
        <v>6.257127542184282E-2</v>
      </c>
      <c r="G431" s="84">
        <f t="shared" ca="1" si="84"/>
        <v>0.88962487607463736</v>
      </c>
      <c r="H431" s="84">
        <f t="shared" ca="1" si="84"/>
        <v>0.93499566857153549</v>
      </c>
      <c r="J431" s="85">
        <f t="shared" ca="1" si="85"/>
        <v>184344994.54486126</v>
      </c>
      <c r="K431" s="86">
        <f ca="1">IF(J431&gt;0,MIN(99,$B$12*Q431/(J431*12*(1-Inputs!$H$16))),99)</f>
        <v>3.3685026190623102</v>
      </c>
      <c r="L431" s="84">
        <f t="shared" ca="1" si="86"/>
        <v>1.1028927000275448</v>
      </c>
      <c r="M431" s="84">
        <f t="shared" ca="1" si="87"/>
        <v>1.0448730739639562</v>
      </c>
      <c r="N431" s="84">
        <f t="shared" ca="1" si="88"/>
        <v>1.0321872078775081</v>
      </c>
      <c r="O431" s="84">
        <f t="shared" ca="1" si="89"/>
        <v>0.98624026757188654</v>
      </c>
      <c r="P431" s="84">
        <f t="shared" ca="1" si="90"/>
        <v>1.5468448123777039</v>
      </c>
      <c r="Q431" s="84">
        <f t="shared" ca="1" si="91"/>
        <v>1.3623797526856638</v>
      </c>
    </row>
    <row r="432" spans="1:17" ht="15" customHeight="1" x14ac:dyDescent="0.2">
      <c r="A432" s="15">
        <v>393</v>
      </c>
      <c r="B432" s="84">
        <f t="shared" ca="1" si="83"/>
        <v>0.74902707245137812</v>
      </c>
      <c r="C432" s="84">
        <f t="shared" ca="1" si="83"/>
        <v>0.72608771739358446</v>
      </c>
      <c r="D432" s="84">
        <f t="shared" ca="1" si="83"/>
        <v>0.95778139358158776</v>
      </c>
      <c r="F432" s="84">
        <f t="shared" ca="1" si="84"/>
        <v>0.56183776174963718</v>
      </c>
      <c r="G432" s="84">
        <f t="shared" ca="1" si="84"/>
        <v>0.634885122194082</v>
      </c>
      <c r="H432" s="84">
        <f t="shared" ca="1" si="84"/>
        <v>0.52532504480896136</v>
      </c>
      <c r="J432" s="85">
        <f t="shared" ca="1" si="85"/>
        <v>168732475.77450371</v>
      </c>
      <c r="K432" s="86">
        <f ca="1">IF(J432&gt;0,MIN(99,$B$12*Q432/(J432*12*(1-Inputs!$H$16))),99)</f>
        <v>2.9939031913913761</v>
      </c>
      <c r="L432" s="84">
        <f t="shared" ca="1" si="86"/>
        <v>1.0892346169547849</v>
      </c>
      <c r="M432" s="84">
        <f t="shared" ca="1" si="87"/>
        <v>1.0388325815277366</v>
      </c>
      <c r="N432" s="84">
        <f t="shared" ca="1" si="88"/>
        <v>1.0663464818209065</v>
      </c>
      <c r="O432" s="84">
        <f t="shared" ca="1" si="89"/>
        <v>1.0284334101607417</v>
      </c>
      <c r="P432" s="84">
        <f t="shared" ca="1" si="90"/>
        <v>1.2881760734527492</v>
      </c>
      <c r="Q432" s="84">
        <f t="shared" ca="1" si="91"/>
        <v>1.10832307059813</v>
      </c>
    </row>
    <row r="433" spans="1:17" ht="15" customHeight="1" x14ac:dyDescent="0.2">
      <c r="A433" s="15">
        <v>394</v>
      </c>
      <c r="B433" s="84">
        <f t="shared" ca="1" si="83"/>
        <v>0.43372679350054599</v>
      </c>
      <c r="C433" s="84">
        <f t="shared" ca="1" si="83"/>
        <v>0.26418426594664624</v>
      </c>
      <c r="D433" s="84">
        <f t="shared" ca="1" si="83"/>
        <v>0.27271936584053469</v>
      </c>
      <c r="F433" s="84">
        <f t="shared" ca="1" si="84"/>
        <v>0.80469669113688802</v>
      </c>
      <c r="G433" s="84">
        <f t="shared" ca="1" si="84"/>
        <v>7.8342004312731639E-2</v>
      </c>
      <c r="H433" s="84">
        <f t="shared" ca="1" si="84"/>
        <v>4.8780415709136715E-2</v>
      </c>
      <c r="J433" s="85">
        <f t="shared" ca="1" si="85"/>
        <v>126750273.91391812</v>
      </c>
      <c r="K433" s="86">
        <f ca="1">IF(J433&gt;0,MIN(99,$B$12*Q433/(J433*12*(1-Inputs!$H$16))),99)</f>
        <v>3.2858541364922895</v>
      </c>
      <c r="L433" s="84">
        <f t="shared" ca="1" si="86"/>
        <v>0.99589423774469854</v>
      </c>
      <c r="M433" s="84">
        <f t="shared" ca="1" si="87"/>
        <v>0.99752670558931689</v>
      </c>
      <c r="N433" s="84">
        <f t="shared" ca="1" si="88"/>
        <v>0.98915588309090308</v>
      </c>
      <c r="O433" s="84">
        <f t="shared" ca="1" si="89"/>
        <v>1.0561531509316324</v>
      </c>
      <c r="P433" s="84">
        <f t="shared" ca="1" si="90"/>
        <v>0.9380400069045276</v>
      </c>
      <c r="Q433" s="84">
        <f t="shared" ca="1" si="91"/>
        <v>0.91374945002326768</v>
      </c>
    </row>
    <row r="434" spans="1:17" ht="15" customHeight="1" x14ac:dyDescent="0.2">
      <c r="A434" s="15">
        <v>395</v>
      </c>
      <c r="B434" s="84">
        <f t="shared" ca="1" si="83"/>
        <v>0.39518011018488841</v>
      </c>
      <c r="C434" s="84">
        <f t="shared" ca="1" si="83"/>
        <v>0.66522758768391521</v>
      </c>
      <c r="D434" s="84">
        <f t="shared" ca="1" si="83"/>
        <v>0.12474277407511702</v>
      </c>
      <c r="F434" s="84">
        <f t="shared" ca="1" si="84"/>
        <v>0.89457449606959893</v>
      </c>
      <c r="G434" s="84">
        <f t="shared" ca="1" si="84"/>
        <v>0.30040955529412849</v>
      </c>
      <c r="H434" s="84">
        <f t="shared" ca="1" si="84"/>
        <v>0.93349985689357973</v>
      </c>
      <c r="J434" s="85">
        <f t="shared" ca="1" si="85"/>
        <v>115720788.51416944</v>
      </c>
      <c r="K434" s="86">
        <f ca="1">IF(J434&gt;0,MIN(99,$B$12*Q434/(J434*12*(1-Inputs!$H$16))),99)</f>
        <v>5.3593514585910178</v>
      </c>
      <c r="L434" s="84">
        <f t="shared" ca="1" si="86"/>
        <v>0.98585009460704531</v>
      </c>
      <c r="M434" s="84">
        <f t="shared" ca="1" si="87"/>
        <v>0.99303306837274019</v>
      </c>
      <c r="N434" s="84">
        <f t="shared" ca="1" si="88"/>
        <v>0.97289952794896983</v>
      </c>
      <c r="O434" s="84">
        <f t="shared" ca="1" si="89"/>
        <v>1.0709245878380007</v>
      </c>
      <c r="P434" s="84">
        <f t="shared" ca="1" si="90"/>
        <v>1.0674033213691307</v>
      </c>
      <c r="Q434" s="84">
        <f t="shared" ca="1" si="91"/>
        <v>1.3606723637862665</v>
      </c>
    </row>
    <row r="435" spans="1:17" ht="15" customHeight="1" x14ac:dyDescent="0.2">
      <c r="A435" s="15">
        <v>396</v>
      </c>
      <c r="B435" s="84">
        <f t="shared" ca="1" si="83"/>
        <v>0.95754235249113251</v>
      </c>
      <c r="C435" s="84">
        <f t="shared" ca="1" si="83"/>
        <v>0.65499684755983845</v>
      </c>
      <c r="D435" s="84">
        <f t="shared" ca="1" si="83"/>
        <v>0.44047878729953949</v>
      </c>
      <c r="F435" s="84">
        <f t="shared" ca="1" si="84"/>
        <v>7.7306789705898549E-2</v>
      </c>
      <c r="G435" s="84">
        <f t="shared" ca="1" si="84"/>
        <v>0.91735355320879697</v>
      </c>
      <c r="H435" s="84">
        <f t="shared" ca="1" si="84"/>
        <v>0.14324387480853606</v>
      </c>
      <c r="J435" s="85">
        <f t="shared" ca="1" si="85"/>
        <v>265375803.59069896</v>
      </c>
      <c r="K435" s="86">
        <f ca="1">IF(J435&gt;0,MIN(99,$B$12*Q435/(J435*12*(1-Inputs!$H$16))),99)</f>
        <v>1.6575046872648562</v>
      </c>
      <c r="L435" s="84">
        <f t="shared" ca="1" si="86"/>
        <v>1.198593674787559</v>
      </c>
      <c r="M435" s="84">
        <f t="shared" ca="1" si="87"/>
        <v>1.087198267850765</v>
      </c>
      <c r="N435" s="84">
        <f t="shared" ca="1" si="88"/>
        <v>1.0028681539576625</v>
      </c>
      <c r="O435" s="84">
        <f t="shared" ca="1" si="89"/>
        <v>0.98806429953867669</v>
      </c>
      <c r="P435" s="84">
        <f t="shared" ca="1" si="90"/>
        <v>1.5893932554367227</v>
      </c>
      <c r="Q435" s="84">
        <f t="shared" ca="1" si="91"/>
        <v>0.96504158679817131</v>
      </c>
    </row>
    <row r="436" spans="1:17" ht="15" customHeight="1" x14ac:dyDescent="0.2">
      <c r="A436" s="15">
        <v>397</v>
      </c>
      <c r="B436" s="84">
        <f t="shared" ca="1" si="83"/>
        <v>0.34959022579968224</v>
      </c>
      <c r="C436" s="84">
        <f t="shared" ca="1" si="83"/>
        <v>0.3898226829475504</v>
      </c>
      <c r="D436" s="84">
        <f t="shared" ca="1" si="83"/>
        <v>0.52897336518312255</v>
      </c>
      <c r="F436" s="84">
        <f t="shared" ca="1" si="84"/>
        <v>0.39438106791082439</v>
      </c>
      <c r="G436" s="84">
        <f t="shared" ca="1" si="84"/>
        <v>0.2687698141366871</v>
      </c>
      <c r="H436" s="84">
        <f t="shared" ca="1" si="84"/>
        <v>0.85020651258341462</v>
      </c>
      <c r="J436" s="85">
        <f t="shared" ca="1" si="85"/>
        <v>109285149.32606997</v>
      </c>
      <c r="K436" s="86">
        <f ca="1">IF(J436&gt;0,MIN(99,$B$12*Q436/(J436*12*(1-Inputs!$H$16))),99)</f>
        <v>5.3596329022373759</v>
      </c>
      <c r="L436" s="84">
        <f t="shared" ca="1" si="86"/>
        <v>0.97331515424309922</v>
      </c>
      <c r="M436" s="84">
        <f t="shared" ca="1" si="87"/>
        <v>0.98742507635639398</v>
      </c>
      <c r="N436" s="84">
        <f t="shared" ca="1" si="88"/>
        <v>1.010086917990094</v>
      </c>
      <c r="O436" s="84">
        <f t="shared" ca="1" si="89"/>
        <v>1.0137831076102837</v>
      </c>
      <c r="P436" s="84">
        <f t="shared" ca="1" si="90"/>
        <v>1.0496166274207321</v>
      </c>
      <c r="Q436" s="84">
        <f t="shared" ca="1" si="91"/>
        <v>1.2850680793199836</v>
      </c>
    </row>
    <row r="437" spans="1:17" ht="15" customHeight="1" x14ac:dyDescent="0.2">
      <c r="A437" s="15">
        <v>398</v>
      </c>
      <c r="B437" s="84">
        <f t="shared" ca="1" si="83"/>
        <v>0.60442754509982621</v>
      </c>
      <c r="C437" s="84">
        <f t="shared" ca="1" si="83"/>
        <v>0.81774074819185416</v>
      </c>
      <c r="D437" s="84">
        <f t="shared" ca="1" si="83"/>
        <v>0.60130366218930542</v>
      </c>
      <c r="F437" s="84">
        <f t="shared" ca="1" si="84"/>
        <v>0.38474984924415268</v>
      </c>
      <c r="G437" s="84">
        <f t="shared" ca="1" si="84"/>
        <v>0.54600956057470107</v>
      </c>
      <c r="H437" s="84">
        <f t="shared" ca="1" si="84"/>
        <v>4.3173277755948702E-2</v>
      </c>
      <c r="J437" s="85">
        <f t="shared" ca="1" si="85"/>
        <v>150242793.27270371</v>
      </c>
      <c r="K437" s="86">
        <f ca="1">IF(J437&gt;0,MIN(99,$B$12*Q437/(J437*12*(1-Inputs!$H$16))),99)</f>
        <v>2.7591512655672163</v>
      </c>
      <c r="L437" s="84">
        <f t="shared" ca="1" si="86"/>
        <v>1.0417807629101452</v>
      </c>
      <c r="M437" s="84">
        <f t="shared" ca="1" si="87"/>
        <v>1.0178454016358669</v>
      </c>
      <c r="N437" s="84">
        <f t="shared" ca="1" si="88"/>
        <v>1.0165091363898497</v>
      </c>
      <c r="O437" s="84">
        <f t="shared" ca="1" si="89"/>
        <v>1.013006524517917</v>
      </c>
      <c r="P437" s="84">
        <f t="shared" ca="1" si="90"/>
        <v>1.2220484677492807</v>
      </c>
      <c r="Q437" s="84">
        <f t="shared" ca="1" si="91"/>
        <v>0.90949245642153265</v>
      </c>
    </row>
    <row r="438" spans="1:17" ht="15" customHeight="1" x14ac:dyDescent="0.2">
      <c r="A438" s="15">
        <v>399</v>
      </c>
      <c r="B438" s="84">
        <f t="shared" ca="1" si="83"/>
        <v>0.74239792745588751</v>
      </c>
      <c r="C438" s="84">
        <f t="shared" ca="1" si="83"/>
        <v>0.70101019932663577</v>
      </c>
      <c r="D438" s="84">
        <f t="shared" ca="1" si="83"/>
        <v>0.74577330558950727</v>
      </c>
      <c r="F438" s="84">
        <f t="shared" ca="1" si="84"/>
        <v>0.24562112159342253</v>
      </c>
      <c r="G438" s="84">
        <f t="shared" ca="1" si="84"/>
        <v>0.45265584078375354</v>
      </c>
      <c r="H438" s="84">
        <f t="shared" ca="1" si="84"/>
        <v>0.73304359728936486</v>
      </c>
      <c r="J438" s="85">
        <f t="shared" ca="1" si="85"/>
        <v>184306640.93469304</v>
      </c>
      <c r="K438" s="86">
        <f ca="1">IF(J438&gt;0,MIN(99,$B$12*Q438/(J438*12*(1-Inputs!$H$16))),99)</f>
        <v>2.9903270520428182</v>
      </c>
      <c r="L438" s="84">
        <f t="shared" ca="1" si="86"/>
        <v>1.0867972237855787</v>
      </c>
      <c r="M438" s="84">
        <f t="shared" ca="1" si="87"/>
        <v>1.0377546077795723</v>
      </c>
      <c r="N438" s="84">
        <f t="shared" ca="1" si="88"/>
        <v>1.0313935739543094</v>
      </c>
      <c r="O438" s="84">
        <f t="shared" ca="1" si="89"/>
        <v>1.0024014054850405</v>
      </c>
      <c r="P438" s="84">
        <f t="shared" ca="1" si="90"/>
        <v>1.1592507640376057</v>
      </c>
      <c r="Q438" s="84">
        <f t="shared" ca="1" si="91"/>
        <v>1.2091762686949044</v>
      </c>
    </row>
    <row r="439" spans="1:17" ht="15" customHeight="1" x14ac:dyDescent="0.2">
      <c r="A439" s="15">
        <v>400</v>
      </c>
      <c r="B439" s="84">
        <f t="shared" ca="1" si="83"/>
        <v>0.83287165940520047</v>
      </c>
      <c r="C439" s="84">
        <f t="shared" ca="1" si="83"/>
        <v>0.22328247318270344</v>
      </c>
      <c r="D439" s="84">
        <f t="shared" ca="1" si="83"/>
        <v>0.82179020683766446</v>
      </c>
      <c r="F439" s="84">
        <f t="shared" ca="1" si="84"/>
        <v>0.9498623639288839</v>
      </c>
      <c r="G439" s="84">
        <f t="shared" ca="1" si="84"/>
        <v>0.59503361289096135</v>
      </c>
      <c r="H439" s="84">
        <f t="shared" ca="1" si="84"/>
        <v>0.65133057621832513</v>
      </c>
      <c r="J439" s="85">
        <f t="shared" ca="1" si="85"/>
        <v>192608668.54451948</v>
      </c>
      <c r="K439" s="86">
        <f ca="1">IF(J439&gt;0,MIN(99,$B$12*Q439/(J439*12*(1-Inputs!$H$16))),99)</f>
        <v>2.7591976049512374</v>
      </c>
      <c r="L439" s="84">
        <f t="shared" ca="1" si="86"/>
        <v>1.1234079592070054</v>
      </c>
      <c r="M439" s="84">
        <f t="shared" ca="1" si="87"/>
        <v>1.0539462555547001</v>
      </c>
      <c r="N439" s="84">
        <f t="shared" ca="1" si="88"/>
        <v>1.0409947659037357</v>
      </c>
      <c r="O439" s="84">
        <f t="shared" ca="1" si="89"/>
        <v>1.0836221727112658</v>
      </c>
      <c r="P439" s="84">
        <f t="shared" ca="1" si="90"/>
        <v>1.2576303524693611</v>
      </c>
      <c r="Q439" s="84">
        <f t="shared" ca="1" si="91"/>
        <v>1.1659732178444262</v>
      </c>
    </row>
    <row r="440" spans="1:17" ht="15" customHeight="1" x14ac:dyDescent="0.2">
      <c r="A440" s="15">
        <v>401</v>
      </c>
      <c r="B440" s="84">
        <f t="shared" ref="B440:D459" ca="1" si="92">RAND()</f>
        <v>0.58525065095724416</v>
      </c>
      <c r="C440" s="84">
        <f t="shared" ca="1" si="92"/>
        <v>0.3232389598771066</v>
      </c>
      <c r="D440" s="84">
        <f t="shared" ca="1" si="92"/>
        <v>0.44672876327607647</v>
      </c>
      <c r="F440" s="84">
        <f t="shared" ref="F440:H459" ca="1" si="93">RAND()</f>
        <v>0.65734597516871029</v>
      </c>
      <c r="G440" s="84">
        <f t="shared" ca="1" si="93"/>
        <v>0.33932564526708453</v>
      </c>
      <c r="H440" s="84">
        <f t="shared" ca="1" si="93"/>
        <v>0.55147530597379912</v>
      </c>
      <c r="J440" s="85">
        <f t="shared" ca="1" si="85"/>
        <v>149919188.56186098</v>
      </c>
      <c r="K440" s="86">
        <f ca="1">IF(J440&gt;0,MIN(99,$B$12*Q440/(J440*12*(1-Inputs!$H$16))),99)</f>
        <v>3.4038600469212965</v>
      </c>
      <c r="L440" s="84">
        <f t="shared" ca="1" si="86"/>
        <v>1.036194565611712</v>
      </c>
      <c r="M440" s="84">
        <f t="shared" ca="1" si="87"/>
        <v>1.0153748219543219</v>
      </c>
      <c r="N440" s="84">
        <f t="shared" ca="1" si="88"/>
        <v>1.0033583297084046</v>
      </c>
      <c r="O440" s="84">
        <f t="shared" ca="1" si="89"/>
        <v>1.0380810476571223</v>
      </c>
      <c r="P440" s="84">
        <f t="shared" ca="1" si="90"/>
        <v>1.0898416380186049</v>
      </c>
      <c r="Q440" s="84">
        <f t="shared" ca="1" si="91"/>
        <v>1.119589610524812</v>
      </c>
    </row>
    <row r="441" spans="1:17" ht="15" customHeight="1" x14ac:dyDescent="0.2">
      <c r="A441" s="15">
        <v>402</v>
      </c>
      <c r="B441" s="84">
        <f t="shared" ca="1" si="92"/>
        <v>0.61295470145353748</v>
      </c>
      <c r="C441" s="84">
        <f t="shared" ca="1" si="92"/>
        <v>3.8240340018183328E-2</v>
      </c>
      <c r="D441" s="84">
        <f t="shared" ca="1" si="92"/>
        <v>0.33630841729006999</v>
      </c>
      <c r="F441" s="84">
        <f t="shared" ca="1" si="93"/>
        <v>0.97854371647970895</v>
      </c>
      <c r="G441" s="84">
        <f t="shared" ca="1" si="93"/>
        <v>0.69596318753719688</v>
      </c>
      <c r="H441" s="84">
        <f t="shared" ca="1" si="93"/>
        <v>5.7689034924755078E-2</v>
      </c>
      <c r="J441" s="85">
        <f t="shared" ca="1" si="85"/>
        <v>139176695.17360437</v>
      </c>
      <c r="K441" s="86">
        <f ca="1">IF(J441&gt;0,MIN(99,$B$12*Q441/(J441*12*(1-Inputs!$H$16))),99)</f>
        <v>3.0130692771244392</v>
      </c>
      <c r="L441" s="84">
        <f t="shared" ca="1" si="86"/>
        <v>1.0443081523977524</v>
      </c>
      <c r="M441" s="84">
        <f t="shared" ca="1" si="87"/>
        <v>1.0189631776079373</v>
      </c>
      <c r="N441" s="84">
        <f t="shared" ca="1" si="88"/>
        <v>0.99470453014853999</v>
      </c>
      <c r="O441" s="84">
        <f t="shared" ca="1" si="89"/>
        <v>1.0933785493461552</v>
      </c>
      <c r="P441" s="84">
        <f t="shared" ca="1" si="90"/>
        <v>1.3384340556070575</v>
      </c>
      <c r="Q441" s="84">
        <f t="shared" ca="1" si="91"/>
        <v>0.92003760405254864</v>
      </c>
    </row>
    <row r="442" spans="1:17" ht="15" customHeight="1" x14ac:dyDescent="0.2">
      <c r="A442" s="15">
        <v>403</v>
      </c>
      <c r="B442" s="84">
        <f t="shared" ca="1" si="92"/>
        <v>0.53981346477170811</v>
      </c>
      <c r="C442" s="84">
        <f t="shared" ca="1" si="92"/>
        <v>0.29630688110478498</v>
      </c>
      <c r="D442" s="84">
        <f t="shared" ca="1" si="92"/>
        <v>6.7800873370704395E-2</v>
      </c>
      <c r="F442" s="84">
        <f t="shared" ca="1" si="93"/>
        <v>0.44246487413453439</v>
      </c>
      <c r="G442" s="84">
        <f t="shared" ca="1" si="93"/>
        <v>0.20100530387310522</v>
      </c>
      <c r="H442" s="84">
        <f t="shared" ca="1" si="93"/>
        <v>0.19720132838965843</v>
      </c>
      <c r="J442" s="85">
        <f t="shared" ca="1" si="85"/>
        <v>155655563.5022037</v>
      </c>
      <c r="K442" s="86">
        <f ca="1">IF(J442&gt;0,MIN(99,$B$12*Q442/(J442*12*(1-Inputs!$H$16))),99)</f>
        <v>2.8883758556837997</v>
      </c>
      <c r="L442" s="84">
        <f t="shared" ca="1" si="86"/>
        <v>1.0234534862219511</v>
      </c>
      <c r="M442" s="84">
        <f t="shared" ca="1" si="87"/>
        <v>1.0097398881738546</v>
      </c>
      <c r="N442" s="84">
        <f t="shared" ca="1" si="88"/>
        <v>0.96397453154956658</v>
      </c>
      <c r="O442" s="84">
        <f t="shared" ca="1" si="89"/>
        <v>1.0177560375535846</v>
      </c>
      <c r="P442" s="84">
        <f t="shared" ca="1" si="90"/>
        <v>1.0127732385467301</v>
      </c>
      <c r="Q442" s="84">
        <f t="shared" ca="1" si="91"/>
        <v>0.98638917034049256</v>
      </c>
    </row>
    <row r="443" spans="1:17" ht="15" customHeight="1" x14ac:dyDescent="0.2">
      <c r="A443" s="15">
        <v>404</v>
      </c>
      <c r="B443" s="84">
        <f t="shared" ca="1" si="92"/>
        <v>0.53074046459676316</v>
      </c>
      <c r="C443" s="84">
        <f t="shared" ca="1" si="92"/>
        <v>1.5274649434009469E-2</v>
      </c>
      <c r="D443" s="84">
        <f t="shared" ca="1" si="92"/>
        <v>0.19249303682222829</v>
      </c>
      <c r="F443" s="84">
        <f t="shared" ca="1" si="93"/>
        <v>0.48824806347452698</v>
      </c>
      <c r="G443" s="84">
        <f t="shared" ca="1" si="93"/>
        <v>0.2963317146790112</v>
      </c>
      <c r="H443" s="84">
        <f t="shared" ca="1" si="93"/>
        <v>1.865645699821783E-2</v>
      </c>
      <c r="J443" s="85">
        <f t="shared" ca="1" si="85"/>
        <v>147452307.48276663</v>
      </c>
      <c r="K443" s="86">
        <f ca="1">IF(J443&gt;0,MIN(99,$B$12*Q443/(J443*12*(1-Inputs!$H$16))),99)</f>
        <v>2.7397503090864253</v>
      </c>
      <c r="L443" s="84">
        <f t="shared" ca="1" si="86"/>
        <v>1.0209858544924217</v>
      </c>
      <c r="M443" s="84">
        <f t="shared" ca="1" si="87"/>
        <v>1.008648540968087</v>
      </c>
      <c r="N443" s="84">
        <f t="shared" ca="1" si="88"/>
        <v>0.98112703762577547</v>
      </c>
      <c r="O443" s="84">
        <f t="shared" ca="1" si="89"/>
        <v>1.0217014856489672</v>
      </c>
      <c r="P443" s="84">
        <f t="shared" ca="1" si="90"/>
        <v>1.0650886454896131</v>
      </c>
      <c r="Q443" s="84">
        <f t="shared" ca="1" si="91"/>
        <v>0.88632397937248142</v>
      </c>
    </row>
    <row r="444" spans="1:17" ht="15" customHeight="1" x14ac:dyDescent="0.2">
      <c r="A444" s="15">
        <v>405</v>
      </c>
      <c r="B444" s="84">
        <f t="shared" ca="1" si="92"/>
        <v>0.82140256458277661</v>
      </c>
      <c r="C444" s="84">
        <f t="shared" ca="1" si="92"/>
        <v>0.60156627163268894</v>
      </c>
      <c r="D444" s="84">
        <f t="shared" ca="1" si="92"/>
        <v>0.17823545365844395</v>
      </c>
      <c r="F444" s="84">
        <f t="shared" ca="1" si="93"/>
        <v>0.3344886201049373</v>
      </c>
      <c r="G444" s="84">
        <f t="shared" ca="1" si="93"/>
        <v>0.40752322667440666</v>
      </c>
      <c r="H444" s="84">
        <f t="shared" ca="1" si="93"/>
        <v>0.98333310144847741</v>
      </c>
      <c r="J444" s="85">
        <f t="shared" ca="1" si="85"/>
        <v>220703247.13984472</v>
      </c>
      <c r="K444" s="86">
        <f ca="1">IF(J444&gt;0,MIN(99,$B$12*Q444/(J444*12*(1-Inputs!$H$16))),99)</f>
        <v>2.9657343641943368</v>
      </c>
      <c r="L444" s="84">
        <f t="shared" ca="1" si="86"/>
        <v>1.1182927973261336</v>
      </c>
      <c r="M444" s="84">
        <f t="shared" ca="1" si="87"/>
        <v>1.0516839983633472</v>
      </c>
      <c r="N444" s="84">
        <f t="shared" ca="1" si="88"/>
        <v>0.97953436202076083</v>
      </c>
      <c r="O444" s="84">
        <f t="shared" ca="1" si="89"/>
        <v>1.0090490285897797</v>
      </c>
      <c r="P444" s="84">
        <f t="shared" ca="1" si="90"/>
        <v>1.1308201855984357</v>
      </c>
      <c r="Q444" s="84">
        <f t="shared" ca="1" si="91"/>
        <v>1.4360544717859989</v>
      </c>
    </row>
    <row r="445" spans="1:17" ht="15" customHeight="1" x14ac:dyDescent="0.2">
      <c r="A445" s="15">
        <v>406</v>
      </c>
      <c r="B445" s="84">
        <f t="shared" ca="1" si="92"/>
        <v>0.22028737762382256</v>
      </c>
      <c r="C445" s="84">
        <f t="shared" ca="1" si="92"/>
        <v>0.34415947234862498</v>
      </c>
      <c r="D445" s="84">
        <f t="shared" ca="1" si="92"/>
        <v>0.26033387273659669</v>
      </c>
      <c r="F445" s="84">
        <f t="shared" ca="1" si="93"/>
        <v>0.63496226987976234</v>
      </c>
      <c r="G445" s="84">
        <f t="shared" ca="1" si="93"/>
        <v>0.37073422461467886</v>
      </c>
      <c r="H445" s="84">
        <f t="shared" ca="1" si="93"/>
        <v>0.64266504074189901</v>
      </c>
      <c r="J445" s="85">
        <f t="shared" ca="1" si="85"/>
        <v>79898825.839145437</v>
      </c>
      <c r="K445" s="86">
        <f ca="1">IF(J445&gt;0,MIN(99,$B$12*Q445/(J445*12*(1-Inputs!$H$16))),99)</f>
        <v>6.6271264171341082</v>
      </c>
      <c r="L445" s="84">
        <f t="shared" ca="1" si="86"/>
        <v>0.93242404512233845</v>
      </c>
      <c r="M445" s="84">
        <f t="shared" ca="1" si="87"/>
        <v>0.96913085182634795</v>
      </c>
      <c r="N445" s="84">
        <f t="shared" ca="1" si="88"/>
        <v>0.98800220038820463</v>
      </c>
      <c r="O445" s="84">
        <f t="shared" ca="1" si="89"/>
        <v>1.0357102084671592</v>
      </c>
      <c r="P445" s="84">
        <f t="shared" ca="1" si="90"/>
        <v>1.1084378318841019</v>
      </c>
      <c r="Q445" s="84">
        <f t="shared" ca="1" si="91"/>
        <v>1.1617042915160103</v>
      </c>
    </row>
    <row r="446" spans="1:17" ht="15" customHeight="1" x14ac:dyDescent="0.2">
      <c r="A446" s="15">
        <v>407</v>
      </c>
      <c r="B446" s="84">
        <f t="shared" ca="1" si="92"/>
        <v>0.20070457301368805</v>
      </c>
      <c r="C446" s="84">
        <f t="shared" ca="1" si="92"/>
        <v>0.78519803724777226</v>
      </c>
      <c r="D446" s="84">
        <f t="shared" ca="1" si="92"/>
        <v>0.8785813475058829</v>
      </c>
      <c r="F446" s="84">
        <f t="shared" ca="1" si="93"/>
        <v>0.19316318643252417</v>
      </c>
      <c r="G446" s="84">
        <f t="shared" ca="1" si="93"/>
        <v>0.44071669888397114</v>
      </c>
      <c r="H446" s="84">
        <f t="shared" ca="1" si="93"/>
        <v>0.30434399991366312</v>
      </c>
      <c r="J446" s="85">
        <f t="shared" ca="1" si="85"/>
        <v>67363088.194152281</v>
      </c>
      <c r="K446" s="86">
        <f ca="1">IF(J446&gt;0,MIN(99,$B$12*Q446/(J446*12*(1-Inputs!$H$16))),99)</f>
        <v>6.9245071064242154</v>
      </c>
      <c r="L446" s="84">
        <f t="shared" ca="1" si="86"/>
        <v>0.92526398259077225</v>
      </c>
      <c r="M446" s="84">
        <f t="shared" ca="1" si="87"/>
        <v>0.96592751999167437</v>
      </c>
      <c r="N446" s="84">
        <f t="shared" ca="1" si="88"/>
        <v>1.0496174996250358</v>
      </c>
      <c r="O446" s="84">
        <f t="shared" ca="1" si="89"/>
        <v>0.99862087986593928</v>
      </c>
      <c r="P446" s="84">
        <f t="shared" ca="1" si="90"/>
        <v>1.1516193139431461</v>
      </c>
      <c r="Q446" s="84">
        <f t="shared" ca="1" si="91"/>
        <v>1.0233891198808338</v>
      </c>
    </row>
    <row r="447" spans="1:17" ht="15" customHeight="1" x14ac:dyDescent="0.2">
      <c r="A447" s="15">
        <v>408</v>
      </c>
      <c r="B447" s="84">
        <f t="shared" ca="1" si="92"/>
        <v>0.24954221853302383</v>
      </c>
      <c r="C447" s="84">
        <f t="shared" ca="1" si="92"/>
        <v>0.64059672746657403</v>
      </c>
      <c r="D447" s="84">
        <f t="shared" ca="1" si="92"/>
        <v>0.8493730436060144</v>
      </c>
      <c r="F447" s="84">
        <f t="shared" ca="1" si="93"/>
        <v>0.77264920819127825</v>
      </c>
      <c r="G447" s="84">
        <f t="shared" ca="1" si="93"/>
        <v>0.59744886479859594</v>
      </c>
      <c r="H447" s="84">
        <f t="shared" ca="1" si="93"/>
        <v>8.0112406026180971E-2</v>
      </c>
      <c r="J447" s="85">
        <f t="shared" ca="1" si="85"/>
        <v>66837716.47834377</v>
      </c>
      <c r="K447" s="86">
        <f ca="1">IF(J447&gt;0,MIN(99,$B$12*Q447/(J447*12*(1-Inputs!$H$16))),99)</f>
        <v>6.369245856339468</v>
      </c>
      <c r="L447" s="84">
        <f t="shared" ca="1" si="86"/>
        <v>0.94255148338634664</v>
      </c>
      <c r="M447" s="84">
        <f t="shared" ca="1" si="87"/>
        <v>0.9736617543501408</v>
      </c>
      <c r="N447" s="84">
        <f t="shared" ca="1" si="88"/>
        <v>1.0449777683151391</v>
      </c>
      <c r="O447" s="84">
        <f t="shared" ca="1" si="89"/>
        <v>1.0517582202770872</v>
      </c>
      <c r="P447" s="84">
        <f t="shared" ca="1" si="90"/>
        <v>1.2594375902577346</v>
      </c>
      <c r="Q447" s="84">
        <f t="shared" ca="1" si="91"/>
        <v>0.9339842622254837</v>
      </c>
    </row>
    <row r="448" spans="1:17" ht="15" customHeight="1" x14ac:dyDescent="0.2">
      <c r="A448" s="15">
        <v>409</v>
      </c>
      <c r="B448" s="84">
        <f t="shared" ca="1" si="92"/>
        <v>0.81025651814336852</v>
      </c>
      <c r="C448" s="84">
        <f t="shared" ca="1" si="92"/>
        <v>0.11638359992375291</v>
      </c>
      <c r="D448" s="84">
        <f t="shared" ca="1" si="92"/>
        <v>0.54578253269275889</v>
      </c>
      <c r="F448" s="84">
        <f t="shared" ca="1" si="93"/>
        <v>0.15997407438336586</v>
      </c>
      <c r="G448" s="84">
        <f t="shared" ca="1" si="93"/>
        <v>0.31928968069972796</v>
      </c>
      <c r="H448" s="84">
        <f t="shared" ca="1" si="93"/>
        <v>0.38256751725386218</v>
      </c>
      <c r="J448" s="85">
        <f t="shared" ca="1" si="85"/>
        <v>213442700.10327435</v>
      </c>
      <c r="K448" s="86">
        <f ca="1">IF(J448&gt;0,MIN(99,$B$12*Q448/(J448*12*(1-Inputs!$H$16))),99)</f>
        <v>2.2457587764034437</v>
      </c>
      <c r="L448" s="84">
        <f t="shared" ca="1" si="86"/>
        <v>1.1134768476184085</v>
      </c>
      <c r="M448" s="84">
        <f t="shared" ca="1" si="87"/>
        <v>1.049554072250894</v>
      </c>
      <c r="N448" s="84">
        <f t="shared" ca="1" si="88"/>
        <v>1.0115327399250076</v>
      </c>
      <c r="O448" s="84">
        <f t="shared" ca="1" si="89"/>
        <v>0.9960359905901961</v>
      </c>
      <c r="P448" s="84">
        <f t="shared" ca="1" si="90"/>
        <v>1.0782091114095977</v>
      </c>
      <c r="Q448" s="84">
        <f t="shared" ca="1" si="91"/>
        <v>1.0516575721811132</v>
      </c>
    </row>
    <row r="449" spans="1:17" ht="15" customHeight="1" x14ac:dyDescent="0.2">
      <c r="A449" s="15">
        <v>410</v>
      </c>
      <c r="B449" s="84">
        <f t="shared" ca="1" si="92"/>
        <v>0.35657428534421265</v>
      </c>
      <c r="C449" s="84">
        <f t="shared" ca="1" si="92"/>
        <v>1.1647767961953104E-4</v>
      </c>
      <c r="D449" s="84">
        <f t="shared" ca="1" si="92"/>
        <v>0.19448234867540359</v>
      </c>
      <c r="F449" s="84">
        <f t="shared" ca="1" si="93"/>
        <v>0.11311133265663431</v>
      </c>
      <c r="G449" s="84">
        <f t="shared" ca="1" si="93"/>
        <v>0.67492807117054876</v>
      </c>
      <c r="H449" s="84">
        <f t="shared" ca="1" si="93"/>
        <v>0.7044394430564801</v>
      </c>
      <c r="J449" s="85">
        <f t="shared" ca="1" si="85"/>
        <v>110108819.11413927</v>
      </c>
      <c r="K449" s="86">
        <f ca="1">IF(J449&gt;0,MIN(99,$B$12*Q449/(J449*12*(1-Inputs!$H$16))),99)</f>
        <v>4.9400174298853825</v>
      </c>
      <c r="L449" s="84">
        <f t="shared" ca="1" si="86"/>
        <v>0.97528631281548905</v>
      </c>
      <c r="M449" s="84">
        <f t="shared" ca="1" si="87"/>
        <v>0.98830695063867691</v>
      </c>
      <c r="N449" s="84">
        <f t="shared" ca="1" si="88"/>
        <v>0.981344503789498</v>
      </c>
      <c r="O449" s="84">
        <f t="shared" ca="1" si="89"/>
        <v>0.99187466191261808</v>
      </c>
      <c r="P449" s="84">
        <f t="shared" ca="1" si="90"/>
        <v>1.3205991369231946</v>
      </c>
      <c r="Q449" s="84">
        <f t="shared" ca="1" si="91"/>
        <v>1.1933848705160235</v>
      </c>
    </row>
    <row r="450" spans="1:17" ht="15" customHeight="1" x14ac:dyDescent="0.2">
      <c r="A450" s="15">
        <v>411</v>
      </c>
      <c r="B450" s="84">
        <f t="shared" ca="1" si="92"/>
        <v>0.63929823526999574</v>
      </c>
      <c r="C450" s="84">
        <f t="shared" ca="1" si="92"/>
        <v>0.86569761300070358</v>
      </c>
      <c r="D450" s="84">
        <f t="shared" ca="1" si="92"/>
        <v>0.54536807446928204</v>
      </c>
      <c r="F450" s="84">
        <f t="shared" ca="1" si="93"/>
        <v>2.3110133791607868E-2</v>
      </c>
      <c r="G450" s="84">
        <f t="shared" ca="1" si="93"/>
        <v>0.49786249992226139</v>
      </c>
      <c r="H450" s="84">
        <f t="shared" ca="1" si="93"/>
        <v>0.4090082891372091</v>
      </c>
      <c r="J450" s="85">
        <f t="shared" ca="1" si="85"/>
        <v>165867610.08033693</v>
      </c>
      <c r="K450" s="86">
        <f ca="1">IF(J450&gt;0,MIN(99,$B$12*Q450/(J450*12*(1-Inputs!$H$16))),99)</f>
        <v>2.9172601631836774</v>
      </c>
      <c r="L450" s="84">
        <f t="shared" ca="1" si="86"/>
        <v>1.0522972998583637</v>
      </c>
      <c r="M450" s="84">
        <f t="shared" ca="1" si="87"/>
        <v>1.0224964981003213</v>
      </c>
      <c r="N450" s="84">
        <f t="shared" ca="1" si="88"/>
        <v>1.0114967721428718</v>
      </c>
      <c r="O450" s="84">
        <f t="shared" ca="1" si="89"/>
        <v>0.9798249250765837</v>
      </c>
      <c r="P450" s="84">
        <f t="shared" ca="1" si="90"/>
        <v>1.1889294139696704</v>
      </c>
      <c r="Q450" s="84">
        <f t="shared" ca="1" si="91"/>
        <v>1.0616141293824743</v>
      </c>
    </row>
    <row r="451" spans="1:17" ht="15" customHeight="1" x14ac:dyDescent="0.2">
      <c r="A451" s="15">
        <v>412</v>
      </c>
      <c r="B451" s="84">
        <f t="shared" ca="1" si="92"/>
        <v>0.11116442606156252</v>
      </c>
      <c r="C451" s="84">
        <f t="shared" ca="1" si="92"/>
        <v>0.16511140515422429</v>
      </c>
      <c r="D451" s="84">
        <f t="shared" ca="1" si="92"/>
        <v>0.731555979697047</v>
      </c>
      <c r="F451" s="84">
        <f t="shared" ca="1" si="93"/>
        <v>6.9360209144782026E-2</v>
      </c>
      <c r="G451" s="84">
        <f t="shared" ca="1" si="93"/>
        <v>5.176331014549207E-2</v>
      </c>
      <c r="H451" s="84">
        <f t="shared" ca="1" si="93"/>
        <v>0.99360990479439404</v>
      </c>
      <c r="J451" s="85">
        <f t="shared" ca="1" si="85"/>
        <v>57115592.192498133</v>
      </c>
      <c r="K451" s="86">
        <f ca="1">IF(J451&gt;0,MIN(99,$B$12*Q451/(J451*12*(1-Inputs!$H$16))),99)</f>
        <v>11.689701825317375</v>
      </c>
      <c r="L451" s="84">
        <f t="shared" ca="1" si="86"/>
        <v>0.88683021922506355</v>
      </c>
      <c r="M451" s="84">
        <f t="shared" ca="1" si="87"/>
        <v>0.94873268444758407</v>
      </c>
      <c r="N451" s="84">
        <f t="shared" ca="1" si="88"/>
        <v>1.0297664416751555</v>
      </c>
      <c r="O451" s="84">
        <f t="shared" ca="1" si="89"/>
        <v>0.98710465454085172</v>
      </c>
      <c r="P451" s="84">
        <f t="shared" ca="1" si="90"/>
        <v>0.91495545811549861</v>
      </c>
      <c r="Q451" s="84">
        <f t="shared" ca="1" si="91"/>
        <v>1.4648328103315689</v>
      </c>
    </row>
    <row r="452" spans="1:17" ht="15" customHeight="1" x14ac:dyDescent="0.2">
      <c r="A452" s="15">
        <v>413</v>
      </c>
      <c r="B452" s="84">
        <f t="shared" ca="1" si="92"/>
        <v>0.84650112462095062</v>
      </c>
      <c r="C452" s="84">
        <f t="shared" ca="1" si="92"/>
        <v>0.56790122634578044</v>
      </c>
      <c r="D452" s="84">
        <f t="shared" ca="1" si="92"/>
        <v>0.54599772406321234</v>
      </c>
      <c r="F452" s="84">
        <f t="shared" ca="1" si="93"/>
        <v>0.67585436431246393</v>
      </c>
      <c r="G452" s="84">
        <f t="shared" ca="1" si="93"/>
        <v>0.34588185666257376</v>
      </c>
      <c r="H452" s="84">
        <f t="shared" ca="1" si="93"/>
        <v>0.57964216601046348</v>
      </c>
      <c r="J452" s="85">
        <f t="shared" ca="1" si="85"/>
        <v>218097197.4466185</v>
      </c>
      <c r="K452" s="86">
        <f ca="1">IF(J452&gt;0,MIN(99,$B$12*Q452/(J452*12*(1-Inputs!$H$16))),99)</f>
        <v>2.3659434187250654</v>
      </c>
      <c r="L452" s="84">
        <f t="shared" ca="1" si="86"/>
        <v>1.1297206299414149</v>
      </c>
      <c r="M452" s="84">
        <f t="shared" ca="1" si="87"/>
        <v>1.0567381290277496</v>
      </c>
      <c r="N452" s="84">
        <f t="shared" ca="1" si="88"/>
        <v>1.0115514212739443</v>
      </c>
      <c r="O452" s="84">
        <f t="shared" ca="1" si="89"/>
        <v>1.0401005791581224</v>
      </c>
      <c r="P452" s="84">
        <f t="shared" ca="1" si="90"/>
        <v>1.093686263555719</v>
      </c>
      <c r="Q452" s="84">
        <f t="shared" ca="1" si="91"/>
        <v>1.132098931908371</v>
      </c>
    </row>
    <row r="453" spans="1:17" ht="15" customHeight="1" x14ac:dyDescent="0.2">
      <c r="A453" s="15">
        <v>414</v>
      </c>
      <c r="B453" s="84">
        <f t="shared" ca="1" si="92"/>
        <v>0.59672223273462732</v>
      </c>
      <c r="C453" s="84">
        <f t="shared" ca="1" si="92"/>
        <v>0.88993869498678047</v>
      </c>
      <c r="D453" s="84">
        <f t="shared" ca="1" si="92"/>
        <v>0.46407992991835678</v>
      </c>
      <c r="F453" s="84">
        <f t="shared" ca="1" si="93"/>
        <v>0.6115831111500194</v>
      </c>
      <c r="G453" s="84">
        <f t="shared" ca="1" si="93"/>
        <v>0.64659272674314416</v>
      </c>
      <c r="H453" s="84">
        <f t="shared" ca="1" si="93"/>
        <v>0.7997176051735515</v>
      </c>
      <c r="J453" s="85">
        <f t="shared" ca="1" si="85"/>
        <v>144992289.50379342</v>
      </c>
      <c r="K453" s="86">
        <f ca="1">IF(J453&gt;0,MIN(99,$B$12*Q453/(J453*12*(1-Inputs!$H$16))),99)</f>
        <v>3.9283941358661396</v>
      </c>
      <c r="L453" s="84">
        <f t="shared" ca="1" si="86"/>
        <v>1.0395202917468498</v>
      </c>
      <c r="M453" s="84">
        <f t="shared" ca="1" si="87"/>
        <v>1.0168456743028702</v>
      </c>
      <c r="N453" s="84">
        <f t="shared" ca="1" si="88"/>
        <v>1.004733857035579</v>
      </c>
      <c r="O453" s="84">
        <f t="shared" ca="1" si="89"/>
        <v>1.0333103232309619</v>
      </c>
      <c r="P453" s="84">
        <f t="shared" ca="1" si="90"/>
        <v>1.2974634004137173</v>
      </c>
      <c r="Q453" s="84">
        <f t="shared" ca="1" si="91"/>
        <v>1.2496543438267307</v>
      </c>
    </row>
    <row r="454" spans="1:17" ht="15" customHeight="1" x14ac:dyDescent="0.2">
      <c r="A454" s="15">
        <v>415</v>
      </c>
      <c r="B454" s="84">
        <f t="shared" ca="1" si="92"/>
        <v>0.28824058129151142</v>
      </c>
      <c r="C454" s="84">
        <f t="shared" ca="1" si="92"/>
        <v>0.72958434969160524</v>
      </c>
      <c r="D454" s="84">
        <f t="shared" ca="1" si="92"/>
        <v>0.29248778602224301</v>
      </c>
      <c r="F454" s="84">
        <f t="shared" ca="1" si="93"/>
        <v>0.46632133014822075</v>
      </c>
      <c r="G454" s="84">
        <f t="shared" ca="1" si="93"/>
        <v>0.98670844065456598</v>
      </c>
      <c r="H454" s="84">
        <f t="shared" ca="1" si="93"/>
        <v>8.3234334638102037E-2</v>
      </c>
      <c r="J454" s="85">
        <f t="shared" ca="1" si="85"/>
        <v>73062143.365277871</v>
      </c>
      <c r="K454" s="86">
        <f ca="1">IF(J454&gt;0,MIN(99,$B$12*Q454/(J454*12*(1-Inputs!$H$16))),99)</f>
        <v>5.837716318965799</v>
      </c>
      <c r="L454" s="84">
        <f t="shared" ca="1" si="86"/>
        <v>0.95507516595937103</v>
      </c>
      <c r="M454" s="84">
        <f t="shared" ca="1" si="87"/>
        <v>0.9792647097568361</v>
      </c>
      <c r="N454" s="84">
        <f t="shared" ca="1" si="88"/>
        <v>0.9909442788738847</v>
      </c>
      <c r="O454" s="84">
        <f t="shared" ca="1" si="89"/>
        <v>1.0197908051480207</v>
      </c>
      <c r="P454" s="84">
        <f t="shared" ca="1" si="90"/>
        <v>1.753135666365673</v>
      </c>
      <c r="Q454" s="84">
        <f t="shared" ca="1" si="91"/>
        <v>0.93576185293834402</v>
      </c>
    </row>
    <row r="455" spans="1:17" ht="15" customHeight="1" x14ac:dyDescent="0.2">
      <c r="A455" s="15">
        <v>416</v>
      </c>
      <c r="B455" s="84">
        <f t="shared" ca="1" si="92"/>
        <v>0.18327610660124438</v>
      </c>
      <c r="C455" s="84">
        <f t="shared" ca="1" si="92"/>
        <v>0.96763678177750101</v>
      </c>
      <c r="D455" s="84">
        <f t="shared" ca="1" si="92"/>
        <v>0.27840203995219359</v>
      </c>
      <c r="F455" s="84">
        <f t="shared" ca="1" si="93"/>
        <v>0.6064730397422009</v>
      </c>
      <c r="G455" s="84">
        <f t="shared" ca="1" si="93"/>
        <v>0.77663247602186292</v>
      </c>
      <c r="H455" s="84">
        <f t="shared" ca="1" si="93"/>
        <v>0.11107987033010713</v>
      </c>
      <c r="J455" s="85">
        <f t="shared" ca="1" si="85"/>
        <v>59238136.506543115</v>
      </c>
      <c r="K455" s="86">
        <f ca="1">IF(J455&gt;0,MIN(99,$B$12*Q455/(J455*12*(1-Inputs!$H$16))),99)</f>
        <v>7.3121596542656091</v>
      </c>
      <c r="L455" s="84">
        <f t="shared" ca="1" si="86"/>
        <v>0.91859165014944288</v>
      </c>
      <c r="M455" s="84">
        <f t="shared" ca="1" si="87"/>
        <v>0.96294239314025287</v>
      </c>
      <c r="N455" s="84">
        <f t="shared" ca="1" si="88"/>
        <v>0.9896764348784779</v>
      </c>
      <c r="O455" s="84">
        <f t="shared" ca="1" si="89"/>
        <v>1.0327954748388968</v>
      </c>
      <c r="P455" s="84">
        <f t="shared" ca="1" si="90"/>
        <v>1.4133451397189747</v>
      </c>
      <c r="Q455" s="84">
        <f t="shared" ca="1" si="91"/>
        <v>0.9503355921390616</v>
      </c>
    </row>
    <row r="456" spans="1:17" ht="15" customHeight="1" x14ac:dyDescent="0.2">
      <c r="A456" s="15">
        <v>417</v>
      </c>
      <c r="B456" s="84">
        <f t="shared" ca="1" si="92"/>
        <v>0.73924661362091548</v>
      </c>
      <c r="C456" s="84">
        <f t="shared" ca="1" si="92"/>
        <v>0.99639023196750509</v>
      </c>
      <c r="D456" s="84">
        <f t="shared" ca="1" si="92"/>
        <v>0.64550520360554864</v>
      </c>
      <c r="F456" s="84">
        <f t="shared" ca="1" si="93"/>
        <v>0.50707849035749897</v>
      </c>
      <c r="G456" s="84">
        <f t="shared" ca="1" si="93"/>
        <v>6.5688644079216485E-2</v>
      </c>
      <c r="H456" s="84">
        <f t="shared" ca="1" si="93"/>
        <v>0.58326870556062693</v>
      </c>
      <c r="J456" s="85">
        <f t="shared" ca="1" si="85"/>
        <v>191185175.71201426</v>
      </c>
      <c r="K456" s="86">
        <f ca="1">IF(J456&gt;0,MIN(99,$B$12*Q456/(J456*12*(1-Inputs!$H$16))),99)</f>
        <v>2.7028949597537841</v>
      </c>
      <c r="L456" s="84">
        <f t="shared" ca="1" si="86"/>
        <v>1.0856495560419144</v>
      </c>
      <c r="M456" s="84">
        <f t="shared" ca="1" si="87"/>
        <v>1.0372470344775235</v>
      </c>
      <c r="N456" s="84">
        <f t="shared" ca="1" si="88"/>
        <v>1.0207246536165862</v>
      </c>
      <c r="O456" s="84">
        <f t="shared" ca="1" si="89"/>
        <v>1.0233752897741231</v>
      </c>
      <c r="P456" s="84">
        <f t="shared" ca="1" si="90"/>
        <v>0.9276400379120544</v>
      </c>
      <c r="Q456" s="84">
        <f t="shared" ca="1" si="91"/>
        <v>1.1337396212671664</v>
      </c>
    </row>
    <row r="457" spans="1:17" ht="15" customHeight="1" x14ac:dyDescent="0.2">
      <c r="A457" s="15">
        <v>418</v>
      </c>
      <c r="B457" s="84">
        <f t="shared" ca="1" si="92"/>
        <v>5.3213988725790862E-2</v>
      </c>
      <c r="C457" s="84">
        <f t="shared" ca="1" si="92"/>
        <v>0.54656844694410367</v>
      </c>
      <c r="D457" s="84">
        <f t="shared" ca="1" si="92"/>
        <v>0.12178780298848024</v>
      </c>
      <c r="F457" s="84">
        <f t="shared" ca="1" si="93"/>
        <v>0.99014468687012436</v>
      </c>
      <c r="G457" s="84">
        <f t="shared" ca="1" si="93"/>
        <v>6.4383278538420186E-3</v>
      </c>
      <c r="H457" s="84">
        <f t="shared" ca="1" si="93"/>
        <v>0.81589284189804456</v>
      </c>
      <c r="J457" s="85">
        <f t="shared" ca="1" si="85"/>
        <v>29593173.734940752</v>
      </c>
      <c r="K457" s="86">
        <f ca="1">IF(J457&gt;0,MIN(99,$B$12*Q457/(J457*12*(1-Inputs!$H$16))),99)</f>
        <v>19.413601671715419</v>
      </c>
      <c r="L457" s="84">
        <f t="shared" ca="1" si="86"/>
        <v>0.85237295219682052</v>
      </c>
      <c r="M457" s="84">
        <f t="shared" ca="1" si="87"/>
        <v>0.9333168888563026</v>
      </c>
      <c r="N457" s="84">
        <f t="shared" ca="1" si="88"/>
        <v>0.97249480791905762</v>
      </c>
      <c r="O457" s="84">
        <f t="shared" ca="1" si="89"/>
        <v>1.0993262259562344</v>
      </c>
      <c r="P457" s="84">
        <f t="shared" ca="1" si="90"/>
        <v>0.85004997825385376</v>
      </c>
      <c r="Q457" s="84">
        <f t="shared" ca="1" si="91"/>
        <v>1.260455738248458</v>
      </c>
    </row>
    <row r="458" spans="1:17" ht="15" customHeight="1" x14ac:dyDescent="0.2">
      <c r="A458" s="15">
        <v>419</v>
      </c>
      <c r="B458" s="84">
        <f t="shared" ca="1" si="92"/>
        <v>0.46447468578969076</v>
      </c>
      <c r="C458" s="84">
        <f t="shared" ca="1" si="92"/>
        <v>0.89034398941302595</v>
      </c>
      <c r="D458" s="84">
        <f t="shared" ca="1" si="92"/>
        <v>0.6920486414999627</v>
      </c>
      <c r="F458" s="84">
        <f t="shared" ca="1" si="93"/>
        <v>0.32825009961916307</v>
      </c>
      <c r="G458" s="84">
        <f t="shared" ca="1" si="93"/>
        <v>0.75414903897528751</v>
      </c>
      <c r="H458" s="84">
        <f t="shared" ca="1" si="93"/>
        <v>0.32905533772772533</v>
      </c>
      <c r="J458" s="85">
        <f t="shared" ca="1" si="85"/>
        <v>115259019.38358985</v>
      </c>
      <c r="K458" s="86">
        <f ca="1">IF(J458&gt;0,MIN(99,$B$12*Q458/(J458*12*(1-Inputs!$H$16))),99)</f>
        <v>4.0816279044592356</v>
      </c>
      <c r="L458" s="84">
        <f t="shared" ca="1" si="86"/>
        <v>1.0036427986879333</v>
      </c>
      <c r="M458" s="84">
        <f t="shared" ca="1" si="87"/>
        <v>1.0009783139787021</v>
      </c>
      <c r="N458" s="84">
        <f t="shared" ca="1" si="88"/>
        <v>1.0254586780664161</v>
      </c>
      <c r="O458" s="84">
        <f t="shared" ca="1" si="89"/>
        <v>1.0085683967814161</v>
      </c>
      <c r="P458" s="84">
        <f t="shared" ca="1" si="90"/>
        <v>1.3912687397422883</v>
      </c>
      <c r="Q458" s="84">
        <f t="shared" ca="1" si="91"/>
        <v>1.0321391988350734</v>
      </c>
    </row>
    <row r="459" spans="1:17" ht="15" customHeight="1" x14ac:dyDescent="0.2">
      <c r="A459" s="15">
        <v>420</v>
      </c>
      <c r="B459" s="84">
        <f t="shared" ca="1" si="92"/>
        <v>0.14491453136985699</v>
      </c>
      <c r="C459" s="84">
        <f t="shared" ca="1" si="92"/>
        <v>0.5675276883210616</v>
      </c>
      <c r="D459" s="84">
        <f t="shared" ca="1" si="92"/>
        <v>0.8258809458681764</v>
      </c>
      <c r="F459" s="84">
        <f t="shared" ca="1" si="93"/>
        <v>0.8051945595561063</v>
      </c>
      <c r="G459" s="84">
        <f t="shared" ca="1" si="93"/>
        <v>0.45512902947999856</v>
      </c>
      <c r="H459" s="84">
        <f t="shared" ca="1" si="93"/>
        <v>0.6428567726534884</v>
      </c>
      <c r="J459" s="85">
        <f t="shared" ca="1" si="85"/>
        <v>44233477.713738054</v>
      </c>
      <c r="K459" s="86">
        <f ca="1">IF(J459&gt;0,MIN(99,$B$12*Q459/(J459*12*(1-Inputs!$H$16))),99)</f>
        <v>11.971530193082559</v>
      </c>
      <c r="L459" s="84">
        <f t="shared" ca="1" si="86"/>
        <v>0.90268275051512992</v>
      </c>
      <c r="M459" s="84">
        <f t="shared" ca="1" si="87"/>
        <v>0.95582492951077347</v>
      </c>
      <c r="N459" s="84">
        <f t="shared" ca="1" si="88"/>
        <v>1.0415649483445768</v>
      </c>
      <c r="O459" s="84">
        <f t="shared" ca="1" si="89"/>
        <v>1.0562241674994299</v>
      </c>
      <c r="P459" s="84">
        <f t="shared" ca="1" si="90"/>
        <v>1.1608419897723263</v>
      </c>
      <c r="Q459" s="84">
        <f t="shared" ca="1" si="91"/>
        <v>1.1617981813766058</v>
      </c>
    </row>
    <row r="460" spans="1:17" ht="15" customHeight="1" x14ac:dyDescent="0.2">
      <c r="A460" s="15">
        <v>421</v>
      </c>
      <c r="B460" s="84">
        <f t="shared" ref="B460:D479" ca="1" si="94">RAND()</f>
        <v>0.68617310939761167</v>
      </c>
      <c r="C460" s="84">
        <f t="shared" ca="1" si="94"/>
        <v>0.27780935200482504</v>
      </c>
      <c r="D460" s="84">
        <f t="shared" ca="1" si="94"/>
        <v>0.44718588569364859</v>
      </c>
      <c r="F460" s="84">
        <f t="shared" ref="F460:H479" ca="1" si="95">RAND()</f>
        <v>0.69077996144170217</v>
      </c>
      <c r="G460" s="84">
        <f t="shared" ca="1" si="95"/>
        <v>0.22545354521811234</v>
      </c>
      <c r="H460" s="84">
        <f t="shared" ca="1" si="95"/>
        <v>5.6190046566742313E-2</v>
      </c>
      <c r="J460" s="85">
        <f t="shared" ca="1" si="85"/>
        <v>174637032.58718562</v>
      </c>
      <c r="K460" s="86">
        <f ca="1">IF(J460&gt;0,MIN(99,$B$12*Q460/(J460*12*(1-Inputs!$H$16))),99)</f>
        <v>2.3985927288210593</v>
      </c>
      <c r="L460" s="84">
        <f t="shared" ca="1" si="86"/>
        <v>1.0672713369372719</v>
      </c>
      <c r="M460" s="84">
        <f t="shared" ca="1" si="87"/>
        <v>1.0291189909664844</v>
      </c>
      <c r="N460" s="84">
        <f t="shared" ca="1" si="88"/>
        <v>1.0033942894908925</v>
      </c>
      <c r="O460" s="84">
        <f t="shared" ca="1" si="89"/>
        <v>1.0417715638234049</v>
      </c>
      <c r="P460" s="84">
        <f t="shared" ca="1" si="90"/>
        <v>1.025878631112938</v>
      </c>
      <c r="Q460" s="84">
        <f t="shared" ca="1" si="91"/>
        <v>0.9190154181259601</v>
      </c>
    </row>
    <row r="461" spans="1:17" ht="15" customHeight="1" x14ac:dyDescent="0.2">
      <c r="A461" s="15">
        <v>422</v>
      </c>
      <c r="B461" s="84">
        <f t="shared" ca="1" si="94"/>
        <v>0.92202665936917882</v>
      </c>
      <c r="C461" s="84">
        <f t="shared" ca="1" si="94"/>
        <v>0.81989584750979938</v>
      </c>
      <c r="D461" s="84">
        <f t="shared" ca="1" si="94"/>
        <v>0.89180712810299412</v>
      </c>
      <c r="F461" s="84">
        <f t="shared" ca="1" si="95"/>
        <v>0.4456724965181299</v>
      </c>
      <c r="G461" s="84">
        <f t="shared" ca="1" si="95"/>
        <v>0.165243153271453</v>
      </c>
      <c r="H461" s="84">
        <f t="shared" ca="1" si="95"/>
        <v>0.67359700662142175</v>
      </c>
      <c r="J461" s="85">
        <f t="shared" ca="1" si="85"/>
        <v>248436634.22941434</v>
      </c>
      <c r="K461" s="86">
        <f ca="1">IF(J461&gt;0,MIN(99,$B$12*Q461/(J461*12*(1-Inputs!$H$16))),99)</f>
        <v>2.1597416112419334</v>
      </c>
      <c r="L461" s="84">
        <f t="shared" ca="1" si="86"/>
        <v>1.171456123615455</v>
      </c>
      <c r="M461" s="84">
        <f t="shared" ca="1" si="87"/>
        <v>1.0751962781338076</v>
      </c>
      <c r="N461" s="84">
        <f t="shared" ca="1" si="88"/>
        <v>1.0519019601588417</v>
      </c>
      <c r="O461" s="84">
        <f t="shared" ca="1" si="89"/>
        <v>1.0180270542066623</v>
      </c>
      <c r="P461" s="84">
        <f t="shared" ca="1" si="90"/>
        <v>0.99383538626834289</v>
      </c>
      <c r="Q461" s="84">
        <f t="shared" ca="1" si="91"/>
        <v>1.1771921953502833</v>
      </c>
    </row>
    <row r="462" spans="1:17" ht="15" customHeight="1" x14ac:dyDescent="0.2">
      <c r="A462" s="15">
        <v>423</v>
      </c>
      <c r="B462" s="84">
        <f t="shared" ca="1" si="94"/>
        <v>0.34116597718370922</v>
      </c>
      <c r="C462" s="84">
        <f t="shared" ca="1" si="94"/>
        <v>0.11383694883216144</v>
      </c>
      <c r="D462" s="84">
        <f t="shared" ca="1" si="94"/>
        <v>0.7831944596068664</v>
      </c>
      <c r="F462" s="84">
        <f t="shared" ca="1" si="95"/>
        <v>0.96594172479128304</v>
      </c>
      <c r="G462" s="84">
        <f t="shared" ca="1" si="95"/>
        <v>6.6007297224621619E-2</v>
      </c>
      <c r="H462" s="84">
        <f t="shared" ca="1" si="95"/>
        <v>0.80581949564236799</v>
      </c>
      <c r="J462" s="85">
        <f t="shared" ca="1" si="85"/>
        <v>94334121.508459553</v>
      </c>
      <c r="K462" s="86">
        <f ca="1">IF(J462&gt;0,MIN(99,$B$12*Q462/(J462*12*(1-Inputs!$H$16))),99)</f>
        <v>6.0574037643246808</v>
      </c>
      <c r="L462" s="84">
        <f t="shared" ca="1" si="86"/>
        <v>0.97091113402042084</v>
      </c>
      <c r="M462" s="84">
        <f t="shared" ca="1" si="87"/>
        <v>0.98634954461675428</v>
      </c>
      <c r="N462" s="84">
        <f t="shared" ca="1" si="88"/>
        <v>1.0359081207041789</v>
      </c>
      <c r="O462" s="84">
        <f t="shared" ca="1" si="89"/>
        <v>1.0885820246242588</v>
      </c>
      <c r="P462" s="84">
        <f t="shared" ca="1" si="90"/>
        <v>0.92791366920433027</v>
      </c>
      <c r="Q462" s="84">
        <f t="shared" ca="1" si="91"/>
        <v>1.253675890309172</v>
      </c>
    </row>
    <row r="463" spans="1:17" ht="15" customHeight="1" x14ac:dyDescent="0.2">
      <c r="A463" s="15">
        <v>424</v>
      </c>
      <c r="B463" s="84">
        <f t="shared" ca="1" si="94"/>
        <v>0.54509607299890661</v>
      </c>
      <c r="C463" s="84">
        <f t="shared" ca="1" si="94"/>
        <v>0.83388789557273402</v>
      </c>
      <c r="D463" s="84">
        <f t="shared" ca="1" si="94"/>
        <v>0.73714367992011109</v>
      </c>
      <c r="F463" s="84">
        <f t="shared" ca="1" si="95"/>
        <v>0.54514014604942329</v>
      </c>
      <c r="G463" s="84">
        <f t="shared" ca="1" si="95"/>
        <v>0.33315915824759368</v>
      </c>
      <c r="H463" s="84">
        <f t="shared" ca="1" si="95"/>
        <v>0.67663412904106002</v>
      </c>
      <c r="J463" s="85">
        <f t="shared" ca="1" si="85"/>
        <v>137768489.85993594</v>
      </c>
      <c r="K463" s="86">
        <f ca="1">IF(J463&gt;0,MIN(99,$B$12*Q463/(J463*12*(1-Inputs!$H$16))),99)</f>
        <v>3.8998016085013005</v>
      </c>
      <c r="L463" s="84">
        <f t="shared" ca="1" si="86"/>
        <v>1.0249014395030425</v>
      </c>
      <c r="M463" s="84">
        <f t="shared" ca="1" si="87"/>
        <v>1.0103802672662818</v>
      </c>
      <c r="N463" s="84">
        <f t="shared" ca="1" si="88"/>
        <v>1.030400673314362</v>
      </c>
      <c r="O463" s="84">
        <f t="shared" ca="1" si="89"/>
        <v>1.0268591366103612</v>
      </c>
      <c r="P463" s="84">
        <f t="shared" ca="1" si="90"/>
        <v>1.0862429218159582</v>
      </c>
      <c r="Q463" s="84">
        <f t="shared" ca="1" si="91"/>
        <v>1.1787517579453088</v>
      </c>
    </row>
    <row r="464" spans="1:17" ht="15" customHeight="1" x14ac:dyDescent="0.2">
      <c r="A464" s="15">
        <v>425</v>
      </c>
      <c r="B464" s="84">
        <f t="shared" ca="1" si="94"/>
        <v>0.32621147326433741</v>
      </c>
      <c r="C464" s="84">
        <f t="shared" ca="1" si="94"/>
        <v>0.43917727132020135</v>
      </c>
      <c r="D464" s="84">
        <f t="shared" ca="1" si="94"/>
        <v>0.11418262806003066</v>
      </c>
      <c r="F464" s="84">
        <f t="shared" ca="1" si="95"/>
        <v>0.85925248829833478</v>
      </c>
      <c r="G464" s="84">
        <f t="shared" ca="1" si="95"/>
        <v>0.77078267921510712</v>
      </c>
      <c r="H464" s="84">
        <f t="shared" ca="1" si="95"/>
        <v>0.85564191293457159</v>
      </c>
      <c r="J464" s="85">
        <f t="shared" ca="1" si="85"/>
        <v>90656313.73359172</v>
      </c>
      <c r="K464" s="86">
        <f ca="1">IF(J464&gt;0,MIN(99,$B$12*Q464/(J464*12*(1-Inputs!$H$16))),99)</f>
        <v>6.481833327415857</v>
      </c>
      <c r="L464" s="84">
        <f t="shared" ca="1" si="86"/>
        <v>0.96656928444361312</v>
      </c>
      <c r="M464" s="84">
        <f t="shared" ca="1" si="87"/>
        <v>0.98440704971403037</v>
      </c>
      <c r="N464" s="84">
        <f t="shared" ca="1" si="88"/>
        <v>0.97143001320794609</v>
      </c>
      <c r="O464" s="84">
        <f t="shared" ca="1" si="89"/>
        <v>1.0645655795570141</v>
      </c>
      <c r="P464" s="84">
        <f t="shared" ca="1" si="90"/>
        <v>1.4074982055474172</v>
      </c>
      <c r="Q464" s="84">
        <f t="shared" ca="1" si="91"/>
        <v>1.2892165045115149</v>
      </c>
    </row>
    <row r="465" spans="1:17" ht="15" customHeight="1" x14ac:dyDescent="0.2">
      <c r="A465" s="15">
        <v>426</v>
      </c>
      <c r="B465" s="84">
        <f t="shared" ca="1" si="94"/>
        <v>0.24887799110303244</v>
      </c>
      <c r="C465" s="84">
        <f t="shared" ca="1" si="94"/>
        <v>0.78982627244860693</v>
      </c>
      <c r="D465" s="84">
        <f t="shared" ca="1" si="94"/>
        <v>0.63497010138831478</v>
      </c>
      <c r="F465" s="84">
        <f t="shared" ca="1" si="95"/>
        <v>0.95990530231193294</v>
      </c>
      <c r="G465" s="84">
        <f t="shared" ca="1" si="95"/>
        <v>0.2139489243558812</v>
      </c>
      <c r="H465" s="84">
        <f t="shared" ca="1" si="95"/>
        <v>5.5461807332010116E-2</v>
      </c>
      <c r="J465" s="85">
        <f t="shared" ca="1" si="85"/>
        <v>75054876.899584845</v>
      </c>
      <c r="K465" s="86">
        <f ca="1">IF(J465&gt;0,MIN(99,$B$12*Q465/(J465*12*(1-Inputs!$H$16))),99)</f>
        <v>5.5779789882022985</v>
      </c>
      <c r="L465" s="84">
        <f t="shared" ca="1" si="86"/>
        <v>0.94232834188830994</v>
      </c>
      <c r="M465" s="84">
        <f t="shared" ca="1" si="87"/>
        <v>0.97356192334152236</v>
      </c>
      <c r="N465" s="84">
        <f t="shared" ca="1" si="88"/>
        <v>1.0196970955144684</v>
      </c>
      <c r="O465" s="84">
        <f t="shared" ca="1" si="89"/>
        <v>1.0866054471351285</v>
      </c>
      <c r="P465" s="84">
        <f t="shared" ca="1" si="90"/>
        <v>1.0196862431118139</v>
      </c>
      <c r="Q465" s="84">
        <f t="shared" ca="1" si="91"/>
        <v>0.91851389885881751</v>
      </c>
    </row>
    <row r="466" spans="1:17" ht="15" customHeight="1" x14ac:dyDescent="0.2">
      <c r="A466" s="15">
        <v>427</v>
      </c>
      <c r="B466" s="84">
        <f t="shared" ca="1" si="94"/>
        <v>0.61518044908559033</v>
      </c>
      <c r="C466" s="84">
        <f t="shared" ca="1" si="94"/>
        <v>0.58097608802009049</v>
      </c>
      <c r="D466" s="84">
        <f t="shared" ca="1" si="94"/>
        <v>0.710095917769763</v>
      </c>
      <c r="F466" s="84">
        <f t="shared" ca="1" si="95"/>
        <v>0.98132237768038788</v>
      </c>
      <c r="G466" s="84">
        <f t="shared" ca="1" si="95"/>
        <v>0.24372247670681879</v>
      </c>
      <c r="H466" s="84">
        <f t="shared" ca="1" si="95"/>
        <v>0.41043643410803632</v>
      </c>
      <c r="J466" s="85">
        <f t="shared" ca="1" si="85"/>
        <v>143540491.59678322</v>
      </c>
      <c r="K466" s="86">
        <f ca="1">IF(J466&gt;0,MIN(99,$B$12*Q466/(J466*12*(1-Inputs!$H$16))),99)</f>
        <v>3.3727552877755178</v>
      </c>
      <c r="L466" s="84">
        <f t="shared" ca="1" si="86"/>
        <v>1.0449724185000169</v>
      </c>
      <c r="M466" s="84">
        <f t="shared" ca="1" si="87"/>
        <v>1.0192569592715128</v>
      </c>
      <c r="N466" s="84">
        <f t="shared" ca="1" si="88"/>
        <v>1.0273899432267037</v>
      </c>
      <c r="O466" s="84">
        <f t="shared" ca="1" si="89"/>
        <v>1.0946150046748415</v>
      </c>
      <c r="P466" s="84">
        <f t="shared" ca="1" si="90"/>
        <v>1.035807198960117</v>
      </c>
      <c r="Q466" s="84">
        <f t="shared" ca="1" si="91"/>
        <v>1.0621581908718336</v>
      </c>
    </row>
    <row r="467" spans="1:17" ht="15" customHeight="1" x14ac:dyDescent="0.2">
      <c r="A467" s="15">
        <v>428</v>
      </c>
      <c r="B467" s="84">
        <f t="shared" ca="1" si="94"/>
        <v>0.65690435942969394</v>
      </c>
      <c r="C467" s="84">
        <f t="shared" ca="1" si="94"/>
        <v>0.4480121768512868</v>
      </c>
      <c r="D467" s="84">
        <f t="shared" ca="1" si="94"/>
        <v>5.3864266310877817E-2</v>
      </c>
      <c r="F467" s="84">
        <f t="shared" ca="1" si="95"/>
        <v>0.7827530753210874</v>
      </c>
      <c r="G467" s="84">
        <f t="shared" ca="1" si="95"/>
        <v>0.13492051615182876</v>
      </c>
      <c r="H467" s="84">
        <f t="shared" ca="1" si="95"/>
        <v>0.3392175242107961</v>
      </c>
      <c r="J467" s="85">
        <f t="shared" ca="1" si="85"/>
        <v>177155376.0114888</v>
      </c>
      <c r="K467" s="86">
        <f ca="1">IF(J467&gt;0,MIN(99,$B$12*Q467/(J467*12*(1-Inputs!$H$16))),99)</f>
        <v>2.6649251642753722</v>
      </c>
      <c r="L467" s="84">
        <f t="shared" ca="1" si="86"/>
        <v>1.0578004360538054</v>
      </c>
      <c r="M467" s="84">
        <f t="shared" ca="1" si="87"/>
        <v>1.0249303427611691</v>
      </c>
      <c r="N467" s="84">
        <f t="shared" ca="1" si="88"/>
        <v>0.96125296544613548</v>
      </c>
      <c r="O467" s="84">
        <f t="shared" ca="1" si="89"/>
        <v>1.0531083326345549</v>
      </c>
      <c r="P467" s="84">
        <f t="shared" ca="1" si="90"/>
        <v>0.97656597747273899</v>
      </c>
      <c r="Q467" s="84">
        <f t="shared" ca="1" si="91"/>
        <v>1.0357842318942103</v>
      </c>
    </row>
    <row r="468" spans="1:17" ht="15" customHeight="1" x14ac:dyDescent="0.2">
      <c r="A468" s="15">
        <v>429</v>
      </c>
      <c r="B468" s="84">
        <f t="shared" ca="1" si="94"/>
        <v>0.56185904394293473</v>
      </c>
      <c r="C468" s="84">
        <f t="shared" ca="1" si="94"/>
        <v>0.53705415695501157</v>
      </c>
      <c r="D468" s="84">
        <f t="shared" ca="1" si="94"/>
        <v>0.94277420102551657</v>
      </c>
      <c r="F468" s="84">
        <f t="shared" ca="1" si="95"/>
        <v>0.2166935074885471</v>
      </c>
      <c r="G468" s="84">
        <f t="shared" ca="1" si="95"/>
        <v>0.45252406772005338</v>
      </c>
      <c r="H468" s="84">
        <f t="shared" ca="1" si="95"/>
        <v>0.8077012360525474</v>
      </c>
      <c r="J468" s="85">
        <f t="shared" ca="1" si="85"/>
        <v>135693545.64095485</v>
      </c>
      <c r="K468" s="86">
        <f ca="1">IF(J468&gt;0,MIN(99,$B$12*Q468/(J468*12*(1-Inputs!$H$16))),99)</f>
        <v>4.2153141963325895</v>
      </c>
      <c r="L468" s="84">
        <f t="shared" ca="1" si="86"/>
        <v>1.029552691076381</v>
      </c>
      <c r="M468" s="84">
        <f t="shared" ca="1" si="87"/>
        <v>1.0124373531543991</v>
      </c>
      <c r="N468" s="84">
        <f t="shared" ca="1" si="88"/>
        <v>1.0623979545367943</v>
      </c>
      <c r="O468" s="84">
        <f t="shared" ca="1" si="89"/>
        <v>1.0003229728821887</v>
      </c>
      <c r="P468" s="84">
        <f t="shared" ca="1" si="90"/>
        <v>1.1591660834970616</v>
      </c>
      <c r="Q468" s="84">
        <f t="shared" ca="1" si="91"/>
        <v>1.254928791068326</v>
      </c>
    </row>
    <row r="469" spans="1:17" ht="15" customHeight="1" x14ac:dyDescent="0.2">
      <c r="A469" s="15">
        <v>430</v>
      </c>
      <c r="B469" s="84">
        <f t="shared" ca="1" si="94"/>
        <v>0.38739539903932818</v>
      </c>
      <c r="C469" s="84">
        <f t="shared" ca="1" si="94"/>
        <v>0.95792628135762592</v>
      </c>
      <c r="D469" s="84">
        <f t="shared" ca="1" si="94"/>
        <v>0.89996021535868331</v>
      </c>
      <c r="F469" s="84">
        <f t="shared" ca="1" si="95"/>
        <v>0.28658261206746471</v>
      </c>
      <c r="G469" s="84">
        <f t="shared" ca="1" si="95"/>
        <v>6.1213825423580892E-2</v>
      </c>
      <c r="H469" s="84">
        <f t="shared" ca="1" si="95"/>
        <v>0.54143795555572316</v>
      </c>
      <c r="J469" s="85">
        <f t="shared" ca="1" si="85"/>
        <v>113563963.86978538</v>
      </c>
      <c r="K469" s="86">
        <f ca="1">IF(J469&gt;0,MIN(99,$B$12*Q469/(J469*12*(1-Inputs!$H$16))),99)</f>
        <v>4.4760290248651531</v>
      </c>
      <c r="L469" s="84">
        <f t="shared" ca="1" si="86"/>
        <v>0.98376298137343321</v>
      </c>
      <c r="M469" s="84">
        <f t="shared" ca="1" si="87"/>
        <v>0.99209931727289669</v>
      </c>
      <c r="N469" s="84">
        <f t="shared" ca="1" si="88"/>
        <v>1.0533804208701372</v>
      </c>
      <c r="O469" s="84">
        <f t="shared" ca="1" si="89"/>
        <v>1.0054138774171164</v>
      </c>
      <c r="P469" s="84">
        <f t="shared" ca="1" si="90"/>
        <v>0.92372495138981647</v>
      </c>
      <c r="Q469" s="84">
        <f t="shared" ca="1" si="91"/>
        <v>1.1152272646126113</v>
      </c>
    </row>
    <row r="470" spans="1:17" ht="15" customHeight="1" x14ac:dyDescent="0.2">
      <c r="A470" s="15">
        <v>431</v>
      </c>
      <c r="B470" s="84">
        <f t="shared" ca="1" si="94"/>
        <v>0.53648915506278494</v>
      </c>
      <c r="C470" s="84">
        <f t="shared" ca="1" si="94"/>
        <v>0.39131823060319859</v>
      </c>
      <c r="D470" s="84">
        <f t="shared" ca="1" si="94"/>
        <v>3.9086823213901445E-2</v>
      </c>
      <c r="F470" s="84">
        <f t="shared" ca="1" si="95"/>
        <v>0.20589749767964238</v>
      </c>
      <c r="G470" s="84">
        <f t="shared" ca="1" si="95"/>
        <v>3.1183438881018266E-2</v>
      </c>
      <c r="H470" s="84">
        <f t="shared" ca="1" si="95"/>
        <v>0.1031285513404514</v>
      </c>
      <c r="J470" s="85">
        <f t="shared" ca="1" si="85"/>
        <v>163901079.01929528</v>
      </c>
      <c r="K470" s="86">
        <f ca="1">IF(J470&gt;0,MIN(99,$B$12*Q470/(J470*12*(1-Inputs!$H$16))),99)</f>
        <v>2.631809901316025</v>
      </c>
      <c r="L470" s="84">
        <f t="shared" ca="1" si="86"/>
        <v>1.0225465564131337</v>
      </c>
      <c r="M470" s="84">
        <f t="shared" ca="1" si="87"/>
        <v>1.0093387848403077</v>
      </c>
      <c r="N470" s="84">
        <f t="shared" ca="1" si="88"/>
        <v>0.95794632938918556</v>
      </c>
      <c r="O470" s="84">
        <f t="shared" ca="1" si="89"/>
        <v>0.9995529493008779</v>
      </c>
      <c r="P470" s="84">
        <f t="shared" ca="1" si="90"/>
        <v>0.89251157000136705</v>
      </c>
      <c r="Q470" s="84">
        <f t="shared" ca="1" si="91"/>
        <v>0.94638156220216052</v>
      </c>
    </row>
    <row r="471" spans="1:17" ht="15" customHeight="1" x14ac:dyDescent="0.2">
      <c r="A471" s="15">
        <v>432</v>
      </c>
      <c r="B471" s="84">
        <f t="shared" ca="1" si="94"/>
        <v>0.15832740572449899</v>
      </c>
      <c r="C471" s="84">
        <f t="shared" ca="1" si="94"/>
        <v>0.45433739451325761</v>
      </c>
      <c r="D471" s="84">
        <f t="shared" ca="1" si="94"/>
        <v>0.10615297490943709</v>
      </c>
      <c r="F471" s="84">
        <f t="shared" ca="1" si="95"/>
        <v>0.21901310744260594</v>
      </c>
      <c r="G471" s="84">
        <f t="shared" ca="1" si="95"/>
        <v>1.9891045055556944E-2</v>
      </c>
      <c r="H471" s="84">
        <f t="shared" ca="1" si="95"/>
        <v>0.19457040295216022</v>
      </c>
      <c r="J471" s="85">
        <f t="shared" ca="1" si="85"/>
        <v>81954000.391925886</v>
      </c>
      <c r="K471" s="86">
        <f ca="1">IF(J471&gt;0,MIN(99,$B$12*Q471/(J471*12*(1-Inputs!$H$16))),99)</f>
        <v>5.4805244544772416</v>
      </c>
      <c r="L471" s="84">
        <f t="shared" ca="1" si="86"/>
        <v>0.90846097985555985</v>
      </c>
      <c r="M471" s="84">
        <f t="shared" ca="1" si="87"/>
        <v>0.95841004464246982</v>
      </c>
      <c r="N471" s="84">
        <f t="shared" ca="1" si="88"/>
        <v>0.97026654200410101</v>
      </c>
      <c r="O471" s="84">
        <f t="shared" ca="1" si="89"/>
        <v>1.0004882040466634</v>
      </c>
      <c r="P471" s="84">
        <f t="shared" ca="1" si="90"/>
        <v>0.8768432943490635</v>
      </c>
      <c r="Q471" s="84">
        <f t="shared" ca="1" si="91"/>
        <v>0.98542192053962219</v>
      </c>
    </row>
    <row r="472" spans="1:17" ht="15" customHeight="1" x14ac:dyDescent="0.2">
      <c r="A472" s="15">
        <v>433</v>
      </c>
      <c r="B472" s="84">
        <f t="shared" ca="1" si="94"/>
        <v>0.16379427857353501</v>
      </c>
      <c r="C472" s="84">
        <f t="shared" ca="1" si="94"/>
        <v>0.49233971133839105</v>
      </c>
      <c r="D472" s="84">
        <f t="shared" ca="1" si="94"/>
        <v>0.31404553995189888</v>
      </c>
      <c r="F472" s="84">
        <f t="shared" ca="1" si="95"/>
        <v>0.8469554389757411</v>
      </c>
      <c r="G472" s="84">
        <f t="shared" ca="1" si="95"/>
        <v>0.39599145004490577</v>
      </c>
      <c r="H472" s="84">
        <f t="shared" ca="1" si="95"/>
        <v>0.26360305851564581</v>
      </c>
      <c r="J472" s="85">
        <f t="shared" ca="1" si="85"/>
        <v>59372604.223084971</v>
      </c>
      <c r="K472" s="86">
        <f ca="1">IF(J472&gt;0,MIN(99,$B$12*Q472/(J472*12*(1-Inputs!$H$16))),99)</f>
        <v>7.7482283768554341</v>
      </c>
      <c r="L472" s="84">
        <f t="shared" ca="1" si="86"/>
        <v>0.91074555734727636</v>
      </c>
      <c r="M472" s="84">
        <f t="shared" ca="1" si="87"/>
        <v>0.95943213904118918</v>
      </c>
      <c r="N472" s="84">
        <f t="shared" ca="1" si="88"/>
        <v>0.9928269473337229</v>
      </c>
      <c r="O472" s="84">
        <f t="shared" ca="1" si="89"/>
        <v>1.0625438926159112</v>
      </c>
      <c r="P472" s="84">
        <f t="shared" ca="1" si="90"/>
        <v>1.1237313332035828</v>
      </c>
      <c r="Q472" s="84">
        <f t="shared" ca="1" si="91"/>
        <v>1.0092957694951057</v>
      </c>
    </row>
    <row r="473" spans="1:17" ht="15" customHeight="1" x14ac:dyDescent="0.2">
      <c r="A473" s="15">
        <v>434</v>
      </c>
      <c r="B473" s="84">
        <f t="shared" ca="1" si="94"/>
        <v>0.578993742341401</v>
      </c>
      <c r="C473" s="84">
        <f t="shared" ca="1" si="94"/>
        <v>0.20222478376705733</v>
      </c>
      <c r="D473" s="84">
        <f t="shared" ca="1" si="94"/>
        <v>9.5367465526460138E-2</v>
      </c>
      <c r="F473" s="84">
        <f t="shared" ca="1" si="95"/>
        <v>0.62665406988658201</v>
      </c>
      <c r="G473" s="84">
        <f t="shared" ca="1" si="95"/>
        <v>0.84670648850309893</v>
      </c>
      <c r="H473" s="84">
        <f t="shared" ca="1" si="95"/>
        <v>0.16049681891814693</v>
      </c>
      <c r="J473" s="85">
        <f t="shared" ca="1" si="85"/>
        <v>141748470.96902764</v>
      </c>
      <c r="K473" s="86">
        <f ca="1">IF(J473&gt;0,MIN(99,$B$12*Q473/(J473*12*(1-Inputs!$H$16))),99)</f>
        <v>3.126286851719406</v>
      </c>
      <c r="L473" s="84">
        <f t="shared" ca="1" si="86"/>
        <v>1.0343999991104378</v>
      </c>
      <c r="M473" s="84">
        <f t="shared" ca="1" si="87"/>
        <v>1.014581147957796</v>
      </c>
      <c r="N473" s="84">
        <f t="shared" ca="1" si="88"/>
        <v>0.96863211383753689</v>
      </c>
      <c r="O473" s="84">
        <f t="shared" ca="1" si="89"/>
        <v>1.0348487970296372</v>
      </c>
      <c r="P473" s="84">
        <f t="shared" ca="1" si="90"/>
        <v>1.4904556852207036</v>
      </c>
      <c r="Q473" s="84">
        <f t="shared" ca="1" si="91"/>
        <v>0.97224820141185542</v>
      </c>
    </row>
    <row r="474" spans="1:17" ht="15" customHeight="1" x14ac:dyDescent="0.2">
      <c r="A474" s="15">
        <v>435</v>
      </c>
      <c r="B474" s="84">
        <f t="shared" ca="1" si="94"/>
        <v>0.60041838911351597</v>
      </c>
      <c r="C474" s="84">
        <f t="shared" ca="1" si="94"/>
        <v>0.61206250571505394</v>
      </c>
      <c r="D474" s="84">
        <f t="shared" ca="1" si="94"/>
        <v>0.68253499218985347</v>
      </c>
      <c r="F474" s="84">
        <f t="shared" ca="1" si="95"/>
        <v>0.8257273023350451</v>
      </c>
      <c r="G474" s="84">
        <f t="shared" ca="1" si="95"/>
        <v>0.89599471970254019</v>
      </c>
      <c r="H474" s="84">
        <f t="shared" ca="1" si="95"/>
        <v>0.6744320766033669</v>
      </c>
      <c r="J474" s="85">
        <f t="shared" ca="1" si="85"/>
        <v>127267816.00101916</v>
      </c>
      <c r="K474" s="86">
        <f ca="1">IF(J474&gt;0,MIN(99,$B$12*Q474/(J474*12*(1-Inputs!$H$16))),99)</f>
        <v>4.2175160360589405</v>
      </c>
      <c r="L474" s="84">
        <f t="shared" ca="1" si="86"/>
        <v>1.0406018952787981</v>
      </c>
      <c r="M474" s="84">
        <f t="shared" ca="1" si="87"/>
        <v>1.0173240297147472</v>
      </c>
      <c r="N474" s="84">
        <f t="shared" ca="1" si="88"/>
        <v>1.0244633782415908</v>
      </c>
      <c r="O474" s="84">
        <f t="shared" ca="1" si="89"/>
        <v>1.0592364373495455</v>
      </c>
      <c r="P474" s="84">
        <f t="shared" ca="1" si="90"/>
        <v>1.556096320367153</v>
      </c>
      <c r="Q474" s="84">
        <f t="shared" ca="1" si="91"/>
        <v>1.1776202779989944</v>
      </c>
    </row>
    <row r="475" spans="1:17" ht="15" customHeight="1" x14ac:dyDescent="0.2">
      <c r="A475" s="15">
        <v>436</v>
      </c>
      <c r="B475" s="84">
        <f t="shared" ca="1" si="94"/>
        <v>0.34954177448829493</v>
      </c>
      <c r="C475" s="84">
        <f t="shared" ca="1" si="94"/>
        <v>0.28007111099818882</v>
      </c>
      <c r="D475" s="84">
        <f t="shared" ca="1" si="94"/>
        <v>0.29868759484593432</v>
      </c>
      <c r="F475" s="84">
        <f t="shared" ca="1" si="95"/>
        <v>0.22793963850351662</v>
      </c>
      <c r="G475" s="84">
        <f t="shared" ca="1" si="95"/>
        <v>0.43210923666778855</v>
      </c>
      <c r="H475" s="84">
        <f t="shared" ca="1" si="95"/>
        <v>0.39981835275697752</v>
      </c>
      <c r="J475" s="85">
        <f t="shared" ca="1" si="85"/>
        <v>111635451.70237397</v>
      </c>
      <c r="K475" s="86">
        <f ca="1">IF(J475&gt;0,MIN(99,$B$12*Q475/(J475*12*(1-Inputs!$H$16))),99)</f>
        <v>4.3202258301949303</v>
      </c>
      <c r="L475" s="84">
        <f t="shared" ca="1" si="86"/>
        <v>0.97330141106389834</v>
      </c>
      <c r="M475" s="84">
        <f t="shared" ca="1" si="87"/>
        <v>0.9874189278118457</v>
      </c>
      <c r="N475" s="84">
        <f t="shared" ca="1" si="88"/>
        <v>0.99149262547747929</v>
      </c>
      <c r="O475" s="84">
        <f t="shared" ca="1" si="89"/>
        <v>1.0011263647182576</v>
      </c>
      <c r="P475" s="84">
        <f t="shared" ca="1" si="90"/>
        <v>1.1461678749803039</v>
      </c>
      <c r="Q475" s="84">
        <f t="shared" ca="1" si="91"/>
        <v>1.0581287743345844</v>
      </c>
    </row>
    <row r="476" spans="1:17" ht="15" customHeight="1" x14ac:dyDescent="0.2">
      <c r="A476" s="15">
        <v>437</v>
      </c>
      <c r="B476" s="84">
        <f t="shared" ca="1" si="94"/>
        <v>0.45465832616861468</v>
      </c>
      <c r="C476" s="84">
        <f t="shared" ca="1" si="94"/>
        <v>0.39499158421338498</v>
      </c>
      <c r="D476" s="84">
        <f t="shared" ca="1" si="94"/>
        <v>0.29349211683503651</v>
      </c>
      <c r="F476" s="84">
        <f t="shared" ca="1" si="95"/>
        <v>0.26130746338952648</v>
      </c>
      <c r="G476" s="84">
        <f t="shared" ca="1" si="95"/>
        <v>0.97647686713526782</v>
      </c>
      <c r="H476" s="84">
        <f t="shared" ca="1" si="95"/>
        <v>0.38260656597736964</v>
      </c>
      <c r="J476" s="85">
        <f t="shared" ca="1" si="85"/>
        <v>109467355.44116287</v>
      </c>
      <c r="K476" s="86">
        <f ca="1">IF(J476&gt;0,MIN(99,$B$12*Q476/(J476*12*(1-Inputs!$H$16))),99)</f>
        <v>4.3789077096824016</v>
      </c>
      <c r="L476" s="84">
        <f t="shared" ca="1" si="86"/>
        <v>1.0011670579498961</v>
      </c>
      <c r="M476" s="84">
        <f t="shared" ca="1" si="87"/>
        <v>0.99988325696775893</v>
      </c>
      <c r="N476" s="84">
        <f t="shared" ca="1" si="88"/>
        <v>0.99103349937225604</v>
      </c>
      <c r="O476" s="84">
        <f t="shared" ca="1" si="89"/>
        <v>1.0035451400147242</v>
      </c>
      <c r="P476" s="84">
        <f t="shared" ca="1" si="90"/>
        <v>1.7169213526129457</v>
      </c>
      <c r="Q476" s="84">
        <f t="shared" ca="1" si="91"/>
        <v>1.051672117483309</v>
      </c>
    </row>
    <row r="477" spans="1:17" ht="15" customHeight="1" x14ac:dyDescent="0.2">
      <c r="A477" s="15">
        <v>438</v>
      </c>
      <c r="B477" s="84">
        <f t="shared" ca="1" si="94"/>
        <v>0.64585500114497452</v>
      </c>
      <c r="C477" s="84">
        <f t="shared" ca="1" si="94"/>
        <v>0.10600319598327668</v>
      </c>
      <c r="D477" s="84">
        <f t="shared" ca="1" si="94"/>
        <v>0.47792978688495014</v>
      </c>
      <c r="F477" s="84">
        <f t="shared" ca="1" si="95"/>
        <v>0.81759534102410802</v>
      </c>
      <c r="G477" s="84">
        <f t="shared" ca="1" si="95"/>
        <v>0.46092408717906086</v>
      </c>
      <c r="H477" s="84">
        <f t="shared" ca="1" si="95"/>
        <v>0.63775153481544478</v>
      </c>
      <c r="J477" s="85">
        <f t="shared" ca="1" si="85"/>
        <v>156515318.62262595</v>
      </c>
      <c r="K477" s="86">
        <f ca="1">IF(J477&gt;0,MIN(99,$B$12*Q477/(J477*12*(1-Inputs!$H$16))),99)</f>
        <v>3.3760709179942849</v>
      </c>
      <c r="L477" s="84">
        <f t="shared" ca="1" si="86"/>
        <v>1.054330705936313</v>
      </c>
      <c r="M477" s="84">
        <f t="shared" ca="1" si="87"/>
        <v>1.0233958024879268</v>
      </c>
      <c r="N477" s="84">
        <f t="shared" ca="1" si="88"/>
        <v>1.0058478760397236</v>
      </c>
      <c r="O477" s="84">
        <f t="shared" ca="1" si="89"/>
        <v>1.0580232618942063</v>
      </c>
      <c r="P477" s="84">
        <f t="shared" ca="1" si="90"/>
        <v>1.1645846781835498</v>
      </c>
      <c r="Q477" s="84">
        <f t="shared" ca="1" si="91"/>
        <v>1.1593067164409263</v>
      </c>
    </row>
    <row r="478" spans="1:17" ht="15" customHeight="1" x14ac:dyDescent="0.2">
      <c r="A478" s="15">
        <v>439</v>
      </c>
      <c r="B478" s="84">
        <f t="shared" ca="1" si="94"/>
        <v>0.77100855458521012</v>
      </c>
      <c r="C478" s="84">
        <f t="shared" ca="1" si="94"/>
        <v>0.40587635936676636</v>
      </c>
      <c r="D478" s="84">
        <f t="shared" ca="1" si="94"/>
        <v>4.2057403702850937E-3</v>
      </c>
      <c r="F478" s="84">
        <f t="shared" ca="1" si="95"/>
        <v>7.1468439822516383E-2</v>
      </c>
      <c r="G478" s="84">
        <f t="shared" ca="1" si="95"/>
        <v>0.7677947781566653</v>
      </c>
      <c r="H478" s="84">
        <f t="shared" ca="1" si="95"/>
        <v>4.6512695900195244E-2</v>
      </c>
      <c r="J478" s="85">
        <f t="shared" ca="1" si="85"/>
        <v>206034422.40042746</v>
      </c>
      <c r="K478" s="86">
        <f ca="1">IF(J478&gt;0,MIN(99,$B$12*Q478/(J478*12*(1-Inputs!$H$16))),99)</f>
        <v>2.017683996556332</v>
      </c>
      <c r="L478" s="84">
        <f t="shared" ca="1" si="86"/>
        <v>1.0975561391748545</v>
      </c>
      <c r="M478" s="84">
        <f t="shared" ca="1" si="87"/>
        <v>1.0425128997510469</v>
      </c>
      <c r="N478" s="84">
        <f t="shared" ca="1" si="88"/>
        <v>0.94516980288179231</v>
      </c>
      <c r="O478" s="84">
        <f t="shared" ca="1" si="89"/>
        <v>0.98736438433155926</v>
      </c>
      <c r="P478" s="84">
        <f t="shared" ca="1" si="90"/>
        <v>1.404540551040369</v>
      </c>
      <c r="Q478" s="84">
        <f t="shared" ca="1" si="91"/>
        <v>0.91205887830990706</v>
      </c>
    </row>
    <row r="479" spans="1:17" ht="15" customHeight="1" x14ac:dyDescent="0.2">
      <c r="A479" s="15">
        <v>440</v>
      </c>
      <c r="B479" s="84">
        <f t="shared" ca="1" si="94"/>
        <v>0.13711434139025391</v>
      </c>
      <c r="C479" s="84">
        <f t="shared" ca="1" si="94"/>
        <v>0.51161772095029567</v>
      </c>
      <c r="D479" s="84">
        <f t="shared" ca="1" si="94"/>
        <v>4.5850706755572568E-2</v>
      </c>
      <c r="F479" s="84">
        <f t="shared" ca="1" si="95"/>
        <v>0.31933862231179666</v>
      </c>
      <c r="G479" s="84">
        <f t="shared" ca="1" si="95"/>
        <v>0.70959054194736337</v>
      </c>
      <c r="H479" s="84">
        <f t="shared" ca="1" si="95"/>
        <v>0.54794215159583748</v>
      </c>
      <c r="J479" s="85">
        <f t="shared" ca="1" si="85"/>
        <v>58765989.565367624</v>
      </c>
      <c r="K479" s="86">
        <f ca="1">IF(J479&gt;0,MIN(99,$B$12*Q479/(J479*12*(1-Inputs!$H$16))),99)</f>
        <v>8.671708419239037</v>
      </c>
      <c r="L479" s="84">
        <f t="shared" ca="1" si="86"/>
        <v>0.89919888649421764</v>
      </c>
      <c r="M479" s="84">
        <f t="shared" ca="1" si="87"/>
        <v>0.95426628774240041</v>
      </c>
      <c r="N479" s="84">
        <f t="shared" ca="1" si="88"/>
        <v>0.959525832366938</v>
      </c>
      <c r="O479" s="84">
        <f t="shared" ca="1" si="89"/>
        <v>1.0078856879389217</v>
      </c>
      <c r="P479" s="84">
        <f t="shared" ca="1" si="90"/>
        <v>1.3503194100958376</v>
      </c>
      <c r="Q479" s="84">
        <f t="shared" ca="1" si="91"/>
        <v>1.1180485472792849</v>
      </c>
    </row>
    <row r="480" spans="1:17" ht="15" customHeight="1" x14ac:dyDescent="0.2">
      <c r="A480" s="15">
        <v>441</v>
      </c>
      <c r="B480" s="84">
        <f t="shared" ref="B480:D499" ca="1" si="96">RAND()</f>
        <v>0.58673267265753004</v>
      </c>
      <c r="C480" s="84">
        <f t="shared" ca="1" si="96"/>
        <v>0.84178809880909211</v>
      </c>
      <c r="D480" s="84">
        <f t="shared" ca="1" si="96"/>
        <v>0.86398764185771537</v>
      </c>
      <c r="F480" s="84">
        <f t="shared" ref="F480:H499" ca="1" si="97">RAND()</f>
        <v>0.29302158897364861</v>
      </c>
      <c r="G480" s="84">
        <f t="shared" ca="1" si="97"/>
        <v>0.29777145571105612</v>
      </c>
      <c r="H480" s="84">
        <f t="shared" ca="1" si="97"/>
        <v>0.5713796425987141</v>
      </c>
      <c r="J480" s="85">
        <f t="shared" ca="1" si="85"/>
        <v>146718681.23565811</v>
      </c>
      <c r="K480" s="86">
        <f ca="1">IF(J480&gt;0,MIN(99,$B$12*Q480/(J480*12*(1-Inputs!$H$16))),99)</f>
        <v>3.5054417612394846</v>
      </c>
      <c r="L480" s="84">
        <f t="shared" ca="1" si="86"/>
        <v>1.0366216085514679</v>
      </c>
      <c r="M480" s="84">
        <f t="shared" ca="1" si="87"/>
        <v>1.0155636881102674</v>
      </c>
      <c r="N480" s="84">
        <f t="shared" ca="1" si="88"/>
        <v>1.0472368873280489</v>
      </c>
      <c r="O480" s="84">
        <f t="shared" ca="1" si="89"/>
        <v>1.0058952165271571</v>
      </c>
      <c r="P480" s="84">
        <f t="shared" ca="1" si="90"/>
        <v>1.0659051076655093</v>
      </c>
      <c r="Q480" s="84">
        <f t="shared" ca="1" si="91"/>
        <v>1.1283870995522878</v>
      </c>
    </row>
    <row r="481" spans="1:17" ht="15" customHeight="1" x14ac:dyDescent="0.2">
      <c r="A481" s="15">
        <v>442</v>
      </c>
      <c r="B481" s="84">
        <f t="shared" ca="1" si="96"/>
        <v>0.91752086548089185</v>
      </c>
      <c r="C481" s="84">
        <f t="shared" ca="1" si="96"/>
        <v>0.36269795642261438</v>
      </c>
      <c r="D481" s="84">
        <f t="shared" ca="1" si="96"/>
        <v>0.20679122967041785</v>
      </c>
      <c r="F481" s="84">
        <f t="shared" ca="1" si="97"/>
        <v>0.19757963911194298</v>
      </c>
      <c r="G481" s="84">
        <f t="shared" ca="1" si="97"/>
        <v>0.41111876784585044</v>
      </c>
      <c r="H481" s="84">
        <f t="shared" ca="1" si="97"/>
        <v>2.5020895221236183E-2</v>
      </c>
      <c r="J481" s="85">
        <f t="shared" ca="1" si="85"/>
        <v>261429118.38310021</v>
      </c>
      <c r="K481" s="86">
        <f ca="1">IF(J481&gt;0,MIN(99,$B$12*Q481/(J481*12*(1-Inputs!$H$16))),99)</f>
        <v>1.5575355478546169</v>
      </c>
      <c r="L481" s="84">
        <f t="shared" ca="1" si="86"/>
        <v>1.1685064274410075</v>
      </c>
      <c r="M481" s="84">
        <f t="shared" ca="1" si="87"/>
        <v>1.0738917306848004</v>
      </c>
      <c r="N481" s="84">
        <f t="shared" ca="1" si="88"/>
        <v>0.98266603811347597</v>
      </c>
      <c r="O481" s="84">
        <f t="shared" ca="1" si="89"/>
        <v>0.99894752183659452</v>
      </c>
      <c r="P481" s="84">
        <f t="shared" ca="1" si="90"/>
        <v>1.1330445316919142</v>
      </c>
      <c r="Q481" s="84">
        <f t="shared" ca="1" si="91"/>
        <v>0.89335046369928062</v>
      </c>
    </row>
    <row r="482" spans="1:17" ht="15" customHeight="1" x14ac:dyDescent="0.2">
      <c r="A482" s="15">
        <v>443</v>
      </c>
      <c r="B482" s="84">
        <f t="shared" ca="1" si="96"/>
        <v>9.0622587004605126E-2</v>
      </c>
      <c r="C482" s="84">
        <f t="shared" ca="1" si="96"/>
        <v>0.23677836815781805</v>
      </c>
      <c r="D482" s="84">
        <f t="shared" ca="1" si="96"/>
        <v>0.66359794864638377</v>
      </c>
      <c r="F482" s="84">
        <f t="shared" ca="1" si="97"/>
        <v>0.31437728052325808</v>
      </c>
      <c r="G482" s="84">
        <f t="shared" ca="1" si="97"/>
        <v>0.15133465405635182</v>
      </c>
      <c r="H482" s="84">
        <f t="shared" ca="1" si="97"/>
        <v>0.40653963453475206</v>
      </c>
      <c r="J482" s="85">
        <f t="shared" ca="1" si="85"/>
        <v>45458649.402077556</v>
      </c>
      <c r="K482" s="86">
        <f ca="1">IF(J482&gt;0,MIN(99,$B$12*Q482/(J482*12*(1-Inputs!$H$16))),99)</f>
        <v>10.634962321832464</v>
      </c>
      <c r="L482" s="84">
        <f t="shared" ca="1" si="86"/>
        <v>0.87597049587883624</v>
      </c>
      <c r="M482" s="84">
        <f t="shared" ca="1" si="87"/>
        <v>0.94387416577440875</v>
      </c>
      <c r="N482" s="84">
        <f t="shared" ca="1" si="88"/>
        <v>1.0225256545715167</v>
      </c>
      <c r="O482" s="84">
        <f t="shared" ca="1" si="89"/>
        <v>1.0075075352324383</v>
      </c>
      <c r="P482" s="84">
        <f t="shared" ca="1" si="90"/>
        <v>0.98613028544497228</v>
      </c>
      <c r="Q482" s="84">
        <f t="shared" ca="1" si="91"/>
        <v>1.0606752266677733</v>
      </c>
    </row>
    <row r="483" spans="1:17" ht="15" customHeight="1" x14ac:dyDescent="0.2">
      <c r="A483" s="15">
        <v>444</v>
      </c>
      <c r="B483" s="84">
        <f t="shared" ca="1" si="96"/>
        <v>3.9490818960959073E-2</v>
      </c>
      <c r="C483" s="84">
        <f t="shared" ca="1" si="96"/>
        <v>0.11946617886450894</v>
      </c>
      <c r="D483" s="84">
        <f t="shared" ca="1" si="96"/>
        <v>0.25248336647094671</v>
      </c>
      <c r="F483" s="84">
        <f t="shared" ca="1" si="97"/>
        <v>0.49126280219112284</v>
      </c>
      <c r="G483" s="84">
        <f t="shared" ca="1" si="97"/>
        <v>0.88081874488245315</v>
      </c>
      <c r="H483" s="84">
        <f t="shared" ca="1" si="97"/>
        <v>0.33088272332821467</v>
      </c>
      <c r="J483" s="85">
        <f t="shared" ca="1" si="85"/>
        <v>7218455.195072934</v>
      </c>
      <c r="K483" s="86">
        <f ca="1">IF(J483&gt;0,MIN(99,$B$12*Q483/(J483*12*(1-Inputs!$H$16))),99)</f>
        <v>65.213711103157877</v>
      </c>
      <c r="L483" s="84">
        <f t="shared" ca="1" si="86"/>
        <v>0.84165371057268978</v>
      </c>
      <c r="M483" s="84">
        <f t="shared" ca="1" si="87"/>
        <v>0.92852122013319371</v>
      </c>
      <c r="N483" s="84">
        <f t="shared" ca="1" si="88"/>
        <v>0.98725668237931108</v>
      </c>
      <c r="O483" s="84">
        <f t="shared" ca="1" si="89"/>
        <v>1.0219673645143847</v>
      </c>
      <c r="P483" s="84">
        <f t="shared" ca="1" si="90"/>
        <v>1.5344839503698404</v>
      </c>
      <c r="Q483" s="84">
        <f t="shared" ca="1" si="91"/>
        <v>1.0327926101312879</v>
      </c>
    </row>
    <row r="484" spans="1:17" ht="15" customHeight="1" x14ac:dyDescent="0.2">
      <c r="A484" s="15">
        <v>445</v>
      </c>
      <c r="B484" s="84">
        <f t="shared" ca="1" si="96"/>
        <v>0.38682011242132242</v>
      </c>
      <c r="C484" s="84">
        <f t="shared" ca="1" si="96"/>
        <v>0.43766777844021931</v>
      </c>
      <c r="D484" s="84">
        <f t="shared" ca="1" si="96"/>
        <v>0.10139107935083869</v>
      </c>
      <c r="F484" s="84">
        <f t="shared" ca="1" si="97"/>
        <v>0.5755416536386464</v>
      </c>
      <c r="G484" s="84">
        <f t="shared" ca="1" si="97"/>
        <v>0.93666442463385802</v>
      </c>
      <c r="H484" s="84">
        <f t="shared" ca="1" si="97"/>
        <v>0.19068928424838805</v>
      </c>
      <c r="J484" s="85">
        <f t="shared" ca="1" si="85"/>
        <v>100706177.31355868</v>
      </c>
      <c r="K484" s="86">
        <f ca="1">IF(J484&gt;0,MIN(99,$B$12*Q484/(J484*12*(1-Inputs!$H$16))),99)</f>
        <v>4.4535009887883046</v>
      </c>
      <c r="L484" s="84">
        <f t="shared" ca="1" si="86"/>
        <v>0.98360791607079245</v>
      </c>
      <c r="M484" s="84">
        <f t="shared" ca="1" si="87"/>
        <v>0.99202994279212753</v>
      </c>
      <c r="N484" s="84">
        <f t="shared" ca="1" si="88"/>
        <v>0.96955568481388843</v>
      </c>
      <c r="O484" s="84">
        <f t="shared" ca="1" si="89"/>
        <v>1.029747985782455</v>
      </c>
      <c r="P484" s="84">
        <f t="shared" ca="1" si="90"/>
        <v>1.6234526389816395</v>
      </c>
      <c r="Q484" s="84">
        <f t="shared" ca="1" si="91"/>
        <v>0.9839830230324057</v>
      </c>
    </row>
    <row r="485" spans="1:17" ht="15" customHeight="1" x14ac:dyDescent="0.2">
      <c r="A485" s="15">
        <v>446</v>
      </c>
      <c r="B485" s="84">
        <f t="shared" ca="1" si="96"/>
        <v>0.89197141957484893</v>
      </c>
      <c r="C485" s="84">
        <f t="shared" ca="1" si="96"/>
        <v>0.78973268003552433</v>
      </c>
      <c r="D485" s="84">
        <f t="shared" ca="1" si="96"/>
        <v>4.390387209079849E-2</v>
      </c>
      <c r="F485" s="84">
        <f t="shared" ca="1" si="97"/>
        <v>0.2454981089374505</v>
      </c>
      <c r="G485" s="84">
        <f t="shared" ca="1" si="97"/>
        <v>0.95099582769166313</v>
      </c>
      <c r="H485" s="84">
        <f t="shared" ca="1" si="97"/>
        <v>0.25774382125824602</v>
      </c>
      <c r="J485" s="85">
        <f t="shared" ca="1" si="85"/>
        <v>234724250.09574646</v>
      </c>
      <c r="K485" s="86">
        <f ca="1">IF(J485&gt;0,MIN(99,$B$12*Q485/(J485*12*(1-Inputs!$H$16))),99)</f>
        <v>1.9560118992816264</v>
      </c>
      <c r="L485" s="84">
        <f t="shared" ca="1" si="86"/>
        <v>1.1531233007976573</v>
      </c>
      <c r="M485" s="84">
        <f t="shared" ca="1" si="87"/>
        <v>1.0670883118126535</v>
      </c>
      <c r="N485" s="84">
        <f t="shared" ca="1" si="88"/>
        <v>0.95908390044956882</v>
      </c>
      <c r="O485" s="84">
        <f t="shared" ca="1" si="89"/>
        <v>1.0023924835266966</v>
      </c>
      <c r="P485" s="84">
        <f t="shared" ca="1" si="90"/>
        <v>1.6522623752675298</v>
      </c>
      <c r="Q485" s="84">
        <f t="shared" ca="1" si="91"/>
        <v>1.0073012992587107</v>
      </c>
    </row>
    <row r="486" spans="1:17" ht="15" customHeight="1" x14ac:dyDescent="0.2">
      <c r="A486" s="15">
        <v>447</v>
      </c>
      <c r="B486" s="84">
        <f t="shared" ca="1" si="96"/>
        <v>0.29618064137815958</v>
      </c>
      <c r="C486" s="84">
        <f t="shared" ca="1" si="96"/>
        <v>0.2124016077127997</v>
      </c>
      <c r="D486" s="84">
        <f t="shared" ca="1" si="96"/>
        <v>0.46485712896727238</v>
      </c>
      <c r="F486" s="84">
        <f t="shared" ca="1" si="97"/>
        <v>0.80991043832330212</v>
      </c>
      <c r="G486" s="84">
        <f t="shared" ca="1" si="97"/>
        <v>0.54038339849543293</v>
      </c>
      <c r="H486" s="84">
        <f t="shared" ca="1" si="97"/>
        <v>0.8311391571789899</v>
      </c>
      <c r="J486" s="85">
        <f t="shared" ca="1" si="85"/>
        <v>85922759.324690923</v>
      </c>
      <c r="K486" s="86">
        <f ca="1">IF(J486&gt;0,MIN(99,$B$12*Q486/(J486*12*(1-Inputs!$H$16))),99)</f>
        <v>6.7427162491405523</v>
      </c>
      <c r="L486" s="84">
        <f t="shared" ca="1" si="86"/>
        <v>0.95753854977796593</v>
      </c>
      <c r="M486" s="84">
        <f t="shared" ca="1" si="87"/>
        <v>0.98036680010483734</v>
      </c>
      <c r="N486" s="84">
        <f t="shared" ca="1" si="88"/>
        <v>1.0047959873626466</v>
      </c>
      <c r="O486" s="84">
        <f t="shared" ca="1" si="89"/>
        <v>1.0569013995500169</v>
      </c>
      <c r="P486" s="84">
        <f t="shared" ca="1" si="90"/>
        <v>1.2180905848939856</v>
      </c>
      <c r="Q486" s="84">
        <f t="shared" ca="1" si="91"/>
        <v>1.2710804550215233</v>
      </c>
    </row>
    <row r="487" spans="1:17" ht="15" customHeight="1" x14ac:dyDescent="0.2">
      <c r="A487" s="15">
        <v>448</v>
      </c>
      <c r="B487" s="84">
        <f t="shared" ca="1" si="96"/>
        <v>0.39790350521287376</v>
      </c>
      <c r="C487" s="84">
        <f t="shared" ca="1" si="96"/>
        <v>0.28555524482330985</v>
      </c>
      <c r="D487" s="84">
        <f t="shared" ca="1" si="96"/>
        <v>0.40354766503870554</v>
      </c>
      <c r="F487" s="84">
        <f t="shared" ca="1" si="97"/>
        <v>0.89066003419915851</v>
      </c>
      <c r="G487" s="84">
        <f t="shared" ca="1" si="97"/>
        <v>0.50573463466348023</v>
      </c>
      <c r="H487" s="84">
        <f t="shared" ca="1" si="97"/>
        <v>0.90387942928997145</v>
      </c>
      <c r="J487" s="85">
        <f t="shared" ca="1" si="85"/>
        <v>105811710.92472576</v>
      </c>
      <c r="K487" s="86">
        <f ca="1">IF(J487&gt;0,MIN(99,$B$12*Q487/(J487*12*(1-Inputs!$H$16))),99)</f>
        <v>5.7297279997073112</v>
      </c>
      <c r="L487" s="84">
        <f t="shared" ca="1" si="86"/>
        <v>0.98657538688715252</v>
      </c>
      <c r="M487" s="84">
        <f t="shared" ca="1" si="87"/>
        <v>0.99335755602072762</v>
      </c>
      <c r="N487" s="84">
        <f t="shared" ca="1" si="88"/>
        <v>1.0000259657384751</v>
      </c>
      <c r="O487" s="84">
        <f t="shared" ca="1" si="89"/>
        <v>1.0701720198633093</v>
      </c>
      <c r="P487" s="84">
        <f t="shared" ca="1" si="90"/>
        <v>1.194232232686808</v>
      </c>
      <c r="Q487" s="84">
        <f t="shared" ca="1" si="91"/>
        <v>1.3301410112053107</v>
      </c>
    </row>
    <row r="488" spans="1:17" ht="15" customHeight="1" x14ac:dyDescent="0.2">
      <c r="A488" s="15">
        <v>449</v>
      </c>
      <c r="B488" s="84">
        <f t="shared" ca="1" si="96"/>
        <v>0.68903854984176027</v>
      </c>
      <c r="C488" s="84">
        <f t="shared" ca="1" si="96"/>
        <v>0.77276065301181229</v>
      </c>
      <c r="D488" s="84">
        <f t="shared" ca="1" si="96"/>
        <v>0.56396788090458672</v>
      </c>
      <c r="F488" s="84">
        <f t="shared" ca="1" si="97"/>
        <v>0.62826625604109099</v>
      </c>
      <c r="G488" s="84">
        <f t="shared" ca="1" si="97"/>
        <v>0.12050869883387172</v>
      </c>
      <c r="H488" s="84">
        <f t="shared" ca="1" si="97"/>
        <v>4.6180820943558465E-2</v>
      </c>
      <c r="J488" s="85">
        <f t="shared" ref="J488:J551" ca="1" si="98">$B$5*L488*M488-$B$6*L488*N488-$B$7*L488*M488-$B$8*L488*M488-$B$9*O488-$B$10*P488-$B$11</f>
        <v>176435746.07395798</v>
      </c>
      <c r="K488" s="86">
        <f ca="1">IF(J488&gt;0,MIN(99,$B$12*Q488/(J488*12*(1-Inputs!$H$16))),99)</f>
        <v>2.3555205499119261</v>
      </c>
      <c r="L488" s="84">
        <f t="shared" ref="L488:L551" ca="1" si="99">IF($D$16=$B$16,$C$16,IF(B488&lt;($C$16-$B$16)/($D$16-$B$16),$B$16+SQRT(B488*($D$16-$B$16)*($C$16-$B$16)),$D$16-SQRT((1-B488)*($D$16-$B$16)*($D$16-$C$16))))</f>
        <v>1.068221859480365</v>
      </c>
      <c r="M488" s="84">
        <f t="shared" ref="M488:M551" ca="1" si="100">IF($D$17=$B$17,$C$17,IF(IF($B$33=1,B488,C488)&lt;($C$17-$B$17)/($D$17-$B$17),$B$17+SQRT(IF($B$33=1,B488,C488)*($D$17-$B$17)*($C$17-$B$17)),$D$17-SQRT((1-IF($B$33=1,B488,C488))*($D$17-$B$17)*($D$17-$C$17))))</f>
        <v>1.0295393738416962</v>
      </c>
      <c r="N488" s="84">
        <f t="shared" ref="N488:N551" ca="1" si="101">IF($D$18=$B$18,$C$18,IF(D488&lt;($C$18-$B$18)/($D$18-$B$18),$B$18+SQRT(D488*($D$18-$B$18)*($C$18-$B$18)),$D$18-SQRT((1-D488)*($D$18-$B$18)*($D$18-$C$18))))</f>
        <v>1.0131273967436099</v>
      </c>
      <c r="O488" s="84">
        <f t="shared" ref="O488:O551" ca="1" si="102">IF($D$19=$B$19,$C$19,IF(F488&lt;($C$19-$B$19)/($D$19-$B$19),$B$19+SQRT(F488*($D$19-$B$19)*($C$19-$B$19)),$D$19-SQRT((1-F488)*($D$19-$B$19)*($D$19-$C$19))))</f>
        <v>1.0350151965003165</v>
      </c>
      <c r="P488" s="84">
        <f t="shared" ref="P488:P551" ca="1" si="103">IF($D$20=$B$20,$C$20,IF(G488&lt;($C$20-$B$20)/($D$20-$B$20),$B$20+SQRT(G488*($D$20-$B$20)*($C$20-$B$20)),$D$20-SQRT((1-G488)*($D$20-$B$20)*($D$20-$C$20))))</f>
        <v>0.96767621987873775</v>
      </c>
      <c r="Q488" s="84">
        <f t="shared" ref="Q488:Q551" ca="1" si="104">IF($D$21=$B$21,$C$21,IF(H488&lt;($C$21-$B$21)/($D$21-$B$21),$B$21+SQRT(H488*($D$21-$B$21)*($C$21-$B$21)),$D$21-SQRT((1-H488)*($D$21-$B$21)*($D$21-$C$21))))</f>
        <v>0.91180803951460732</v>
      </c>
    </row>
    <row r="489" spans="1:17" ht="15" customHeight="1" x14ac:dyDescent="0.2">
      <c r="A489" s="15">
        <v>450</v>
      </c>
      <c r="B489" s="84">
        <f t="shared" ca="1" si="96"/>
        <v>0.50696908401320018</v>
      </c>
      <c r="C489" s="84">
        <f t="shared" ca="1" si="96"/>
        <v>0.12193063548313854</v>
      </c>
      <c r="D489" s="84">
        <f t="shared" ca="1" si="96"/>
        <v>0.66332412473984848</v>
      </c>
      <c r="F489" s="84">
        <f t="shared" ca="1" si="97"/>
        <v>0.33598003432065249</v>
      </c>
      <c r="G489" s="84">
        <f t="shared" ca="1" si="97"/>
        <v>0.49682836821358067</v>
      </c>
      <c r="H489" s="84">
        <f t="shared" ca="1" si="97"/>
        <v>0.65494663837615741</v>
      </c>
      <c r="J489" s="85">
        <f t="shared" ca="1" si="98"/>
        <v>131264267.07223605</v>
      </c>
      <c r="K489" s="86">
        <f ca="1">IF(J489&gt;0,MIN(99,$B$12*Q489/(J489*12*(1-Inputs!$H$16))),99)</f>
        <v>4.0549075678862785</v>
      </c>
      <c r="L489" s="84">
        <f t="shared" ca="1" si="99"/>
        <v>1.0146315093023255</v>
      </c>
      <c r="M489" s="84">
        <f t="shared" ca="1" si="100"/>
        <v>1.0058382363408984</v>
      </c>
      <c r="N489" s="84">
        <f t="shared" ca="1" si="101"/>
        <v>1.0224980413202873</v>
      </c>
      <c r="O489" s="84">
        <f t="shared" ca="1" si="102"/>
        <v>1.0091642642550365</v>
      </c>
      <c r="P489" s="84">
        <f t="shared" ca="1" si="103"/>
        <v>1.1882359012110282</v>
      </c>
      <c r="Q489" s="84">
        <f t="shared" ca="1" si="104"/>
        <v>1.1677702802449899</v>
      </c>
    </row>
    <row r="490" spans="1:17" ht="15" customHeight="1" x14ac:dyDescent="0.2">
      <c r="A490" s="15">
        <v>451</v>
      </c>
      <c r="B490" s="84">
        <f t="shared" ca="1" si="96"/>
        <v>0.33776659085344574</v>
      </c>
      <c r="C490" s="84">
        <f t="shared" ca="1" si="96"/>
        <v>4.6827486241384553E-2</v>
      </c>
      <c r="D490" s="84">
        <f t="shared" ca="1" si="96"/>
        <v>0.64233011814342345</v>
      </c>
      <c r="F490" s="84">
        <f t="shared" ca="1" si="97"/>
        <v>7.1646434906487255E-2</v>
      </c>
      <c r="G490" s="84">
        <f t="shared" ca="1" si="97"/>
        <v>0.95231978891724922</v>
      </c>
      <c r="H490" s="84">
        <f t="shared" ca="1" si="97"/>
        <v>0.11702737410844055</v>
      </c>
      <c r="J490" s="85">
        <f t="shared" ca="1" si="98"/>
        <v>86315788.204775736</v>
      </c>
      <c r="K490" s="86">
        <f ca="1">IF(J490&gt;0,MIN(99,$B$12*Q490/(J490*12*(1-Inputs!$H$16))),99)</f>
        <v>5.0334352603819683</v>
      </c>
      <c r="L490" s="84">
        <f t="shared" ca="1" si="99"/>
        <v>0.96993265881070989</v>
      </c>
      <c r="M490" s="84">
        <f t="shared" ca="1" si="100"/>
        <v>0.98591178575991645</v>
      </c>
      <c r="N490" s="84">
        <f t="shared" ca="1" si="101"/>
        <v>1.0204133779793603</v>
      </c>
      <c r="O490" s="84">
        <f t="shared" ca="1" si="102"/>
        <v>0.9873861365061638</v>
      </c>
      <c r="P490" s="84">
        <f t="shared" ca="1" si="103"/>
        <v>1.6551254694698769</v>
      </c>
      <c r="Q490" s="84">
        <f t="shared" ca="1" si="104"/>
        <v>0.95320139499154988</v>
      </c>
    </row>
    <row r="491" spans="1:17" ht="15" customHeight="1" x14ac:dyDescent="0.2">
      <c r="A491" s="15">
        <v>452</v>
      </c>
      <c r="B491" s="84">
        <f t="shared" ca="1" si="96"/>
        <v>0.58746277768364785</v>
      </c>
      <c r="C491" s="84">
        <f t="shared" ca="1" si="96"/>
        <v>0.30480498581886739</v>
      </c>
      <c r="D491" s="84">
        <f t="shared" ca="1" si="96"/>
        <v>0.82425882458889166</v>
      </c>
      <c r="F491" s="84">
        <f t="shared" ca="1" si="97"/>
        <v>0.43484197343252351</v>
      </c>
      <c r="G491" s="84">
        <f t="shared" ca="1" si="97"/>
        <v>0.29690961583305997</v>
      </c>
      <c r="H491" s="84">
        <f t="shared" ca="1" si="97"/>
        <v>0.56552809361361978</v>
      </c>
      <c r="J491" s="85">
        <f t="shared" ca="1" si="98"/>
        <v>146332225.79927582</v>
      </c>
      <c r="K491" s="86">
        <f ca="1">IF(J491&gt;0,MIN(99,$B$12*Q491/(J491*12*(1-Inputs!$H$16))),99)</f>
        <v>3.506578739776792</v>
      </c>
      <c r="L491" s="84">
        <f t="shared" ca="1" si="99"/>
        <v>1.0368322690444853</v>
      </c>
      <c r="M491" s="84">
        <f t="shared" ca="1" si="100"/>
        <v>1.0156568558782406</v>
      </c>
      <c r="N491" s="84">
        <f t="shared" ca="1" si="101"/>
        <v>1.0413380579829132</v>
      </c>
      <c r="O491" s="84">
        <f t="shared" ca="1" si="102"/>
        <v>1.017115078796307</v>
      </c>
      <c r="P491" s="84">
        <f t="shared" ca="1" si="103"/>
        <v>1.06541626678837</v>
      </c>
      <c r="Q491" s="84">
        <f t="shared" ca="1" si="104"/>
        <v>1.1257799646509954</v>
      </c>
    </row>
    <row r="492" spans="1:17" ht="15" customHeight="1" x14ac:dyDescent="0.2">
      <c r="A492" s="15">
        <v>453</v>
      </c>
      <c r="B492" s="84">
        <f t="shared" ca="1" si="96"/>
        <v>0.83021731480842875</v>
      </c>
      <c r="C492" s="84">
        <f t="shared" ca="1" si="96"/>
        <v>0.22658068120436403</v>
      </c>
      <c r="D492" s="84">
        <f t="shared" ca="1" si="96"/>
        <v>0.66415010855978118</v>
      </c>
      <c r="F492" s="84">
        <f t="shared" ca="1" si="97"/>
        <v>0.52860486767441695</v>
      </c>
      <c r="G492" s="84">
        <f t="shared" ca="1" si="97"/>
        <v>0.93226161388587203</v>
      </c>
      <c r="H492" s="84">
        <f t="shared" ca="1" si="97"/>
        <v>0.51949622382574034</v>
      </c>
      <c r="J492" s="85">
        <f t="shared" ca="1" si="98"/>
        <v>192352057.66699398</v>
      </c>
      <c r="K492" s="86">
        <f ca="1">IF(J492&gt;0,MIN(99,$B$12*Q492/(J492*12*(1-Inputs!$H$16))),99)</f>
        <v>2.6204216635413511</v>
      </c>
      <c r="L492" s="84">
        <f t="shared" ca="1" si="99"/>
        <v>1.1222089033554603</v>
      </c>
      <c r="M492" s="84">
        <f t="shared" ca="1" si="100"/>
        <v>1.0534159550898927</v>
      </c>
      <c r="N492" s="84">
        <f t="shared" ca="1" si="101"/>
        <v>1.0225813702886359</v>
      </c>
      <c r="O492" s="84">
        <f t="shared" ca="1" si="102"/>
        <v>1.0253283967515334</v>
      </c>
      <c r="P492" s="84">
        <f t="shared" ca="1" si="103"/>
        <v>1.6152743690596947</v>
      </c>
      <c r="Q492" s="84">
        <f t="shared" ca="1" si="104"/>
        <v>1.1058544224666647</v>
      </c>
    </row>
    <row r="493" spans="1:17" ht="15" customHeight="1" x14ac:dyDescent="0.2">
      <c r="A493" s="15">
        <v>454</v>
      </c>
      <c r="B493" s="84">
        <f t="shared" ca="1" si="96"/>
        <v>0.29682641109807162</v>
      </c>
      <c r="C493" s="84">
        <f t="shared" ca="1" si="96"/>
        <v>0.72819708014999651</v>
      </c>
      <c r="D493" s="84">
        <f t="shared" ca="1" si="96"/>
        <v>0.12075154479077388</v>
      </c>
      <c r="F493" s="84">
        <f t="shared" ca="1" si="97"/>
        <v>0.63156013183197957</v>
      </c>
      <c r="G493" s="84">
        <f t="shared" ca="1" si="97"/>
        <v>0.91690125697077451</v>
      </c>
      <c r="H493" s="84">
        <f t="shared" ca="1" si="97"/>
        <v>0.5652218129424893</v>
      </c>
      <c r="J493" s="85">
        <f t="shared" ca="1" si="98"/>
        <v>82344645.51158686</v>
      </c>
      <c r="K493" s="86">
        <f ca="1">IF(J493&gt;0,MIN(99,$B$12*Q493/(J493*12*(1-Inputs!$H$16))),99)</f>
        <v>6.2306843506157765</v>
      </c>
      <c r="L493" s="84">
        <f t="shared" ca="1" si="99"/>
        <v>0.95773743800473143</v>
      </c>
      <c r="M493" s="84">
        <f t="shared" ca="1" si="100"/>
        <v>0.98045578047135384</v>
      </c>
      <c r="N493" s="84">
        <f t="shared" ca="1" si="101"/>
        <v>0.97235171869566983</v>
      </c>
      <c r="O493" s="84">
        <f t="shared" ca="1" si="102"/>
        <v>1.0353562946405406</v>
      </c>
      <c r="P493" s="84">
        <f t="shared" ca="1" si="103"/>
        <v>1.5886462370869827</v>
      </c>
      <c r="Q493" s="84">
        <f t="shared" ca="1" si="104"/>
        <v>1.125643987480796</v>
      </c>
    </row>
    <row r="494" spans="1:17" ht="15" customHeight="1" x14ac:dyDescent="0.2">
      <c r="A494" s="15">
        <v>455</v>
      </c>
      <c r="B494" s="84">
        <f t="shared" ca="1" si="96"/>
        <v>0.21358217448813066</v>
      </c>
      <c r="C494" s="84">
        <f t="shared" ca="1" si="96"/>
        <v>0.2711346331925133</v>
      </c>
      <c r="D494" s="84">
        <f t="shared" ca="1" si="96"/>
        <v>0.20056434455103989</v>
      </c>
      <c r="F494" s="84">
        <f t="shared" ca="1" si="97"/>
        <v>6.0162052532928945E-2</v>
      </c>
      <c r="G494" s="84">
        <f t="shared" ca="1" si="97"/>
        <v>0.96502648145516434</v>
      </c>
      <c r="H494" s="84">
        <f t="shared" ca="1" si="97"/>
        <v>0.70099006955036625</v>
      </c>
      <c r="J494" s="85">
        <f t="shared" ca="1" si="98"/>
        <v>66001908.846623257</v>
      </c>
      <c r="K494" s="86">
        <f ca="1">IF(J494&gt;0,MIN(99,$B$12*Q494/(J494*12*(1-Inputs!$H$16))),99)</f>
        <v>8.2284818851754178</v>
      </c>
      <c r="L494" s="84">
        <f t="shared" ca="1" si="99"/>
        <v>0.93000965979549366</v>
      </c>
      <c r="M494" s="84">
        <f t="shared" ca="1" si="100"/>
        <v>0.96805068285511986</v>
      </c>
      <c r="N494" s="84">
        <f t="shared" ca="1" si="101"/>
        <v>0.98200256127465535</v>
      </c>
      <c r="O494" s="84">
        <f t="shared" ca="1" si="102"/>
        <v>0.98592232138355296</v>
      </c>
      <c r="P494" s="84">
        <f t="shared" ca="1" si="103"/>
        <v>1.6849328764009239</v>
      </c>
      <c r="Q494" s="84">
        <f t="shared" ca="1" si="104"/>
        <v>1.1915332194420785</v>
      </c>
    </row>
    <row r="495" spans="1:17" ht="15" customHeight="1" x14ac:dyDescent="0.2">
      <c r="A495" s="15">
        <v>456</v>
      </c>
      <c r="B495" s="84">
        <f t="shared" ca="1" si="96"/>
        <v>5.9291777334624096E-2</v>
      </c>
      <c r="C495" s="84">
        <f t="shared" ca="1" si="96"/>
        <v>0.90573365004914641</v>
      </c>
      <c r="D495" s="84">
        <f t="shared" ca="1" si="96"/>
        <v>0.28576691019600509</v>
      </c>
      <c r="F495" s="84">
        <f t="shared" ca="1" si="97"/>
        <v>0.21652719667183729</v>
      </c>
      <c r="G495" s="84">
        <f t="shared" ca="1" si="97"/>
        <v>3.539959750713384E-2</v>
      </c>
      <c r="H495" s="84">
        <f t="shared" ca="1" si="97"/>
        <v>0.89234137359050614</v>
      </c>
      <c r="J495" s="85">
        <f t="shared" ca="1" si="98"/>
        <v>43762078.207697824</v>
      </c>
      <c r="K495" s="86">
        <f ca="1">IF(J495&gt;0,MIN(99,$B$12*Q495/(J495*12*(1-Inputs!$H$16))),99)</f>
        <v>13.743593840363365</v>
      </c>
      <c r="L495" s="84">
        <f t="shared" ca="1" si="99"/>
        <v>0.85667205733998142</v>
      </c>
      <c r="M495" s="84">
        <f t="shared" ca="1" si="100"/>
        <v>0.93524026037784758</v>
      </c>
      <c r="N495" s="84">
        <f t="shared" ca="1" si="101"/>
        <v>0.99034323983672423</v>
      </c>
      <c r="O495" s="84">
        <f t="shared" ca="1" si="102"/>
        <v>1.0003111355334622</v>
      </c>
      <c r="P495" s="84">
        <f t="shared" ca="1" si="103"/>
        <v>0.89760589411610869</v>
      </c>
      <c r="Q495" s="84">
        <f t="shared" ca="1" si="104"/>
        <v>1.3195571111822233</v>
      </c>
    </row>
    <row r="496" spans="1:17" ht="15" customHeight="1" x14ac:dyDescent="0.2">
      <c r="A496" s="15">
        <v>457</v>
      </c>
      <c r="B496" s="84">
        <f t="shared" ca="1" si="96"/>
        <v>0.25252935350802053</v>
      </c>
      <c r="C496" s="84">
        <f t="shared" ca="1" si="96"/>
        <v>0.8635054592082988</v>
      </c>
      <c r="D496" s="84">
        <f t="shared" ca="1" si="96"/>
        <v>0.21646157340876626</v>
      </c>
      <c r="F496" s="84">
        <f t="shared" ca="1" si="97"/>
        <v>0.4966221836317074</v>
      </c>
      <c r="G496" s="84">
        <f t="shared" ca="1" si="97"/>
        <v>0.54807374856529889</v>
      </c>
      <c r="H496" s="84">
        <f t="shared" ca="1" si="97"/>
        <v>0.69961414904545871</v>
      </c>
      <c r="J496" s="85">
        <f t="shared" ca="1" si="98"/>
        <v>86204773.121913597</v>
      </c>
      <c r="K496" s="86">
        <f ca="1">IF(J496&gt;0,MIN(99,$B$12*Q496/(J496*12*(1-Inputs!$H$16))),99)</f>
        <v>6.2961736084801148</v>
      </c>
      <c r="L496" s="84">
        <f t="shared" ca="1" si="99"/>
        <v>0.943551334226853</v>
      </c>
      <c r="M496" s="84">
        <f t="shared" ca="1" si="100"/>
        <v>0.97410907642494093</v>
      </c>
      <c r="N496" s="84">
        <f t="shared" ca="1" si="101"/>
        <v>0.98367691762255527</v>
      </c>
      <c r="O496" s="84">
        <f t="shared" ca="1" si="102"/>
        <v>1.0224419769503679</v>
      </c>
      <c r="P496" s="84">
        <f t="shared" ca="1" si="103"/>
        <v>1.22350672369238</v>
      </c>
      <c r="Q496" s="84">
        <f t="shared" ca="1" si="104"/>
        <v>1.1907975959956159</v>
      </c>
    </row>
    <row r="497" spans="1:17" ht="15" customHeight="1" x14ac:dyDescent="0.2">
      <c r="A497" s="15">
        <v>458</v>
      </c>
      <c r="B497" s="84">
        <f t="shared" ca="1" si="96"/>
        <v>2.416388918187673E-2</v>
      </c>
      <c r="C497" s="84">
        <f t="shared" ca="1" si="96"/>
        <v>0.74012038858625628</v>
      </c>
      <c r="D497" s="84">
        <f t="shared" ca="1" si="96"/>
        <v>0.76279760135445485</v>
      </c>
      <c r="F497" s="84">
        <f t="shared" ca="1" si="97"/>
        <v>0.90645037074434276</v>
      </c>
      <c r="G497" s="84">
        <f t="shared" ca="1" si="97"/>
        <v>0.17161267154143967</v>
      </c>
      <c r="H497" s="84">
        <f t="shared" ca="1" si="97"/>
        <v>0.18590499178581199</v>
      </c>
      <c r="J497" s="85">
        <f t="shared" ca="1" si="98"/>
        <v>1729572.9639986306</v>
      </c>
      <c r="K497" s="86">
        <f ca="1">IF(J497&gt;0,MIN(99,$B$12*Q497/(J497*12*(1-Inputs!$H$16))),99)</f>
        <v>99</v>
      </c>
      <c r="L497" s="84">
        <f t="shared" ca="1" si="99"/>
        <v>0.82713863762087703</v>
      </c>
      <c r="M497" s="84">
        <f t="shared" ca="1" si="100"/>
        <v>0.92202733896048561</v>
      </c>
      <c r="N497" s="84">
        <f t="shared" ca="1" si="101"/>
        <v>1.0334030496138713</v>
      </c>
      <c r="O497" s="84">
        <f t="shared" ca="1" si="102"/>
        <v>1.0732975876680844</v>
      </c>
      <c r="P497" s="84">
        <f t="shared" ca="1" si="103"/>
        <v>0.99725547519638713</v>
      </c>
      <c r="Q497" s="84">
        <f t="shared" ca="1" si="104"/>
        <v>0.98218897596174914</v>
      </c>
    </row>
    <row r="498" spans="1:17" ht="15" customHeight="1" x14ac:dyDescent="0.2">
      <c r="A498" s="15">
        <v>459</v>
      </c>
      <c r="B498" s="84">
        <f t="shared" ca="1" si="96"/>
        <v>0.61458504962257499</v>
      </c>
      <c r="C498" s="84">
        <f t="shared" ca="1" si="96"/>
        <v>0.2654355043876564</v>
      </c>
      <c r="D498" s="84">
        <f t="shared" ca="1" si="96"/>
        <v>0.45174723561378949</v>
      </c>
      <c r="F498" s="84">
        <f t="shared" ca="1" si="97"/>
        <v>6.4095892127504772E-2</v>
      </c>
      <c r="G498" s="84">
        <f t="shared" ca="1" si="97"/>
        <v>9.6814691641683326E-2</v>
      </c>
      <c r="H498" s="84">
        <f t="shared" ca="1" si="97"/>
        <v>0.23971789529100906</v>
      </c>
      <c r="J498" s="85">
        <f t="shared" ca="1" si="98"/>
        <v>169953236.66941911</v>
      </c>
      <c r="K498" s="86">
        <f ca="1">IF(J498&gt;0,MIN(99,$B$12*Q498/(J498*12*(1-Inputs!$H$16))),99)</f>
        <v>2.6851441966140532</v>
      </c>
      <c r="L498" s="84">
        <f t="shared" ca="1" si="99"/>
        <v>1.0447945359534314</v>
      </c>
      <c r="M498" s="84">
        <f t="shared" ca="1" si="100"/>
        <v>1.0191782880428006</v>
      </c>
      <c r="N498" s="84">
        <f t="shared" ca="1" si="101"/>
        <v>1.0037539281084529</v>
      </c>
      <c r="O498" s="84">
        <f t="shared" ca="1" si="102"/>
        <v>0.98643831695139617</v>
      </c>
      <c r="P498" s="84">
        <f t="shared" ca="1" si="103"/>
        <v>0.95181389282332285</v>
      </c>
      <c r="Q498" s="84">
        <f t="shared" ca="1" si="104"/>
        <v>1.0012141857701633</v>
      </c>
    </row>
    <row r="499" spans="1:17" ht="15" customHeight="1" x14ac:dyDescent="0.2">
      <c r="A499" s="15">
        <v>460</v>
      </c>
      <c r="B499" s="84">
        <f t="shared" ca="1" si="96"/>
        <v>7.3083388708359509E-2</v>
      </c>
      <c r="C499" s="84">
        <f t="shared" ca="1" si="96"/>
        <v>0.74261480741527719</v>
      </c>
      <c r="D499" s="84">
        <f t="shared" ca="1" si="96"/>
        <v>0.39336526190659615</v>
      </c>
      <c r="F499" s="84">
        <f t="shared" ca="1" si="97"/>
        <v>0.19580088266529627</v>
      </c>
      <c r="G499" s="84">
        <f t="shared" ca="1" si="97"/>
        <v>0.47525781832832137</v>
      </c>
      <c r="H499" s="84">
        <f t="shared" ca="1" si="97"/>
        <v>0.56054106326464781</v>
      </c>
      <c r="J499" s="85">
        <f t="shared" ca="1" si="98"/>
        <v>37629408.733430281</v>
      </c>
      <c r="K499" s="86">
        <f ca="1">IF(J499&gt;0,MIN(99,$B$12*Q499/(J499*12*(1-Inputs!$H$16))),99)</f>
        <v>13.609541973265834</v>
      </c>
      <c r="L499" s="84">
        <f t="shared" ca="1" si="99"/>
        <v>0.86567458976852585</v>
      </c>
      <c r="M499" s="84">
        <f t="shared" ca="1" si="100"/>
        <v>0.93926789262182597</v>
      </c>
      <c r="N499" s="84">
        <f t="shared" ca="1" si="101"/>
        <v>0.99925027617099937</v>
      </c>
      <c r="O499" s="84">
        <f t="shared" ca="1" si="102"/>
        <v>0.99881640811422356</v>
      </c>
      <c r="P499" s="84">
        <f t="shared" ca="1" si="103"/>
        <v>1.1739293441317371</v>
      </c>
      <c r="Q499" s="84">
        <f t="shared" ca="1" si="104"/>
        <v>1.1235718377910022</v>
      </c>
    </row>
    <row r="500" spans="1:17" ht="15" customHeight="1" x14ac:dyDescent="0.2">
      <c r="A500" s="15">
        <v>461</v>
      </c>
      <c r="B500" s="84">
        <f t="shared" ref="B500:D519" ca="1" si="105">RAND()</f>
        <v>0.49394199349478862</v>
      </c>
      <c r="C500" s="84">
        <f t="shared" ca="1" si="105"/>
        <v>0.57065395284494924</v>
      </c>
      <c r="D500" s="84">
        <f t="shared" ca="1" si="105"/>
        <v>0.42367407474741248</v>
      </c>
      <c r="F500" s="84">
        <f t="shared" ref="F500:H519" ca="1" si="106">RAND()</f>
        <v>0.35367837008561387</v>
      </c>
      <c r="G500" s="84">
        <f t="shared" ca="1" si="106"/>
        <v>0.43733585901454508</v>
      </c>
      <c r="H500" s="84">
        <f t="shared" ca="1" si="106"/>
        <v>0.94209323154479951</v>
      </c>
      <c r="J500" s="85">
        <f t="shared" ca="1" si="98"/>
        <v>134622250.10421538</v>
      </c>
      <c r="K500" s="86">
        <f ca="1">IF(J500&gt;0,MIN(99,$B$12*Q500/(J500*12*(1-Inputs!$H$16))),99)</f>
        <v>4.641043035670573</v>
      </c>
      <c r="L500" s="84">
        <f t="shared" ca="1" si="99"/>
        <v>1.0112141476605188</v>
      </c>
      <c r="M500" s="84">
        <f t="shared" ca="1" si="100"/>
        <v>1.0043268568128056</v>
      </c>
      <c r="N500" s="84">
        <f t="shared" ca="1" si="101"/>
        <v>1.0015636005152782</v>
      </c>
      <c r="O500" s="84">
        <f t="shared" ca="1" si="102"/>
        <v>1.0105417525833178</v>
      </c>
      <c r="P500" s="84">
        <f t="shared" ca="1" si="103"/>
        <v>1.149473128747982</v>
      </c>
      <c r="Q500" s="84">
        <f t="shared" ca="1" si="104"/>
        <v>1.3707630279336165</v>
      </c>
    </row>
    <row r="501" spans="1:17" ht="15" customHeight="1" x14ac:dyDescent="0.2">
      <c r="A501" s="15">
        <v>462</v>
      </c>
      <c r="B501" s="84">
        <f t="shared" ca="1" si="105"/>
        <v>0.6882784134064428</v>
      </c>
      <c r="C501" s="84">
        <f t="shared" ca="1" si="105"/>
        <v>2.8350147305848505E-2</v>
      </c>
      <c r="D501" s="84">
        <f t="shared" ca="1" si="105"/>
        <v>0.37872244525067145</v>
      </c>
      <c r="F501" s="84">
        <f t="shared" ca="1" si="106"/>
        <v>0.60165347585634721</v>
      </c>
      <c r="G501" s="84">
        <f t="shared" ca="1" si="106"/>
        <v>0.49493270270406697</v>
      </c>
      <c r="H501" s="84">
        <f t="shared" ca="1" si="106"/>
        <v>0.61520003632807385</v>
      </c>
      <c r="J501" s="85">
        <f t="shared" ca="1" si="98"/>
        <v>171864763.79012334</v>
      </c>
      <c r="K501" s="86">
        <f ca="1">IF(J501&gt;0,MIN(99,$B$12*Q501/(J501*12*(1-Inputs!$H$16))),99)</f>
        <v>3.0459047919549032</v>
      </c>
      <c r="L501" s="84">
        <f t="shared" ca="1" si="99"/>
        <v>1.067969282094144</v>
      </c>
      <c r="M501" s="84">
        <f t="shared" ca="1" si="100"/>
        <v>1.0294276676979499</v>
      </c>
      <c r="N501" s="84">
        <f t="shared" ca="1" si="101"/>
        <v>0.99811698920702618</v>
      </c>
      <c r="O501" s="84">
        <f t="shared" ca="1" si="102"/>
        <v>1.0323129499615062</v>
      </c>
      <c r="P501" s="84">
        <f t="shared" ca="1" si="103"/>
        <v>1.1869664718874446</v>
      </c>
      <c r="Q501" s="84">
        <f t="shared" ca="1" si="104"/>
        <v>1.1485055840524427</v>
      </c>
    </row>
    <row r="502" spans="1:17" ht="15" customHeight="1" x14ac:dyDescent="0.2">
      <c r="A502" s="15">
        <v>463</v>
      </c>
      <c r="B502" s="84">
        <f t="shared" ca="1" si="105"/>
        <v>2.5088028824574948E-2</v>
      </c>
      <c r="C502" s="84">
        <f t="shared" ca="1" si="105"/>
        <v>0.53569706083622382</v>
      </c>
      <c r="D502" s="84">
        <f t="shared" ca="1" si="105"/>
        <v>0.27206856288581083</v>
      </c>
      <c r="F502" s="84">
        <f t="shared" ca="1" si="106"/>
        <v>0.37807526061568675</v>
      </c>
      <c r="G502" s="84">
        <f t="shared" ca="1" si="106"/>
        <v>0.89079068464376565</v>
      </c>
      <c r="H502" s="84">
        <f t="shared" ca="1" si="106"/>
        <v>0.64676535088367149</v>
      </c>
      <c r="J502" s="85">
        <f t="shared" ca="1" si="98"/>
        <v>-447070.44672705233</v>
      </c>
      <c r="K502" s="86">
        <f ca="1">IF(J502&gt;0,MIN(99,$B$12*Q502/(J502*12*(1-Inputs!$H$16))),99)</f>
        <v>99</v>
      </c>
      <c r="L502" s="84">
        <f t="shared" ca="1" si="99"/>
        <v>0.82812629521023162</v>
      </c>
      <c r="M502" s="84">
        <f t="shared" ca="1" si="100"/>
        <v>0.92246920591119852</v>
      </c>
      <c r="N502" s="84">
        <f t="shared" ca="1" si="101"/>
        <v>0.98909592263662749</v>
      </c>
      <c r="O502" s="84">
        <f t="shared" ca="1" si="102"/>
        <v>1.0124719005892331</v>
      </c>
      <c r="P502" s="84">
        <f t="shared" ca="1" si="103"/>
        <v>1.5485176598708257</v>
      </c>
      <c r="Q502" s="84">
        <f t="shared" ca="1" si="104"/>
        <v>1.1637177096507889</v>
      </c>
    </row>
    <row r="503" spans="1:17" ht="15" customHeight="1" x14ac:dyDescent="0.2">
      <c r="A503" s="15">
        <v>464</v>
      </c>
      <c r="B503" s="84">
        <f t="shared" ca="1" si="105"/>
        <v>0.58518039545232325</v>
      </c>
      <c r="C503" s="84">
        <f t="shared" ca="1" si="105"/>
        <v>0.60995516282665418</v>
      </c>
      <c r="D503" s="84">
        <f t="shared" ca="1" si="105"/>
        <v>0.45165943789560892</v>
      </c>
      <c r="F503" s="84">
        <f t="shared" ca="1" si="106"/>
        <v>0.54442379593768475</v>
      </c>
      <c r="G503" s="84">
        <f t="shared" ca="1" si="106"/>
        <v>0.76474159375057082</v>
      </c>
      <c r="H503" s="84">
        <f t="shared" ca="1" si="106"/>
        <v>0.86167462697018016</v>
      </c>
      <c r="J503" s="85">
        <f t="shared" ca="1" si="98"/>
        <v>139927885.92837709</v>
      </c>
      <c r="K503" s="86">
        <f ca="1">IF(J503&gt;0,MIN(99,$B$12*Q503/(J503*12*(1-Inputs!$H$16))),99)</f>
        <v>4.2147418423067942</v>
      </c>
      <c r="L503" s="84">
        <f t="shared" ca="1" si="99"/>
        <v>1.0361743405215731</v>
      </c>
      <c r="M503" s="84">
        <f t="shared" ca="1" si="100"/>
        <v>1.0153658771043488</v>
      </c>
      <c r="N503" s="84">
        <f t="shared" ca="1" si="101"/>
        <v>1.0037469916262352</v>
      </c>
      <c r="O503" s="84">
        <f t="shared" ca="1" si="102"/>
        <v>1.0267922501060738</v>
      </c>
      <c r="P503" s="84">
        <f t="shared" ca="1" si="103"/>
        <v>1.4015378658940949</v>
      </c>
      <c r="Q503" s="84">
        <f t="shared" ca="1" si="104"/>
        <v>1.2939133475110911</v>
      </c>
    </row>
    <row r="504" spans="1:17" ht="15" customHeight="1" x14ac:dyDescent="0.2">
      <c r="A504" s="15">
        <v>465</v>
      </c>
      <c r="B504" s="84">
        <f t="shared" ca="1" si="105"/>
        <v>0.94609807369789412</v>
      </c>
      <c r="C504" s="84">
        <f t="shared" ca="1" si="105"/>
        <v>0.38754286442806329</v>
      </c>
      <c r="D504" s="84">
        <f t="shared" ca="1" si="105"/>
        <v>0.31432219477223788</v>
      </c>
      <c r="F504" s="84">
        <f t="shared" ca="1" si="106"/>
        <v>0.23628398809171736</v>
      </c>
      <c r="G504" s="84">
        <f t="shared" ca="1" si="106"/>
        <v>0.19110126687849838</v>
      </c>
      <c r="H504" s="84">
        <f t="shared" ca="1" si="106"/>
        <v>0.12837872025213071</v>
      </c>
      <c r="J504" s="85">
        <f t="shared" ca="1" si="98"/>
        <v>279713271.59541827</v>
      </c>
      <c r="K504" s="86">
        <f ca="1">IF(J504&gt;0,MIN(99,$B$12*Q504/(J504*12*(1-Inputs!$H$16))),99)</f>
        <v>1.5618455767020685</v>
      </c>
      <c r="L504" s="84">
        <f t="shared" ca="1" si="99"/>
        <v>1.1889098445434114</v>
      </c>
      <c r="M504" s="84">
        <f t="shared" ca="1" si="100"/>
        <v>1.082915448436665</v>
      </c>
      <c r="N504" s="84">
        <f t="shared" ca="1" si="101"/>
        <v>0.99285068075634098</v>
      </c>
      <c r="O504" s="84">
        <f t="shared" ca="1" si="102"/>
        <v>1.0017262496585175</v>
      </c>
      <c r="P504" s="84">
        <f t="shared" ca="1" si="103"/>
        <v>1.0075213676657953</v>
      </c>
      <c r="Q504" s="84">
        <f t="shared" ca="1" si="104"/>
        <v>0.95847569885761508</v>
      </c>
    </row>
    <row r="505" spans="1:17" ht="15" customHeight="1" x14ac:dyDescent="0.2">
      <c r="A505" s="15">
        <v>466</v>
      </c>
      <c r="B505" s="84">
        <f t="shared" ca="1" si="105"/>
        <v>0.89656158855870716</v>
      </c>
      <c r="C505" s="84">
        <f t="shared" ca="1" si="105"/>
        <v>0.28166666869465884</v>
      </c>
      <c r="D505" s="84">
        <f t="shared" ca="1" si="105"/>
        <v>0.13218643143080633</v>
      </c>
      <c r="F505" s="84">
        <f t="shared" ca="1" si="106"/>
        <v>0.6577783605071279</v>
      </c>
      <c r="G505" s="84">
        <f t="shared" ca="1" si="106"/>
        <v>0.56748194346581016</v>
      </c>
      <c r="H505" s="84">
        <f t="shared" ca="1" si="106"/>
        <v>0.12303831337575521</v>
      </c>
      <c r="J505" s="85">
        <f t="shared" ca="1" si="98"/>
        <v>242855374.62786084</v>
      </c>
      <c r="K505" s="86">
        <f ca="1">IF(J505&gt;0,MIN(99,$B$12*Q505/(J505*12*(1-Inputs!$H$16))),99)</f>
        <v>1.7942850787767113</v>
      </c>
      <c r="L505" s="84">
        <f t="shared" ca="1" si="99"/>
        <v>1.1557406960728942</v>
      </c>
      <c r="M505" s="84">
        <f t="shared" ca="1" si="100"/>
        <v>1.0682458941965385</v>
      </c>
      <c r="N505" s="84">
        <f t="shared" ca="1" si="101"/>
        <v>0.97389827216202829</v>
      </c>
      <c r="O505" s="84">
        <f t="shared" ca="1" si="102"/>
        <v>1.0381275958655884</v>
      </c>
      <c r="P505" s="84">
        <f t="shared" ca="1" si="103"/>
        <v>1.237384005314031</v>
      </c>
      <c r="Q505" s="84">
        <f t="shared" ca="1" si="104"/>
        <v>0.95602468535432927</v>
      </c>
    </row>
    <row r="506" spans="1:17" ht="15" customHeight="1" x14ac:dyDescent="0.2">
      <c r="A506" s="15">
        <v>467</v>
      </c>
      <c r="B506" s="84">
        <f t="shared" ca="1" si="105"/>
        <v>0.82057853751530041</v>
      </c>
      <c r="C506" s="84">
        <f t="shared" ca="1" si="105"/>
        <v>6.2890509543643391E-2</v>
      </c>
      <c r="D506" s="84">
        <f t="shared" ca="1" si="105"/>
        <v>0.92290283939364948</v>
      </c>
      <c r="F506" s="84">
        <f t="shared" ca="1" si="106"/>
        <v>0.64806320498224457</v>
      </c>
      <c r="G506" s="84">
        <f t="shared" ca="1" si="106"/>
        <v>8.00414825600686E-2</v>
      </c>
      <c r="H506" s="84">
        <f t="shared" ca="1" si="106"/>
        <v>0.61993306023222583</v>
      </c>
      <c r="J506" s="85">
        <f t="shared" ca="1" si="98"/>
        <v>204120929.92405844</v>
      </c>
      <c r="K506" s="86">
        <f ca="1">IF(J506&gt;0,MIN(99,$B$12*Q506/(J506*12*(1-Inputs!$H$16))),99)</f>
        <v>2.5695784038247544</v>
      </c>
      <c r="L506" s="84">
        <f t="shared" ca="1" si="99"/>
        <v>1.1179316992781605</v>
      </c>
      <c r="M506" s="84">
        <f t="shared" ca="1" si="100"/>
        <v>1.0515242973265404</v>
      </c>
      <c r="N506" s="84">
        <f t="shared" ca="1" si="101"/>
        <v>1.0578998524433132</v>
      </c>
      <c r="O506" s="84">
        <f t="shared" ca="1" si="102"/>
        <v>1.0370887073477588</v>
      </c>
      <c r="P506" s="84">
        <f t="shared" ca="1" si="103"/>
        <v>0.93937076874858405</v>
      </c>
      <c r="Q506" s="84">
        <f t="shared" ca="1" si="104"/>
        <v>1.1507456799839533</v>
      </c>
    </row>
    <row r="507" spans="1:17" ht="15" customHeight="1" x14ac:dyDescent="0.2">
      <c r="A507" s="15">
        <v>468</v>
      </c>
      <c r="B507" s="84">
        <f t="shared" ca="1" si="105"/>
        <v>0.77251235923452988</v>
      </c>
      <c r="C507" s="84">
        <f t="shared" ca="1" si="105"/>
        <v>0.77016702548599092</v>
      </c>
      <c r="D507" s="84">
        <f t="shared" ca="1" si="105"/>
        <v>0.78368029087470981</v>
      </c>
      <c r="F507" s="84">
        <f t="shared" ca="1" si="106"/>
        <v>7.7548621054310596E-2</v>
      </c>
      <c r="G507" s="84">
        <f t="shared" ca="1" si="106"/>
        <v>0.11289603053769703</v>
      </c>
      <c r="H507" s="84">
        <f t="shared" ca="1" si="106"/>
        <v>0.84524254659756282</v>
      </c>
      <c r="J507" s="85">
        <f t="shared" ca="1" si="98"/>
        <v>201596884.74714506</v>
      </c>
      <c r="K507" s="86">
        <f ca="1">IF(J507&gt;0,MIN(99,$B$12*Q507/(J507*12*(1-Inputs!$H$16))),99)</f>
        <v>2.8970249401422112</v>
      </c>
      <c r="L507" s="84">
        <f t="shared" ca="1" si="99"/>
        <v>1.098139742719705</v>
      </c>
      <c r="M507" s="84">
        <f t="shared" ca="1" si="100"/>
        <v>1.042771007186742</v>
      </c>
      <c r="N507" s="84">
        <f t="shared" ca="1" si="101"/>
        <v>1.0359691948816614</v>
      </c>
      <c r="O507" s="84">
        <f t="shared" ca="1" si="102"/>
        <v>0.98809271053826953</v>
      </c>
      <c r="P507" s="84">
        <f t="shared" ca="1" si="103"/>
        <v>0.96276518200998507</v>
      </c>
      <c r="Q507" s="84">
        <f t="shared" ca="1" si="104"/>
        <v>1.2813447450898805</v>
      </c>
    </row>
    <row r="508" spans="1:17" ht="15" customHeight="1" x14ac:dyDescent="0.2">
      <c r="A508" s="15">
        <v>469</v>
      </c>
      <c r="B508" s="84">
        <f t="shared" ca="1" si="105"/>
        <v>0.53229022471180509</v>
      </c>
      <c r="C508" s="84">
        <f t="shared" ca="1" si="105"/>
        <v>0.68508686866760771</v>
      </c>
      <c r="D508" s="84">
        <f t="shared" ca="1" si="105"/>
        <v>0.80229383207144045</v>
      </c>
      <c r="F508" s="84">
        <f t="shared" ca="1" si="106"/>
        <v>0.3273494301424057</v>
      </c>
      <c r="G508" s="84">
        <f t="shared" ca="1" si="106"/>
        <v>8.1375422580128975E-2</v>
      </c>
      <c r="H508" s="84">
        <f t="shared" ca="1" si="106"/>
        <v>0.33411379874843794</v>
      </c>
      <c r="J508" s="85">
        <f t="shared" ca="1" si="98"/>
        <v>142089770.81533569</v>
      </c>
      <c r="K508" s="86">
        <f ca="1">IF(J508&gt;0,MIN(99,$B$12*Q508/(J508*12*(1-Inputs!$H$16))),99)</f>
        <v>3.3167049054132227</v>
      </c>
      <c r="L508" s="84">
        <f t="shared" ca="1" si="99"/>
        <v>1.0214056504925104</v>
      </c>
      <c r="M508" s="84">
        <f t="shared" ca="1" si="100"/>
        <v>1.0088342020560876</v>
      </c>
      <c r="N508" s="84">
        <f t="shared" ca="1" si="101"/>
        <v>1.0383630833646447</v>
      </c>
      <c r="O508" s="84">
        <f t="shared" ca="1" si="102"/>
        <v>1.0084991915383037</v>
      </c>
      <c r="P508" s="84">
        <f t="shared" ca="1" si="103"/>
        <v>0.94040543177730296</v>
      </c>
      <c r="Q508" s="84">
        <f t="shared" ca="1" si="104"/>
        <v>1.0339501207666233</v>
      </c>
    </row>
    <row r="509" spans="1:17" ht="15" customHeight="1" x14ac:dyDescent="0.2">
      <c r="A509" s="15">
        <v>470</v>
      </c>
      <c r="B509" s="84">
        <f t="shared" ca="1" si="105"/>
        <v>0.38279338935061147</v>
      </c>
      <c r="C509" s="84">
        <f t="shared" ca="1" si="105"/>
        <v>0.69665830076340263</v>
      </c>
      <c r="D509" s="84">
        <f t="shared" ca="1" si="105"/>
        <v>0.37302383076413603</v>
      </c>
      <c r="F509" s="84">
        <f t="shared" ca="1" si="106"/>
        <v>0.52546073831511675</v>
      </c>
      <c r="G509" s="84">
        <f t="shared" ca="1" si="106"/>
        <v>0.18116505816795536</v>
      </c>
      <c r="H509" s="84">
        <f t="shared" ca="1" si="106"/>
        <v>0.86871681185434768</v>
      </c>
      <c r="J509" s="85">
        <f t="shared" ca="1" si="98"/>
        <v>118239768.90997909</v>
      </c>
      <c r="K509" s="86">
        <f ca="1">IF(J509&gt;0,MIN(99,$B$12*Q509/(J509*12*(1-Inputs!$H$16))),99)</f>
        <v>5.0094726898505009</v>
      </c>
      <c r="L509" s="84">
        <f t="shared" ca="1" si="99"/>
        <v>0.98251929139707417</v>
      </c>
      <c r="M509" s="84">
        <f t="shared" ca="1" si="100"/>
        <v>0.99154290429798597</v>
      </c>
      <c r="N509" s="84">
        <f t="shared" ca="1" si="101"/>
        <v>0.9976700321345966</v>
      </c>
      <c r="O509" s="84">
        <f t="shared" ca="1" si="102"/>
        <v>1.025040386229364</v>
      </c>
      <c r="P509" s="84">
        <f t="shared" ca="1" si="103"/>
        <v>1.0022846469728184</v>
      </c>
      <c r="Q509" s="84">
        <f t="shared" ca="1" si="104"/>
        <v>1.299527657724842</v>
      </c>
    </row>
    <row r="510" spans="1:17" ht="15" customHeight="1" x14ac:dyDescent="0.2">
      <c r="A510" s="15">
        <v>471</v>
      </c>
      <c r="B510" s="84">
        <f t="shared" ca="1" si="105"/>
        <v>0.33029213912901856</v>
      </c>
      <c r="C510" s="84">
        <f t="shared" ca="1" si="105"/>
        <v>0.97246522879699304</v>
      </c>
      <c r="D510" s="84">
        <f t="shared" ca="1" si="105"/>
        <v>0.37768248743130062</v>
      </c>
      <c r="F510" s="84">
        <f t="shared" ca="1" si="106"/>
        <v>0.55143116582505924</v>
      </c>
      <c r="G510" s="84">
        <f t="shared" ca="1" si="106"/>
        <v>0.49884680456092245</v>
      </c>
      <c r="H510" s="84">
        <f t="shared" ca="1" si="106"/>
        <v>0.71729355166734687</v>
      </c>
      <c r="J510" s="85">
        <f t="shared" ca="1" si="98"/>
        <v>100377708.52826922</v>
      </c>
      <c r="K510" s="86">
        <f ca="1">IF(J510&gt;0,MIN(99,$B$12*Q510/(J510*12*(1-Inputs!$H$16))),99)</f>
        <v>5.4506999541765264</v>
      </c>
      <c r="L510" s="84">
        <f t="shared" ca="1" si="99"/>
        <v>0.96776375606429388</v>
      </c>
      <c r="M510" s="84">
        <f t="shared" ca="1" si="100"/>
        <v>0.9849414429475073</v>
      </c>
      <c r="N510" s="84">
        <f t="shared" ca="1" si="101"/>
        <v>0.99803567476051669</v>
      </c>
      <c r="O510" s="84">
        <f t="shared" ca="1" si="102"/>
        <v>1.0274488141705396</v>
      </c>
      <c r="P510" s="84">
        <f t="shared" ca="1" si="103"/>
        <v>1.1895901751930236</v>
      </c>
      <c r="Q510" s="84">
        <f t="shared" ca="1" si="104"/>
        <v>1.2003820556146911</v>
      </c>
    </row>
    <row r="511" spans="1:17" ht="15" customHeight="1" x14ac:dyDescent="0.2">
      <c r="A511" s="15">
        <v>472</v>
      </c>
      <c r="B511" s="84">
        <f t="shared" ca="1" si="105"/>
        <v>0.39196829635083874</v>
      </c>
      <c r="C511" s="84">
        <f t="shared" ca="1" si="105"/>
        <v>0.62505191094071222</v>
      </c>
      <c r="D511" s="84">
        <f t="shared" ca="1" si="105"/>
        <v>0.72869293722038708</v>
      </c>
      <c r="F511" s="84">
        <f t="shared" ca="1" si="106"/>
        <v>0.3431014135714745</v>
      </c>
      <c r="G511" s="84">
        <f t="shared" ca="1" si="106"/>
        <v>0.40779440927272992</v>
      </c>
      <c r="H511" s="84">
        <f t="shared" ca="1" si="106"/>
        <v>0.69208799693578815</v>
      </c>
      <c r="J511" s="85">
        <f t="shared" ca="1" si="98"/>
        <v>110940324.03693365</v>
      </c>
      <c r="K511" s="86">
        <f ca="1">IF(J511&gt;0,MIN(99,$B$12*Q511/(J511*12*(1-Inputs!$H$16))),99)</f>
        <v>4.8759513983652951</v>
      </c>
      <c r="L511" s="84">
        <f t="shared" ca="1" si="99"/>
        <v>0.98499150777940847</v>
      </c>
      <c r="M511" s="84">
        <f t="shared" ca="1" si="100"/>
        <v>0.99264894623614219</v>
      </c>
      <c r="N511" s="84">
        <f t="shared" ca="1" si="101"/>
        <v>1.0294440295213512</v>
      </c>
      <c r="O511" s="84">
        <f t="shared" ca="1" si="102"/>
        <v>1.0097162978775622</v>
      </c>
      <c r="P511" s="84">
        <f t="shared" ca="1" si="103"/>
        <v>1.1309877142973526</v>
      </c>
      <c r="Q511" s="84">
        <f t="shared" ca="1" si="104"/>
        <v>1.1868032844554834</v>
      </c>
    </row>
    <row r="512" spans="1:17" ht="15" customHeight="1" x14ac:dyDescent="0.2">
      <c r="A512" s="15">
        <v>473</v>
      </c>
      <c r="B512" s="84">
        <f t="shared" ca="1" si="105"/>
        <v>2.1682132502525819E-2</v>
      </c>
      <c r="C512" s="84">
        <f t="shared" ca="1" si="105"/>
        <v>0.40325942179947682</v>
      </c>
      <c r="D512" s="84">
        <f t="shared" ca="1" si="105"/>
        <v>0.3772171154395535</v>
      </c>
      <c r="F512" s="84">
        <f t="shared" ca="1" si="106"/>
        <v>0.87898707152968436</v>
      </c>
      <c r="G512" s="84">
        <f t="shared" ca="1" si="106"/>
        <v>6.5540222561532802E-2</v>
      </c>
      <c r="H512" s="84">
        <f t="shared" ca="1" si="106"/>
        <v>5.7149755183206308E-2</v>
      </c>
      <c r="J512" s="85">
        <f t="shared" ca="1" si="98"/>
        <v>9863792.4362335354</v>
      </c>
      <c r="K512" s="86">
        <f ca="1">IF(J512&gt;0,MIN(99,$B$12*Q512/(J512*12*(1-Inputs!$H$16))),99)</f>
        <v>42.497053330262652</v>
      </c>
      <c r="L512" s="84">
        <f t="shared" ca="1" si="99"/>
        <v>0.8243886617204208</v>
      </c>
      <c r="M512" s="84">
        <f t="shared" ca="1" si="100"/>
        <v>0.92079703052285955</v>
      </c>
      <c r="N512" s="84">
        <f t="shared" ca="1" si="101"/>
        <v>0.99799925100492881</v>
      </c>
      <c r="O512" s="84">
        <f t="shared" ca="1" si="102"/>
        <v>1.0680045071492923</v>
      </c>
      <c r="P512" s="84">
        <f t="shared" ca="1" si="103"/>
        <v>0.92751236002765169</v>
      </c>
      <c r="Q512" s="84">
        <f t="shared" ca="1" si="104"/>
        <v>0.91967140669371861</v>
      </c>
    </row>
    <row r="513" spans="1:17" ht="15" customHeight="1" x14ac:dyDescent="0.2">
      <c r="A513" s="15">
        <v>474</v>
      </c>
      <c r="B513" s="84">
        <f t="shared" ca="1" si="105"/>
        <v>0.31432379528660459</v>
      </c>
      <c r="C513" s="84">
        <f t="shared" ca="1" si="105"/>
        <v>0.35205087388221179</v>
      </c>
      <c r="D513" s="84">
        <f t="shared" ca="1" si="105"/>
        <v>0.30777496350111333</v>
      </c>
      <c r="F513" s="84">
        <f t="shared" ca="1" si="106"/>
        <v>0.79957961466957217</v>
      </c>
      <c r="G513" s="84">
        <f t="shared" ca="1" si="106"/>
        <v>4.0194308006226143E-2</v>
      </c>
      <c r="H513" s="84">
        <f t="shared" ca="1" si="106"/>
        <v>0.808828870681499</v>
      </c>
      <c r="J513" s="85">
        <f t="shared" ca="1" si="98"/>
        <v>104454330.18954434</v>
      </c>
      <c r="K513" s="86">
        <f ca="1">IF(J513&gt;0,MIN(99,$B$12*Q513/(J513*12*(1-Inputs!$H$16))),99)</f>
        <v>5.479279604092258</v>
      </c>
      <c r="L513" s="84">
        <f t="shared" ca="1" si="99"/>
        <v>0.9630463426119823</v>
      </c>
      <c r="M513" s="84">
        <f t="shared" ca="1" si="100"/>
        <v>0.98283092497053626</v>
      </c>
      <c r="N513" s="84">
        <f t="shared" ca="1" si="101"/>
        <v>0.99228618114719602</v>
      </c>
      <c r="O513" s="84">
        <f t="shared" ca="1" si="102"/>
        <v>1.0554284266465086</v>
      </c>
      <c r="P513" s="84">
        <f t="shared" ca="1" si="103"/>
        <v>0.90304304210912534</v>
      </c>
      <c r="Q513" s="84">
        <f t="shared" ca="1" si="104"/>
        <v>1.2556825318480078</v>
      </c>
    </row>
    <row r="514" spans="1:17" ht="15" customHeight="1" x14ac:dyDescent="0.2">
      <c r="A514" s="15">
        <v>475</v>
      </c>
      <c r="B514" s="84">
        <f t="shared" ca="1" si="105"/>
        <v>4.0646828340889951E-2</v>
      </c>
      <c r="C514" s="84">
        <f t="shared" ca="1" si="105"/>
        <v>4.0275954464250363E-2</v>
      </c>
      <c r="D514" s="84">
        <f t="shared" ca="1" si="105"/>
        <v>0.10347485573164072</v>
      </c>
      <c r="F514" s="84">
        <f t="shared" ca="1" si="106"/>
        <v>0.23202890836301016</v>
      </c>
      <c r="G514" s="84">
        <f t="shared" ca="1" si="106"/>
        <v>0.34121759819096154</v>
      </c>
      <c r="H514" s="84">
        <f t="shared" ca="1" si="106"/>
        <v>0.49963900981200482</v>
      </c>
      <c r="J514" s="85">
        <f t="shared" ca="1" si="98"/>
        <v>31159928.558849975</v>
      </c>
      <c r="K514" s="86">
        <f ca="1">IF(J514&gt;0,MIN(99,$B$12*Q514/(J514*12*(1-Inputs!$H$16))),99)</f>
        <v>16.054613161734476</v>
      </c>
      <c r="L514" s="84">
        <f t="shared" ca="1" si="99"/>
        <v>0.84262224625336046</v>
      </c>
      <c r="M514" s="84">
        <f t="shared" ca="1" si="100"/>
        <v>0.92895453215599122</v>
      </c>
      <c r="N514" s="84">
        <f t="shared" ca="1" si="101"/>
        <v>0.96986876163217872</v>
      </c>
      <c r="O514" s="84">
        <f t="shared" ca="1" si="102"/>
        <v>1.0014199398172501</v>
      </c>
      <c r="P514" s="84">
        <f t="shared" ca="1" si="103"/>
        <v>1.0909491315894226</v>
      </c>
      <c r="Q514" s="84">
        <f t="shared" ca="1" si="104"/>
        <v>1.0975548680477154</v>
      </c>
    </row>
    <row r="515" spans="1:17" ht="15" customHeight="1" x14ac:dyDescent="0.2">
      <c r="A515" s="15">
        <v>476</v>
      </c>
      <c r="B515" s="84">
        <f t="shared" ca="1" si="105"/>
        <v>0.2369857304151527</v>
      </c>
      <c r="C515" s="84">
        <f t="shared" ca="1" si="105"/>
        <v>0.12674102916973973</v>
      </c>
      <c r="D515" s="84">
        <f t="shared" ca="1" si="105"/>
        <v>0.60072112372281294</v>
      </c>
      <c r="F515" s="84">
        <f t="shared" ca="1" si="106"/>
        <v>8.7346007891000665E-2</v>
      </c>
      <c r="G515" s="84">
        <f t="shared" ca="1" si="106"/>
        <v>0.96961791571306666</v>
      </c>
      <c r="H515" s="84">
        <f t="shared" ca="1" si="106"/>
        <v>2.2936630953640513E-2</v>
      </c>
      <c r="J515" s="85">
        <f t="shared" ca="1" si="98"/>
        <v>63652987.133429036</v>
      </c>
      <c r="K515" s="86">
        <f ca="1">IF(J515&gt;0,MIN(99,$B$12*Q515/(J515*12*(1-Inputs!$H$16))),99)</f>
        <v>6.3812662851913977</v>
      </c>
      <c r="L515" s="84">
        <f t="shared" ca="1" si="99"/>
        <v>0.93828164217604093</v>
      </c>
      <c r="M515" s="84">
        <f t="shared" ca="1" si="100"/>
        <v>0.97175147518460658</v>
      </c>
      <c r="N515" s="84">
        <f t="shared" ca="1" si="101"/>
        <v>1.0164551842364489</v>
      </c>
      <c r="O515" s="84">
        <f t="shared" ca="1" si="102"/>
        <v>0.98920863777719381</v>
      </c>
      <c r="P515" s="84">
        <f t="shared" ca="1" si="103"/>
        <v>1.6970166824067765</v>
      </c>
      <c r="Q515" s="84">
        <f t="shared" ca="1" si="104"/>
        <v>0.89115982267448446</v>
      </c>
    </row>
    <row r="516" spans="1:17" ht="15" customHeight="1" x14ac:dyDescent="0.2">
      <c r="A516" s="15">
        <v>477</v>
      </c>
      <c r="B516" s="84">
        <f t="shared" ca="1" si="105"/>
        <v>0.53708807667324432</v>
      </c>
      <c r="C516" s="84">
        <f t="shared" ca="1" si="105"/>
        <v>0.32173346314083207</v>
      </c>
      <c r="D516" s="84">
        <f t="shared" ca="1" si="105"/>
        <v>0.36304211189574664</v>
      </c>
      <c r="F516" s="84">
        <f t="shared" ca="1" si="106"/>
        <v>0.91295570513698943</v>
      </c>
      <c r="G516" s="84">
        <f t="shared" ca="1" si="106"/>
        <v>0.44625251088336693</v>
      </c>
      <c r="H516" s="84">
        <f t="shared" ca="1" si="106"/>
        <v>0.46592323265873159</v>
      </c>
      <c r="J516" s="85">
        <f t="shared" ca="1" si="98"/>
        <v>132995095.47253372</v>
      </c>
      <c r="K516" s="86">
        <f ca="1">IF(J516&gt;0,MIN(99,$B$12*Q516/(J516*12*(1-Inputs!$H$16))),99)</f>
        <v>3.7144647661206083</v>
      </c>
      <c r="L516" s="84">
        <f t="shared" ca="1" si="99"/>
        <v>1.0227097119240836</v>
      </c>
      <c r="M516" s="84">
        <f t="shared" ca="1" si="100"/>
        <v>1.0094109428162528</v>
      </c>
      <c r="N516" s="84">
        <f t="shared" ca="1" si="101"/>
        <v>0.99687883261463384</v>
      </c>
      <c r="O516" s="84">
        <f t="shared" ca="1" si="102"/>
        <v>1.0746616254214549</v>
      </c>
      <c r="P516" s="84">
        <f t="shared" ca="1" si="103"/>
        <v>1.1551475484504281</v>
      </c>
      <c r="Q516" s="84">
        <f t="shared" ca="1" si="104"/>
        <v>1.0838316026936501</v>
      </c>
    </row>
    <row r="517" spans="1:17" ht="15" customHeight="1" x14ac:dyDescent="0.2">
      <c r="A517" s="15">
        <v>478</v>
      </c>
      <c r="B517" s="84">
        <f t="shared" ca="1" si="105"/>
        <v>4.8252446922471881E-2</v>
      </c>
      <c r="C517" s="84">
        <f t="shared" ca="1" si="105"/>
        <v>0.1839450916226617</v>
      </c>
      <c r="D517" s="84">
        <f t="shared" ca="1" si="105"/>
        <v>0.10690128754396944</v>
      </c>
      <c r="F517" s="84">
        <f t="shared" ca="1" si="106"/>
        <v>0.87200984885475963</v>
      </c>
      <c r="G517" s="84">
        <f t="shared" ca="1" si="106"/>
        <v>0.70220093788630988</v>
      </c>
      <c r="H517" s="84">
        <f t="shared" ca="1" si="106"/>
        <v>0.7775134950096162</v>
      </c>
      <c r="J517" s="85">
        <f t="shared" ca="1" si="98"/>
        <v>14425729.601270869</v>
      </c>
      <c r="K517" s="86">
        <f ca="1">IF(J517&gt;0,MIN(99,$B$12*Q517/(J517*12*(1-Inputs!$H$16))),99)</f>
        <v>39.037324971906784</v>
      </c>
      <c r="L517" s="84">
        <f t="shared" ca="1" si="99"/>
        <v>0.84867767829389096</v>
      </c>
      <c r="M517" s="84">
        <f t="shared" ca="1" si="100"/>
        <v>0.93166366467300721</v>
      </c>
      <c r="N517" s="84">
        <f t="shared" ca="1" si="101"/>
        <v>0.97037678923576043</v>
      </c>
      <c r="O517" s="84">
        <f t="shared" ca="1" si="102"/>
        <v>1.0667586716042412</v>
      </c>
      <c r="P517" s="84">
        <f t="shared" ca="1" si="103"/>
        <v>1.3438406419374285</v>
      </c>
      <c r="Q517" s="84">
        <f t="shared" ca="1" si="104"/>
        <v>1.2355143072240033</v>
      </c>
    </row>
    <row r="518" spans="1:17" ht="15" customHeight="1" x14ac:dyDescent="0.2">
      <c r="A518" s="15">
        <v>479</v>
      </c>
      <c r="B518" s="84">
        <f t="shared" ca="1" si="105"/>
        <v>0.30422001220858375</v>
      </c>
      <c r="C518" s="84">
        <f t="shared" ca="1" si="105"/>
        <v>0.58039653763765875</v>
      </c>
      <c r="D518" s="84">
        <f t="shared" ca="1" si="105"/>
        <v>0.93516035568751021</v>
      </c>
      <c r="F518" s="84">
        <f t="shared" ca="1" si="106"/>
        <v>0.78333005689386725</v>
      </c>
      <c r="G518" s="84">
        <f t="shared" ca="1" si="106"/>
        <v>9.6634362758335923E-2</v>
      </c>
      <c r="H518" s="84">
        <f t="shared" ca="1" si="106"/>
        <v>8.6628428087562659E-2</v>
      </c>
      <c r="J518" s="85">
        <f t="shared" ca="1" si="98"/>
        <v>86771359.563452378</v>
      </c>
      <c r="K518" s="86">
        <f ca="1">IF(J518&gt;0,MIN(99,$B$12*Q518/(J518*12*(1-Inputs!$H$16))),99)</f>
        <v>4.925356289199188</v>
      </c>
      <c r="L518" s="84">
        <f t="shared" ca="1" si="99"/>
        <v>0.95999932803517329</v>
      </c>
      <c r="M518" s="84">
        <f t="shared" ca="1" si="100"/>
        <v>0.9814677247538377</v>
      </c>
      <c r="N518" s="84">
        <f t="shared" ca="1" si="101"/>
        <v>1.0605941143770223</v>
      </c>
      <c r="O518" s="84">
        <f t="shared" ca="1" si="102"/>
        <v>1.0531863689274066</v>
      </c>
      <c r="P518" s="84">
        <f t="shared" ca="1" si="103"/>
        <v>0.95168612677452546</v>
      </c>
      <c r="Q518" s="84">
        <f t="shared" ca="1" si="104"/>
        <v>0.93765698984847212</v>
      </c>
    </row>
    <row r="519" spans="1:17" ht="15" customHeight="1" x14ac:dyDescent="0.2">
      <c r="A519" s="15">
        <v>480</v>
      </c>
      <c r="B519" s="84">
        <f t="shared" ca="1" si="105"/>
        <v>0.75765081569739201</v>
      </c>
      <c r="C519" s="84">
        <f t="shared" ca="1" si="105"/>
        <v>0.71882217893628597</v>
      </c>
      <c r="D519" s="84">
        <f t="shared" ca="1" si="105"/>
        <v>0.482883230108755</v>
      </c>
      <c r="F519" s="84">
        <f t="shared" ca="1" si="106"/>
        <v>0.52601897701439315</v>
      </c>
      <c r="G519" s="84">
        <f t="shared" ca="1" si="106"/>
        <v>0.82014792852350793</v>
      </c>
      <c r="H519" s="84">
        <f t="shared" ca="1" si="106"/>
        <v>0.86546385683282312</v>
      </c>
      <c r="J519" s="85">
        <f t="shared" ca="1" si="98"/>
        <v>179349696.76579285</v>
      </c>
      <c r="K519" s="86">
        <f ca="1">IF(J519&gt;0,MIN(99,$B$12*Q519/(J519*12*(1-Inputs!$H$16))),99)</f>
        <v>3.295954966766216</v>
      </c>
      <c r="L519" s="84">
        <f t="shared" ca="1" si="99"/>
        <v>1.0924540801836189</v>
      </c>
      <c r="M519" s="84">
        <f t="shared" ca="1" si="100"/>
        <v>1.0402564375094918</v>
      </c>
      <c r="N519" s="84">
        <f t="shared" ca="1" si="101"/>
        <v>1.0062498893396068</v>
      </c>
      <c r="O519" s="84">
        <f t="shared" ca="1" si="102"/>
        <v>1.0250914525425778</v>
      </c>
      <c r="P519" s="84">
        <f t="shared" ca="1" si="103"/>
        <v>1.4594913551160089</v>
      </c>
      <c r="Q519" s="84">
        <f t="shared" ca="1" si="104"/>
        <v>1.2969160275182587</v>
      </c>
    </row>
    <row r="520" spans="1:17" ht="15" customHeight="1" x14ac:dyDescent="0.2">
      <c r="A520" s="15">
        <v>481</v>
      </c>
      <c r="B520" s="84">
        <f t="shared" ref="B520:D539" ca="1" si="107">RAND()</f>
        <v>0.34606784026173087</v>
      </c>
      <c r="C520" s="84">
        <f t="shared" ca="1" si="107"/>
        <v>0.11489279338155611</v>
      </c>
      <c r="D520" s="84">
        <f t="shared" ca="1" si="107"/>
        <v>0.56518353753035511</v>
      </c>
      <c r="F520" s="84">
        <f t="shared" ref="F520:H539" ca="1" si="108">RAND()</f>
        <v>0.54969491496046963</v>
      </c>
      <c r="G520" s="84">
        <f t="shared" ca="1" si="108"/>
        <v>0.78371169343111946</v>
      </c>
      <c r="H520" s="84">
        <f t="shared" ca="1" si="108"/>
        <v>0.64608242489786549</v>
      </c>
      <c r="J520" s="85">
        <f t="shared" ca="1" si="98"/>
        <v>91666266.385736182</v>
      </c>
      <c r="K520" s="86">
        <f ca="1">IF(J520&gt;0,MIN(99,$B$12*Q520/(J520*12*(1-Inputs!$H$16))),99)</f>
        <v>5.7847246388071891</v>
      </c>
      <c r="L520" s="84">
        <f t="shared" ca="1" si="99"/>
        <v>0.97231353736995518</v>
      </c>
      <c r="M520" s="84">
        <f t="shared" ca="1" si="100"/>
        <v>0.98697696417835878</v>
      </c>
      <c r="N520" s="84">
        <f t="shared" ca="1" si="101"/>
        <v>1.0132351718723076</v>
      </c>
      <c r="O520" s="84">
        <f t="shared" ca="1" si="102"/>
        <v>1.0272856588860302</v>
      </c>
      <c r="P520" s="84">
        <f t="shared" ca="1" si="103"/>
        <v>1.4205242605763226</v>
      </c>
      <c r="Q520" s="84">
        <f t="shared" ca="1" si="104"/>
        <v>1.1633815574119153</v>
      </c>
    </row>
    <row r="521" spans="1:17" ht="15" customHeight="1" x14ac:dyDescent="0.2">
      <c r="A521" s="15">
        <v>482</v>
      </c>
      <c r="B521" s="84">
        <f t="shared" ca="1" si="107"/>
        <v>0.17715069847989018</v>
      </c>
      <c r="C521" s="84">
        <f t="shared" ca="1" si="107"/>
        <v>8.7535350155312219E-2</v>
      </c>
      <c r="D521" s="84">
        <f t="shared" ca="1" si="107"/>
        <v>0.22155938421267962</v>
      </c>
      <c r="F521" s="84">
        <f t="shared" ca="1" si="108"/>
        <v>9.0959483738213276E-3</v>
      </c>
      <c r="G521" s="84">
        <f t="shared" ca="1" si="108"/>
        <v>0.9914400134235446</v>
      </c>
      <c r="H521" s="84">
        <f t="shared" ca="1" si="108"/>
        <v>0.86539687754799932</v>
      </c>
      <c r="J521" s="85">
        <f t="shared" ca="1" si="98"/>
        <v>54509237.872812912</v>
      </c>
      <c r="K521" s="86">
        <f ca="1">IF(J521&gt;0,MIN(99,$B$12*Q521/(J521*12*(1-Inputs!$H$16))),99)</f>
        <v>10.844109896897615</v>
      </c>
      <c r="L521" s="84">
        <f t="shared" ca="1" si="99"/>
        <v>0.91617171663965713</v>
      </c>
      <c r="M521" s="84">
        <f t="shared" ca="1" si="100"/>
        <v>0.96185974197407731</v>
      </c>
      <c r="N521" s="84">
        <f t="shared" ca="1" si="101"/>
        <v>0.984200726290411</v>
      </c>
      <c r="O521" s="84">
        <f t="shared" ca="1" si="102"/>
        <v>0.97612125172126174</v>
      </c>
      <c r="P521" s="84">
        <f t="shared" ca="1" si="103"/>
        <v>1.7747869706970265</v>
      </c>
      <c r="Q521" s="84">
        <f t="shared" ca="1" si="104"/>
        <v>1.2968625869887094</v>
      </c>
    </row>
    <row r="522" spans="1:17" ht="15" customHeight="1" x14ac:dyDescent="0.2">
      <c r="A522" s="15">
        <v>483</v>
      </c>
      <c r="B522" s="84">
        <f t="shared" ca="1" si="107"/>
        <v>0.62771288925011581</v>
      </c>
      <c r="C522" s="84">
        <f t="shared" ca="1" si="107"/>
        <v>0.75461861604970482</v>
      </c>
      <c r="D522" s="84">
        <f t="shared" ca="1" si="107"/>
        <v>0.19100503268686775</v>
      </c>
      <c r="F522" s="84">
        <f t="shared" ca="1" si="108"/>
        <v>0.93747939210877218</v>
      </c>
      <c r="G522" s="84">
        <f t="shared" ca="1" si="108"/>
        <v>0.86731236866087802</v>
      </c>
      <c r="H522" s="84">
        <f t="shared" ca="1" si="108"/>
        <v>0.27582243118230665</v>
      </c>
      <c r="J522" s="85">
        <f t="shared" ca="1" si="98"/>
        <v>141005099.18980384</v>
      </c>
      <c r="K522" s="86">
        <f ca="1">IF(J522&gt;0,MIN(99,$B$12*Q522/(J522*12*(1-Inputs!$H$16))),99)</f>
        <v>3.2760521853113689</v>
      </c>
      <c r="L522" s="84">
        <f t="shared" ca="1" si="99"/>
        <v>1.0487490823706807</v>
      </c>
      <c r="M522" s="84">
        <f t="shared" ca="1" si="100"/>
        <v>1.0209272456084282</v>
      </c>
      <c r="N522" s="84">
        <f t="shared" ca="1" si="101"/>
        <v>0.9809636374860915</v>
      </c>
      <c r="O522" s="84">
        <f t="shared" ca="1" si="102"/>
        <v>1.0803303221223211</v>
      </c>
      <c r="P522" s="84">
        <f t="shared" ca="1" si="103"/>
        <v>1.5163815479757576</v>
      </c>
      <c r="Q522" s="84">
        <f t="shared" ca="1" si="104"/>
        <v>1.0134809059871572</v>
      </c>
    </row>
    <row r="523" spans="1:17" ht="15" customHeight="1" x14ac:dyDescent="0.2">
      <c r="A523" s="15">
        <v>484</v>
      </c>
      <c r="B523" s="84">
        <f t="shared" ca="1" si="107"/>
        <v>0.5172644543392938</v>
      </c>
      <c r="C523" s="84">
        <f t="shared" ca="1" si="107"/>
        <v>0.5180943383832366</v>
      </c>
      <c r="D523" s="84">
        <f t="shared" ca="1" si="107"/>
        <v>0.80250021061809451</v>
      </c>
      <c r="F523" s="84">
        <f t="shared" ca="1" si="108"/>
        <v>0.66936574396472437</v>
      </c>
      <c r="G523" s="84">
        <f t="shared" ca="1" si="108"/>
        <v>0.94206015155393064</v>
      </c>
      <c r="H523" s="84">
        <f t="shared" ca="1" si="108"/>
        <v>0.3621294503949043</v>
      </c>
      <c r="J523" s="85">
        <f t="shared" ca="1" si="98"/>
        <v>107856573.22833101</v>
      </c>
      <c r="K523" s="86">
        <f ca="1">IF(J523&gt;0,MIN(99,$B$12*Q523/(J523*12*(1-Inputs!$H$16))),99)</f>
        <v>4.4123333101372868</v>
      </c>
      <c r="L523" s="84">
        <f t="shared" ca="1" si="99"/>
        <v>1.0173643318009964</v>
      </c>
      <c r="M523" s="84">
        <f t="shared" ca="1" si="100"/>
        <v>1.007046868148511</v>
      </c>
      <c r="N523" s="84">
        <f t="shared" ca="1" si="101"/>
        <v>1.0383902434837784</v>
      </c>
      <c r="O523" s="84">
        <f t="shared" ca="1" si="102"/>
        <v>1.0393861685649564</v>
      </c>
      <c r="P523" s="84">
        <f t="shared" ca="1" si="103"/>
        <v>1.6338734005317381</v>
      </c>
      <c r="Q523" s="84">
        <f t="shared" ca="1" si="104"/>
        <v>1.0441066726176667</v>
      </c>
    </row>
    <row r="524" spans="1:17" ht="15" customHeight="1" x14ac:dyDescent="0.2">
      <c r="A524" s="15">
        <v>485</v>
      </c>
      <c r="B524" s="84">
        <f t="shared" ca="1" si="107"/>
        <v>0.16933461613855116</v>
      </c>
      <c r="C524" s="84">
        <f t="shared" ca="1" si="107"/>
        <v>0.30384196593353463</v>
      </c>
      <c r="D524" s="84">
        <f t="shared" ca="1" si="107"/>
        <v>0.50831450975087844</v>
      </c>
      <c r="F524" s="84">
        <f t="shared" ca="1" si="108"/>
        <v>0.63505551754000378</v>
      </c>
      <c r="G524" s="84">
        <f t="shared" ca="1" si="108"/>
        <v>0.21647782840607976</v>
      </c>
      <c r="H524" s="84">
        <f t="shared" ca="1" si="108"/>
        <v>0.55890968612372838</v>
      </c>
      <c r="J524" s="85">
        <f t="shared" ca="1" si="98"/>
        <v>66190116.912305161</v>
      </c>
      <c r="K524" s="86">
        <f ca="1">IF(J524&gt;0,MIN(99,$B$12*Q524/(J524*12*(1-Inputs!$H$16))),99)</f>
        <v>7.7321365629363097</v>
      </c>
      <c r="L524" s="84">
        <f t="shared" ca="1" si="99"/>
        <v>0.91302226021764388</v>
      </c>
      <c r="M524" s="84">
        <f t="shared" ca="1" si="100"/>
        <v>0.96045071042245689</v>
      </c>
      <c r="N524" s="84">
        <f t="shared" ca="1" si="101"/>
        <v>1.0083448628963267</v>
      </c>
      <c r="O524" s="84">
        <f t="shared" ca="1" si="102"/>
        <v>1.0357199319009753</v>
      </c>
      <c r="P524" s="84">
        <f t="shared" ca="1" si="103"/>
        <v>1.0210435250064853</v>
      </c>
      <c r="Q524" s="84">
        <f t="shared" ca="1" si="104"/>
        <v>1.1228522289205309</v>
      </c>
    </row>
    <row r="525" spans="1:17" ht="15" customHeight="1" x14ac:dyDescent="0.2">
      <c r="A525" s="15">
        <v>486</v>
      </c>
      <c r="B525" s="84">
        <f t="shared" ca="1" si="107"/>
        <v>5.6116794601943742E-2</v>
      </c>
      <c r="C525" s="84">
        <f t="shared" ca="1" si="107"/>
        <v>0.1131032254661628</v>
      </c>
      <c r="D525" s="84">
        <f t="shared" ca="1" si="107"/>
        <v>0.87933100870323466</v>
      </c>
      <c r="F525" s="84">
        <f t="shared" ca="1" si="108"/>
        <v>0.27497437642598976</v>
      </c>
      <c r="G525" s="84">
        <f t="shared" ca="1" si="108"/>
        <v>0.96093630268801311</v>
      </c>
      <c r="H525" s="84">
        <f t="shared" ca="1" si="108"/>
        <v>0.23065282727143455</v>
      </c>
      <c r="J525" s="85">
        <f t="shared" ca="1" si="98"/>
        <v>1373466.4461583346</v>
      </c>
      <c r="K525" s="86">
        <f ca="1">IF(J525&gt;0,MIN(99,$B$12*Q525/(J525*12*(1-Inputs!$H$16))),99)</f>
        <v>99</v>
      </c>
      <c r="L525" s="84">
        <f t="shared" ca="1" si="99"/>
        <v>0.85445526661410609</v>
      </c>
      <c r="M525" s="84">
        <f t="shared" ca="1" si="100"/>
        <v>0.93424849301943436</v>
      </c>
      <c r="N525" s="84">
        <f t="shared" ca="1" si="101"/>
        <v>1.0497435540478892</v>
      </c>
      <c r="O525" s="84">
        <f t="shared" ca="1" si="102"/>
        <v>1.0045515716755091</v>
      </c>
      <c r="P525" s="84">
        <f t="shared" ca="1" si="103"/>
        <v>1.6748214719905943</v>
      </c>
      <c r="Q525" s="84">
        <f t="shared" ca="1" si="104"/>
        <v>0.99816643733911325</v>
      </c>
    </row>
    <row r="526" spans="1:17" ht="15" customHeight="1" x14ac:dyDescent="0.2">
      <c r="A526" s="15">
        <v>487</v>
      </c>
      <c r="B526" s="84">
        <f t="shared" ca="1" si="107"/>
        <v>9.9038823079755645E-3</v>
      </c>
      <c r="C526" s="84">
        <f t="shared" ca="1" si="107"/>
        <v>0.29051028707084581</v>
      </c>
      <c r="D526" s="84">
        <f t="shared" ca="1" si="107"/>
        <v>3.4416705847784113E-2</v>
      </c>
      <c r="F526" s="84">
        <f t="shared" ca="1" si="108"/>
        <v>0.83446462917422803</v>
      </c>
      <c r="G526" s="84">
        <f t="shared" ca="1" si="108"/>
        <v>0.76356674491939036</v>
      </c>
      <c r="H526" s="84">
        <f t="shared" ca="1" si="108"/>
        <v>0.10298866706198007</v>
      </c>
      <c r="J526" s="85">
        <f t="shared" ca="1" si="98"/>
        <v>-9312099.7056344897</v>
      </c>
      <c r="K526" s="86">
        <f ca="1">IF(J526&gt;0,MIN(99,$B$12*Q526/(J526*12*(1-Inputs!$H$16))),99)</f>
        <v>99</v>
      </c>
      <c r="L526" s="84">
        <f t="shared" ca="1" si="99"/>
        <v>0.80837943617928942</v>
      </c>
      <c r="M526" s="84">
        <f t="shared" ca="1" si="100"/>
        <v>0.91363468220560851</v>
      </c>
      <c r="N526" s="84">
        <f t="shared" ca="1" si="101"/>
        <v>0.95677434389307292</v>
      </c>
      <c r="O526" s="84">
        <f t="shared" ca="1" si="102"/>
        <v>1.0605719115281893</v>
      </c>
      <c r="P526" s="84">
        <f t="shared" ca="1" si="103"/>
        <v>1.4003876441233758</v>
      </c>
      <c r="Q526" s="84">
        <f t="shared" ca="1" si="104"/>
        <v>0.94631066060730351</v>
      </c>
    </row>
    <row r="527" spans="1:17" ht="15" customHeight="1" x14ac:dyDescent="0.2">
      <c r="A527" s="15">
        <v>488</v>
      </c>
      <c r="B527" s="84">
        <f t="shared" ca="1" si="107"/>
        <v>0.87744555729836882</v>
      </c>
      <c r="C527" s="84">
        <f t="shared" ca="1" si="107"/>
        <v>0.43839331218520172</v>
      </c>
      <c r="D527" s="84">
        <f t="shared" ca="1" si="107"/>
        <v>0.55261464016320283</v>
      </c>
      <c r="F527" s="84">
        <f t="shared" ca="1" si="108"/>
        <v>0.67491049127878477</v>
      </c>
      <c r="G527" s="84">
        <f t="shared" ca="1" si="108"/>
        <v>0.17692805471435613</v>
      </c>
      <c r="H527" s="84">
        <f t="shared" ca="1" si="108"/>
        <v>0.70801586738321853</v>
      </c>
      <c r="J527" s="85">
        <f t="shared" ca="1" si="98"/>
        <v>233644113.10949337</v>
      </c>
      <c r="K527" s="86">
        <f ca="1">IF(J527&gt;0,MIN(99,$B$12*Q527/(J527*12*(1-Inputs!$H$16))),99)</f>
        <v>2.3318360369342046</v>
      </c>
      <c r="L527" s="84">
        <f t="shared" ca="1" si="99"/>
        <v>1.1451876898307627</v>
      </c>
      <c r="M527" s="84">
        <f t="shared" ca="1" si="100"/>
        <v>1.0635786686389412</v>
      </c>
      <c r="N527" s="84">
        <f t="shared" ca="1" si="101"/>
        <v>1.0121280305203491</v>
      </c>
      <c r="O527" s="84">
        <f t="shared" ca="1" si="102"/>
        <v>1.0399962152004685</v>
      </c>
      <c r="P527" s="84">
        <f t="shared" ca="1" si="103"/>
        <v>1.0000612691263089</v>
      </c>
      <c r="Q527" s="84">
        <f t="shared" ca="1" si="104"/>
        <v>1.1953161688872123</v>
      </c>
    </row>
    <row r="528" spans="1:17" ht="15" customHeight="1" x14ac:dyDescent="0.2">
      <c r="A528" s="15">
        <v>489</v>
      </c>
      <c r="B528" s="84">
        <f t="shared" ca="1" si="107"/>
        <v>0.63393103302475651</v>
      </c>
      <c r="C528" s="84">
        <f t="shared" ca="1" si="107"/>
        <v>0.88336386125516064</v>
      </c>
      <c r="D528" s="84">
        <f t="shared" ca="1" si="107"/>
        <v>0.83598009242772164</v>
      </c>
      <c r="F528" s="84">
        <f t="shared" ca="1" si="108"/>
        <v>0.66050670131969758</v>
      </c>
      <c r="G528" s="84">
        <f t="shared" ca="1" si="108"/>
        <v>0.99473235054385589</v>
      </c>
      <c r="H528" s="84">
        <f t="shared" ca="1" si="108"/>
        <v>0.42170446339727152</v>
      </c>
      <c r="J528" s="85">
        <f t="shared" ca="1" si="98"/>
        <v>124903030.83565222</v>
      </c>
      <c r="K528" s="86">
        <f ca="1">IF(J528&gt;0,MIN(99,$B$12*Q528/(J528*12*(1-Inputs!$H$16))),99)</f>
        <v>3.891772203187339</v>
      </c>
      <c r="L528" s="84">
        <f t="shared" ca="1" si="99"/>
        <v>1.0506465222932884</v>
      </c>
      <c r="M528" s="84">
        <f t="shared" ca="1" si="100"/>
        <v>1.0217664169210958</v>
      </c>
      <c r="N528" s="84">
        <f t="shared" ca="1" si="101"/>
        <v>1.0430019734524292</v>
      </c>
      <c r="O528" s="84">
        <f t="shared" ca="1" si="102"/>
        <v>1.0384219946015214</v>
      </c>
      <c r="P528" s="84">
        <f t="shared" ca="1" si="103"/>
        <v>1.7937498296998731</v>
      </c>
      <c r="Q528" s="84">
        <f t="shared" ca="1" si="104"/>
        <v>1.0664741425253179</v>
      </c>
    </row>
    <row r="529" spans="1:17" ht="15" customHeight="1" x14ac:dyDescent="0.2">
      <c r="A529" s="15">
        <v>490</v>
      </c>
      <c r="B529" s="84">
        <f t="shared" ca="1" si="107"/>
        <v>0.27750741863042117</v>
      </c>
      <c r="C529" s="84">
        <f t="shared" ca="1" si="107"/>
        <v>0.4934746392033369</v>
      </c>
      <c r="D529" s="84">
        <f t="shared" ca="1" si="107"/>
        <v>0.96761359117427093</v>
      </c>
      <c r="F529" s="84">
        <f t="shared" ca="1" si="108"/>
        <v>0.90256521796433387</v>
      </c>
      <c r="G529" s="84">
        <f t="shared" ca="1" si="108"/>
        <v>7.2068823268479631E-2</v>
      </c>
      <c r="H529" s="84">
        <f t="shared" ca="1" si="108"/>
        <v>0.47624358130016831</v>
      </c>
      <c r="J529" s="85">
        <f t="shared" ca="1" si="98"/>
        <v>76863285.925404593</v>
      </c>
      <c r="K529" s="86">
        <f ca="1">IF(J529&gt;0,MIN(99,$B$12*Q529/(J529*12*(1-Inputs!$H$16))),99)</f>
        <v>6.4516981982389883</v>
      </c>
      <c r="L529" s="84">
        <f t="shared" ca="1" si="99"/>
        <v>0.95169064659998948</v>
      </c>
      <c r="M529" s="84">
        <f t="shared" ca="1" si="100"/>
        <v>0.97775051367807586</v>
      </c>
      <c r="N529" s="84">
        <f t="shared" ca="1" si="101"/>
        <v>1.0693311394555824</v>
      </c>
      <c r="O529" s="84">
        <f t="shared" ca="1" si="102"/>
        <v>1.0725055069018894</v>
      </c>
      <c r="P529" s="84">
        <f t="shared" ca="1" si="103"/>
        <v>0.93299831627906338</v>
      </c>
      <c r="Q529" s="84">
        <f t="shared" ca="1" si="104"/>
        <v>1.0879850596830392</v>
      </c>
    </row>
    <row r="530" spans="1:17" ht="15" customHeight="1" x14ac:dyDescent="0.2">
      <c r="A530" s="15">
        <v>491</v>
      </c>
      <c r="B530" s="84">
        <f t="shared" ca="1" si="107"/>
        <v>0.81572876894861246</v>
      </c>
      <c r="C530" s="84">
        <f t="shared" ca="1" si="107"/>
        <v>0.60529266901616197</v>
      </c>
      <c r="D530" s="84">
        <f t="shared" ca="1" si="107"/>
        <v>0.88957254135226671</v>
      </c>
      <c r="F530" s="84">
        <f t="shared" ca="1" si="108"/>
        <v>0.96451435243012995</v>
      </c>
      <c r="G530" s="84">
        <f t="shared" ca="1" si="108"/>
        <v>0.30274248183045416</v>
      </c>
      <c r="H530" s="84">
        <f t="shared" ca="1" si="108"/>
        <v>0.84333347546505766</v>
      </c>
      <c r="J530" s="85">
        <f t="shared" ca="1" si="98"/>
        <v>190646742.47125065</v>
      </c>
      <c r="K530" s="86">
        <f ca="1">IF(J530&gt;0,MIN(99,$B$12*Q530/(J530*12*(1-Inputs!$H$16))),99)</f>
        <v>3.0600354536218388</v>
      </c>
      <c r="L530" s="84">
        <f t="shared" ca="1" si="99"/>
        <v>1.1158230724333271</v>
      </c>
      <c r="M530" s="84">
        <f t="shared" ca="1" si="100"/>
        <v>1.0505917254246731</v>
      </c>
      <c r="N530" s="84">
        <f t="shared" ca="1" si="101"/>
        <v>1.0515065603406999</v>
      </c>
      <c r="O530" s="84">
        <f t="shared" ca="1" si="102"/>
        <v>1.0880997788610607</v>
      </c>
      <c r="P530" s="84">
        <f t="shared" ca="1" si="103"/>
        <v>1.0687305783003764</v>
      </c>
      <c r="Q530" s="84">
        <f t="shared" ca="1" si="104"/>
        <v>1.2799287331939473</v>
      </c>
    </row>
    <row r="531" spans="1:17" ht="15" customHeight="1" x14ac:dyDescent="0.2">
      <c r="A531" s="15">
        <v>492</v>
      </c>
      <c r="B531" s="84">
        <f t="shared" ca="1" si="107"/>
        <v>0.15180632755335832</v>
      </c>
      <c r="C531" s="84">
        <f t="shared" ca="1" si="107"/>
        <v>0.88966686216182445</v>
      </c>
      <c r="D531" s="84">
        <f t="shared" ca="1" si="107"/>
        <v>0.82398721987361245</v>
      </c>
      <c r="F531" s="84">
        <f t="shared" ca="1" si="108"/>
        <v>6.1985480880109245E-2</v>
      </c>
      <c r="G531" s="84">
        <f t="shared" ca="1" si="108"/>
        <v>0.41762076166810558</v>
      </c>
      <c r="H531" s="84">
        <f t="shared" ca="1" si="108"/>
        <v>0.18052733870067494</v>
      </c>
      <c r="J531" s="85">
        <f t="shared" ca="1" si="98"/>
        <v>58822137.818162635</v>
      </c>
      <c r="K531" s="86">
        <f ca="1">IF(J531&gt;0,MIN(99,$B$12*Q531/(J531*12*(1-Inputs!$H$16))),99)</f>
        <v>7.5948539108006647</v>
      </c>
      <c r="L531" s="84">
        <f t="shared" ca="1" si="99"/>
        <v>0.90568363267736629</v>
      </c>
      <c r="M531" s="84">
        <f t="shared" ca="1" si="100"/>
        <v>0.95716749060154838</v>
      </c>
      <c r="N531" s="84">
        <f t="shared" ca="1" si="101"/>
        <v>1.0413001704182951</v>
      </c>
      <c r="O531" s="84">
        <f t="shared" ca="1" si="102"/>
        <v>0.98616353144894076</v>
      </c>
      <c r="P531" s="84">
        <f t="shared" ca="1" si="103"/>
        <v>1.1370842384345063</v>
      </c>
      <c r="Q531" s="84">
        <f t="shared" ca="1" si="104"/>
        <v>0.98014464224403441</v>
      </c>
    </row>
    <row r="532" spans="1:17" ht="15" customHeight="1" x14ac:dyDescent="0.2">
      <c r="A532" s="15">
        <v>493</v>
      </c>
      <c r="B532" s="84">
        <f t="shared" ca="1" si="107"/>
        <v>0.57713631646635832</v>
      </c>
      <c r="C532" s="84">
        <f t="shared" ca="1" si="107"/>
        <v>0.15256766591805559</v>
      </c>
      <c r="D532" s="84">
        <f t="shared" ca="1" si="107"/>
        <v>0.56266755117193479</v>
      </c>
      <c r="F532" s="84">
        <f t="shared" ca="1" si="108"/>
        <v>2.0151419108467405E-2</v>
      </c>
      <c r="G532" s="84">
        <f t="shared" ca="1" si="108"/>
        <v>0.24879604362276242</v>
      </c>
      <c r="H532" s="84">
        <f t="shared" ca="1" si="108"/>
        <v>0.1897816922555331</v>
      </c>
      <c r="J532" s="85">
        <f t="shared" ca="1" si="98"/>
        <v>157847755.94973552</v>
      </c>
      <c r="K532" s="86">
        <f ca="1">IF(J532&gt;0,MIN(99,$B$12*Q532/(J532*12*(1-Inputs!$H$16))),99)</f>
        <v>2.840336434552392</v>
      </c>
      <c r="L532" s="84">
        <f t="shared" ca="1" si="99"/>
        <v>1.0338698349731503</v>
      </c>
      <c r="M532" s="84">
        <f t="shared" ca="1" si="100"/>
        <v>1.0143466749029626</v>
      </c>
      <c r="N532" s="84">
        <f t="shared" ca="1" si="101"/>
        <v>1.0130122810124644</v>
      </c>
      <c r="O532" s="84">
        <f t="shared" ca="1" si="102"/>
        <v>0.97916689858668204</v>
      </c>
      <c r="P532" s="84">
        <f t="shared" ca="1" si="103"/>
        <v>1.0385857371595502</v>
      </c>
      <c r="Q532" s="84">
        <f t="shared" ca="1" si="104"/>
        <v>0.98364443281460645</v>
      </c>
    </row>
    <row r="533" spans="1:17" ht="15" customHeight="1" x14ac:dyDescent="0.2">
      <c r="A533" s="15">
        <v>494</v>
      </c>
      <c r="B533" s="84">
        <f t="shared" ca="1" si="107"/>
        <v>0.6040091508757135</v>
      </c>
      <c r="C533" s="84">
        <f t="shared" ca="1" si="107"/>
        <v>0.43183969531256194</v>
      </c>
      <c r="D533" s="84">
        <f t="shared" ca="1" si="107"/>
        <v>0.93885246655235155</v>
      </c>
      <c r="F533" s="84">
        <f t="shared" ca="1" si="108"/>
        <v>0.8181845161827761</v>
      </c>
      <c r="G533" s="84">
        <f t="shared" ca="1" si="108"/>
        <v>0.27897529709026003</v>
      </c>
      <c r="H533" s="84">
        <f t="shared" ca="1" si="108"/>
        <v>0.58368475291152033</v>
      </c>
      <c r="J533" s="85">
        <f t="shared" ca="1" si="98"/>
        <v>138848304.15278292</v>
      </c>
      <c r="K533" s="86">
        <f ca="1">IF(J533&gt;0,MIN(99,$B$12*Q533/(J533*12*(1-Inputs!$H$16))),99)</f>
        <v>3.7223317250651844</v>
      </c>
      <c r="L533" s="84">
        <f t="shared" ca="1" si="99"/>
        <v>1.0416574583266278</v>
      </c>
      <c r="M533" s="84">
        <f t="shared" ca="1" si="100"/>
        <v>1.0177908683312942</v>
      </c>
      <c r="N533" s="84">
        <f t="shared" ca="1" si="101"/>
        <v>1.061454785127526</v>
      </c>
      <c r="O533" s="84">
        <f t="shared" ca="1" si="102"/>
        <v>1.0581102380976353</v>
      </c>
      <c r="P533" s="84">
        <f t="shared" ca="1" si="103"/>
        <v>1.0553109645522527</v>
      </c>
      <c r="Q533" s="84">
        <f t="shared" ca="1" si="104"/>
        <v>1.1339283017230328</v>
      </c>
    </row>
    <row r="534" spans="1:17" ht="15" customHeight="1" x14ac:dyDescent="0.2">
      <c r="A534" s="15">
        <v>495</v>
      </c>
      <c r="B534" s="84">
        <f t="shared" ca="1" si="107"/>
        <v>0.38913675044757823</v>
      </c>
      <c r="C534" s="84">
        <f t="shared" ca="1" si="107"/>
        <v>0.36092706696354437</v>
      </c>
      <c r="D534" s="84">
        <f t="shared" ca="1" si="107"/>
        <v>0.87399315429249547</v>
      </c>
      <c r="F534" s="84">
        <f t="shared" ca="1" si="108"/>
        <v>0.26706765373175478</v>
      </c>
      <c r="G534" s="84">
        <f t="shared" ca="1" si="108"/>
        <v>0.92045740424690814</v>
      </c>
      <c r="H534" s="84">
        <f t="shared" ca="1" si="108"/>
        <v>0.17063064200014311</v>
      </c>
      <c r="J534" s="85">
        <f t="shared" ca="1" si="98"/>
        <v>89747201.266291782</v>
      </c>
      <c r="K534" s="86">
        <f ca="1">IF(J534&gt;0,MIN(99,$B$12*Q534/(J534*12*(1-Inputs!$H$16))),99)</f>
        <v>4.9583016440054379</v>
      </c>
      <c r="L534" s="84">
        <f t="shared" ca="1" si="99"/>
        <v>0.98423165254175227</v>
      </c>
      <c r="M534" s="84">
        <f t="shared" ca="1" si="100"/>
        <v>0.9923089955078076</v>
      </c>
      <c r="N534" s="84">
        <f t="shared" ca="1" si="101"/>
        <v>1.0488543371834744</v>
      </c>
      <c r="O534" s="84">
        <f t="shared" ca="1" si="102"/>
        <v>1.003968175659451</v>
      </c>
      <c r="P534" s="84">
        <f t="shared" ca="1" si="103"/>
        <v>1.5945757440483459</v>
      </c>
      <c r="Q534" s="84">
        <f t="shared" ca="1" si="104"/>
        <v>0.97630114715954874</v>
      </c>
    </row>
    <row r="535" spans="1:17" ht="15" customHeight="1" x14ac:dyDescent="0.2">
      <c r="A535" s="15">
        <v>496</v>
      </c>
      <c r="B535" s="84">
        <f t="shared" ca="1" si="107"/>
        <v>0.39288865859564459</v>
      </c>
      <c r="C535" s="84">
        <f t="shared" ca="1" si="107"/>
        <v>0.9665982555792596</v>
      </c>
      <c r="D535" s="84">
        <f t="shared" ca="1" si="107"/>
        <v>0.89202301294619013</v>
      </c>
      <c r="F535" s="84">
        <f t="shared" ca="1" si="108"/>
        <v>0.7375714919000399</v>
      </c>
      <c r="G535" s="84">
        <f t="shared" ca="1" si="108"/>
        <v>0.62592611313874635</v>
      </c>
      <c r="H535" s="84">
        <f t="shared" ca="1" si="108"/>
        <v>0.14153287981838059</v>
      </c>
      <c r="J535" s="85">
        <f t="shared" ca="1" si="98"/>
        <v>94398338.391748056</v>
      </c>
      <c r="K535" s="86">
        <f ca="1">IF(J535&gt;0,MIN(99,$B$12*Q535/(J535*12*(1-Inputs!$H$16))),99)</f>
        <v>4.6560708249678795</v>
      </c>
      <c r="L535" s="84">
        <f t="shared" ca="1" si="99"/>
        <v>0.98523789880040658</v>
      </c>
      <c r="M535" s="84">
        <f t="shared" ca="1" si="100"/>
        <v>0.99275917882110376</v>
      </c>
      <c r="N535" s="84">
        <f t="shared" ca="1" si="101"/>
        <v>1.0519403753929637</v>
      </c>
      <c r="O535" s="84">
        <f t="shared" ca="1" si="102"/>
        <v>1.0472898624100573</v>
      </c>
      <c r="P535" s="84">
        <f t="shared" ca="1" si="103"/>
        <v>1.2811692910794579</v>
      </c>
      <c r="Q535" s="84">
        <f t="shared" ca="1" si="104"/>
        <v>0.96430378002451622</v>
      </c>
    </row>
    <row r="536" spans="1:17" ht="15" customHeight="1" x14ac:dyDescent="0.2">
      <c r="A536" s="15">
        <v>497</v>
      </c>
      <c r="B536" s="84">
        <f t="shared" ca="1" si="107"/>
        <v>0.14383178421554987</v>
      </c>
      <c r="C536" s="84">
        <f t="shared" ca="1" si="107"/>
        <v>0.76074598000673765</v>
      </c>
      <c r="D536" s="84">
        <f t="shared" ca="1" si="107"/>
        <v>0.24501592863673949</v>
      </c>
      <c r="F536" s="84">
        <f t="shared" ca="1" si="108"/>
        <v>0.89781601407815859</v>
      </c>
      <c r="G536" s="84">
        <f t="shared" ca="1" si="108"/>
        <v>0.57562633761935778</v>
      </c>
      <c r="H536" s="84">
        <f t="shared" ca="1" si="108"/>
        <v>0.85268346246989102</v>
      </c>
      <c r="J536" s="85">
        <f t="shared" ca="1" si="98"/>
        <v>48933406.476856157</v>
      </c>
      <c r="K536" s="86">
        <f ca="1">IF(J536&gt;0,MIN(99,$B$12*Q536/(J536*12*(1-Inputs!$H$16))),99)</f>
        <v>11.987426596913588</v>
      </c>
      <c r="L536" s="84">
        <f t="shared" ca="1" si="99"/>
        <v>0.90220485731389877</v>
      </c>
      <c r="M536" s="84">
        <f t="shared" ca="1" si="100"/>
        <v>0.95561112544155913</v>
      </c>
      <c r="N536" s="84">
        <f t="shared" ca="1" si="101"/>
        <v>0.98653670861394072</v>
      </c>
      <c r="O536" s="84">
        <f t="shared" ca="1" si="102"/>
        <v>1.0715584224200008</v>
      </c>
      <c r="P536" s="84">
        <f t="shared" ca="1" si="103"/>
        <v>1.2433000176610227</v>
      </c>
      <c r="Q536" s="84">
        <f t="shared" ca="1" si="104"/>
        <v>1.2869490460563935</v>
      </c>
    </row>
    <row r="537" spans="1:17" ht="15" customHeight="1" x14ac:dyDescent="0.2">
      <c r="A537" s="15">
        <v>498</v>
      </c>
      <c r="B537" s="84">
        <f t="shared" ca="1" si="107"/>
        <v>0.58807252651240849</v>
      </c>
      <c r="C537" s="84">
        <f t="shared" ca="1" si="107"/>
        <v>0.28635461791574246</v>
      </c>
      <c r="D537" s="84">
        <f t="shared" ca="1" si="107"/>
        <v>8.8386560371597644E-2</v>
      </c>
      <c r="F537" s="84">
        <f t="shared" ca="1" si="108"/>
        <v>0.70947763452819446</v>
      </c>
      <c r="G537" s="84">
        <f t="shared" ca="1" si="108"/>
        <v>3.2209215979317141E-2</v>
      </c>
      <c r="H537" s="84">
        <f t="shared" ca="1" si="108"/>
        <v>0.85279715522768051</v>
      </c>
      <c r="J537" s="85">
        <f t="shared" ca="1" si="98"/>
        <v>164940043.80534565</v>
      </c>
      <c r="K537" s="86">
        <f ca="1">IF(J537&gt;0,MIN(99,$B$12*Q537/(J537*12*(1-Inputs!$H$16))),99)</f>
        <v>3.5565962581982582</v>
      </c>
      <c r="L537" s="84">
        <f t="shared" ca="1" si="99"/>
        <v>1.0370083455149239</v>
      </c>
      <c r="M537" s="84">
        <f t="shared" ca="1" si="100"/>
        <v>1.0157347283426423</v>
      </c>
      <c r="N537" s="84">
        <f t="shared" ca="1" si="101"/>
        <v>0.9675244684113341</v>
      </c>
      <c r="O537" s="84">
        <f t="shared" ca="1" si="102"/>
        <v>1.0439228383007755</v>
      </c>
      <c r="P537" s="84">
        <f t="shared" ca="1" si="103"/>
        <v>0.89378121168846059</v>
      </c>
      <c r="Q537" s="84">
        <f t="shared" ca="1" si="104"/>
        <v>1.287035761139331</v>
      </c>
    </row>
    <row r="538" spans="1:17" ht="15" customHeight="1" x14ac:dyDescent="0.2">
      <c r="A538" s="15">
        <v>499</v>
      </c>
      <c r="B538" s="84">
        <f t="shared" ca="1" si="107"/>
        <v>0.46174043383137109</v>
      </c>
      <c r="C538" s="84">
        <f t="shared" ca="1" si="107"/>
        <v>0.99968290861257814</v>
      </c>
      <c r="D538" s="84">
        <f t="shared" ca="1" si="107"/>
        <v>0.54055010244983148</v>
      </c>
      <c r="F538" s="84">
        <f t="shared" ca="1" si="108"/>
        <v>0.53845371968935263</v>
      </c>
      <c r="G538" s="84">
        <f t="shared" ca="1" si="108"/>
        <v>0.69525977166498343</v>
      </c>
      <c r="H538" s="84">
        <f t="shared" ca="1" si="108"/>
        <v>0.95836225084153381</v>
      </c>
      <c r="J538" s="85">
        <f t="shared" ca="1" si="98"/>
        <v>116943937.60758619</v>
      </c>
      <c r="K538" s="86">
        <f ca="1">IF(J538&gt;0,MIN(99,$B$12*Q538/(J538*12*(1-Inputs!$H$16))),99)</f>
        <v>5.4260950956228795</v>
      </c>
      <c r="L538" s="84">
        <f t="shared" ca="1" si="99"/>
        <v>1.002950941284138</v>
      </c>
      <c r="M538" s="84">
        <f t="shared" ca="1" si="100"/>
        <v>1.0006723296474964</v>
      </c>
      <c r="N538" s="84">
        <f t="shared" ca="1" si="101"/>
        <v>1.011079852754005</v>
      </c>
      <c r="O538" s="84">
        <f t="shared" ca="1" si="102"/>
        <v>1.0262368494799525</v>
      </c>
      <c r="P538" s="84">
        <f t="shared" ca="1" si="103"/>
        <v>1.3378278618486026</v>
      </c>
      <c r="Q538" s="84">
        <f t="shared" ca="1" si="104"/>
        <v>1.3921789248680108</v>
      </c>
    </row>
    <row r="539" spans="1:17" ht="15" customHeight="1" x14ac:dyDescent="0.2">
      <c r="A539" s="15">
        <v>500</v>
      </c>
      <c r="B539" s="84">
        <f t="shared" ca="1" si="107"/>
        <v>0.74823897853278187</v>
      </c>
      <c r="C539" s="84">
        <f t="shared" ca="1" si="107"/>
        <v>0.35447951135839906</v>
      </c>
      <c r="D539" s="84">
        <f t="shared" ca="1" si="107"/>
        <v>0.37707220409281139</v>
      </c>
      <c r="F539" s="84">
        <f t="shared" ca="1" si="108"/>
        <v>0.60436657102762248</v>
      </c>
      <c r="G539" s="84">
        <f t="shared" ca="1" si="108"/>
        <v>0.25635753915920478</v>
      </c>
      <c r="H539" s="84">
        <f t="shared" ca="1" si="108"/>
        <v>4.1775386043274576E-2</v>
      </c>
      <c r="J539" s="85">
        <f t="shared" ca="1" si="98"/>
        <v>193111976.82220101</v>
      </c>
      <c r="K539" s="86">
        <f ca="1">IF(J539&gt;0,MIN(99,$B$12*Q539/(J539*12*(1-Inputs!$H$16))),99)</f>
        <v>2.1440385773823234</v>
      </c>
      <c r="L539" s="84">
        <f t="shared" ca="1" si="99"/>
        <v>1.0889431795075963</v>
      </c>
      <c r="M539" s="84">
        <f t="shared" ca="1" si="100"/>
        <v>1.0387036889381986</v>
      </c>
      <c r="N539" s="84">
        <f t="shared" ca="1" si="101"/>
        <v>0.99798790449037567</v>
      </c>
      <c r="O539" s="84">
        <f t="shared" ca="1" si="102"/>
        <v>1.0325842180773015</v>
      </c>
      <c r="P539" s="84">
        <f t="shared" ca="1" si="103"/>
        <v>1.0427442606457793</v>
      </c>
      <c r="Q539" s="84">
        <f t="shared" ca="1" si="104"/>
        <v>0.90838874848692308</v>
      </c>
    </row>
    <row r="540" spans="1:17" ht="15" customHeight="1" x14ac:dyDescent="0.2">
      <c r="A540" s="15">
        <v>501</v>
      </c>
      <c r="B540" s="84">
        <f t="shared" ref="B540:D559" ca="1" si="109">RAND()</f>
        <v>7.4750523155694415E-2</v>
      </c>
      <c r="C540" s="84">
        <f t="shared" ca="1" si="109"/>
        <v>0.24765658020594938</v>
      </c>
      <c r="D540" s="84">
        <f t="shared" ca="1" si="109"/>
        <v>0.11949862578270243</v>
      </c>
      <c r="F540" s="84">
        <f t="shared" ref="F540:H559" ca="1" si="110">RAND()</f>
        <v>0.39942153145181336</v>
      </c>
      <c r="G540" s="84">
        <f t="shared" ca="1" si="110"/>
        <v>0.95707774343040664</v>
      </c>
      <c r="H540" s="84">
        <f t="shared" ca="1" si="110"/>
        <v>0.20776344780119127</v>
      </c>
      <c r="J540" s="85">
        <f t="shared" ca="1" si="98"/>
        <v>22187682.752611026</v>
      </c>
      <c r="K540" s="86">
        <f ca="1">IF(J540&gt;0,MIN(99,$B$12*Q540/(J540*12*(1-Inputs!$H$16))),99)</f>
        <v>20.341590239009776</v>
      </c>
      <c r="L540" s="84">
        <f t="shared" ca="1" si="99"/>
        <v>0.86670296535562863</v>
      </c>
      <c r="M540" s="84">
        <f t="shared" ca="1" si="100"/>
        <v>0.93972797634897842</v>
      </c>
      <c r="N540" s="84">
        <f t="shared" ca="1" si="101"/>
        <v>0.9721778899160719</v>
      </c>
      <c r="O540" s="84">
        <f t="shared" ca="1" si="102"/>
        <v>1.0141919915840965</v>
      </c>
      <c r="P540" s="84">
        <f t="shared" ca="1" si="103"/>
        <v>1.6657578006556548</v>
      </c>
      <c r="Q540" s="84">
        <f t="shared" ca="1" si="104"/>
        <v>0.99020882056118753</v>
      </c>
    </row>
    <row r="541" spans="1:17" ht="15" customHeight="1" x14ac:dyDescent="0.2">
      <c r="A541" s="15">
        <v>502</v>
      </c>
      <c r="B541" s="84">
        <f t="shared" ca="1" si="109"/>
        <v>0.7946735198761905</v>
      </c>
      <c r="C541" s="84">
        <f t="shared" ca="1" si="109"/>
        <v>0.64888318505708664</v>
      </c>
      <c r="D541" s="84">
        <f t="shared" ca="1" si="109"/>
        <v>0.41687461825842198</v>
      </c>
      <c r="F541" s="84">
        <f t="shared" ca="1" si="110"/>
        <v>0.56591449741918676</v>
      </c>
      <c r="G541" s="84">
        <f t="shared" ca="1" si="110"/>
        <v>0.27424005193181566</v>
      </c>
      <c r="H541" s="84">
        <f t="shared" ca="1" si="110"/>
        <v>0.28666050442112256</v>
      </c>
      <c r="J541" s="85">
        <f t="shared" ca="1" si="98"/>
        <v>206433828.36520427</v>
      </c>
      <c r="K541" s="86">
        <f ca="1">IF(J541&gt;0,MIN(99,$B$12*Q541/(J541*12*(1-Inputs!$H$16))),99)</f>
        <v>2.2459764038810679</v>
      </c>
      <c r="L541" s="84">
        <f t="shared" ca="1" si="99"/>
        <v>1.106975028590915</v>
      </c>
      <c r="M541" s="84">
        <f t="shared" ca="1" si="100"/>
        <v>1.0466785451034883</v>
      </c>
      <c r="N541" s="84">
        <f t="shared" ca="1" si="101"/>
        <v>1.0010411698559278</v>
      </c>
      <c r="O541" s="84">
        <f t="shared" ca="1" si="102"/>
        <v>1.0288223045430167</v>
      </c>
      <c r="P541" s="84">
        <f t="shared" ca="1" si="103"/>
        <v>1.0526638699603295</v>
      </c>
      <c r="Q541" s="84">
        <f t="shared" ca="1" si="104"/>
        <v>1.0172225928410019</v>
      </c>
    </row>
    <row r="542" spans="1:17" ht="15" customHeight="1" x14ac:dyDescent="0.2">
      <c r="A542" s="15">
        <v>503</v>
      </c>
      <c r="B542" s="84">
        <f t="shared" ca="1" si="109"/>
        <v>0.32236839397622197</v>
      </c>
      <c r="C542" s="84">
        <f t="shared" ca="1" si="109"/>
        <v>8.4991403283382949E-2</v>
      </c>
      <c r="D542" s="84">
        <f t="shared" ca="1" si="109"/>
        <v>0.26122374269143855</v>
      </c>
      <c r="F542" s="84">
        <f t="shared" ca="1" si="110"/>
        <v>0.67027908862147167</v>
      </c>
      <c r="G542" s="84">
        <f t="shared" ca="1" si="110"/>
        <v>0.10949455471124836</v>
      </c>
      <c r="H542" s="84">
        <f t="shared" ca="1" si="110"/>
        <v>0.25477344326228424</v>
      </c>
      <c r="J542" s="85">
        <f t="shared" ca="1" si="98"/>
        <v>107475093.08259787</v>
      </c>
      <c r="K542" s="86">
        <f ca="1">IF(J542&gt;0,MIN(99,$B$12*Q542/(J542*12*(1-Inputs!$H$16))),99)</f>
        <v>4.2676300565728953</v>
      </c>
      <c r="L542" s="84">
        <f t="shared" ca="1" si="99"/>
        <v>0.9654375076562518</v>
      </c>
      <c r="M542" s="84">
        <f t="shared" ca="1" si="100"/>
        <v>0.98390070544724273</v>
      </c>
      <c r="N542" s="84">
        <f t="shared" ca="1" si="101"/>
        <v>0.98808599278540388</v>
      </c>
      <c r="O542" s="84">
        <f t="shared" ca="1" si="102"/>
        <v>1.0394863030948103</v>
      </c>
      <c r="P542" s="84">
        <f t="shared" ca="1" si="103"/>
        <v>0.96051739415566284</v>
      </c>
      <c r="Q542" s="84">
        <f t="shared" ca="1" si="104"/>
        <v>1.0062931966379964</v>
      </c>
    </row>
    <row r="543" spans="1:17" ht="15" customHeight="1" x14ac:dyDescent="0.2">
      <c r="A543" s="15">
        <v>504</v>
      </c>
      <c r="B543" s="84">
        <f t="shared" ca="1" si="109"/>
        <v>0.42981790932404129</v>
      </c>
      <c r="C543" s="84">
        <f t="shared" ca="1" si="109"/>
        <v>0.61907324969171662</v>
      </c>
      <c r="D543" s="84">
        <f t="shared" ca="1" si="109"/>
        <v>0.72013690425541677</v>
      </c>
      <c r="F543" s="84">
        <f t="shared" ca="1" si="110"/>
        <v>7.9903068285279488E-2</v>
      </c>
      <c r="G543" s="84">
        <f t="shared" ca="1" si="110"/>
        <v>0.48932017934202943</v>
      </c>
      <c r="H543" s="84">
        <f t="shared" ca="1" si="110"/>
        <v>0.67931233066620134</v>
      </c>
      <c r="J543" s="85">
        <f t="shared" ca="1" si="98"/>
        <v>119671051.39072122</v>
      </c>
      <c r="K543" s="86">
        <f ca="1">IF(J543&gt;0,MIN(99,$B$12*Q543/(J543*12*(1-Inputs!$H$16))),99)</f>
        <v>4.4948162712806496</v>
      </c>
      <c r="L543" s="84">
        <f t="shared" ca="1" si="99"/>
        <v>0.99489660024419346</v>
      </c>
      <c r="M543" s="84">
        <f t="shared" ca="1" si="100"/>
        <v>0.99708037373805958</v>
      </c>
      <c r="N543" s="84">
        <f t="shared" ca="1" si="101"/>
        <v>1.0284905276901601</v>
      </c>
      <c r="O543" s="84">
        <f t="shared" ca="1" si="102"/>
        <v>0.98836703492384304</v>
      </c>
      <c r="P543" s="84">
        <f t="shared" ca="1" si="103"/>
        <v>1.1832219585941071</v>
      </c>
      <c r="Q543" s="84">
        <f t="shared" ca="1" si="104"/>
        <v>1.1801331024272679</v>
      </c>
    </row>
    <row r="544" spans="1:17" ht="15" customHeight="1" x14ac:dyDescent="0.2">
      <c r="A544" s="15">
        <v>505</v>
      </c>
      <c r="B544" s="84">
        <f t="shared" ca="1" si="109"/>
        <v>0.13647780336895599</v>
      </c>
      <c r="C544" s="84">
        <f t="shared" ca="1" si="109"/>
        <v>0.41707013743758881</v>
      </c>
      <c r="D544" s="84">
        <f t="shared" ca="1" si="109"/>
        <v>0.68434488748141442</v>
      </c>
      <c r="F544" s="84">
        <f t="shared" ca="1" si="110"/>
        <v>0.69844187212570907</v>
      </c>
      <c r="G544" s="84">
        <f t="shared" ca="1" si="110"/>
        <v>7.4076169252262902E-2</v>
      </c>
      <c r="H544" s="84">
        <f t="shared" ca="1" si="110"/>
        <v>0.66301351721221069</v>
      </c>
      <c r="J544" s="85">
        <f t="shared" ca="1" si="98"/>
        <v>55877396.031512722</v>
      </c>
      <c r="K544" s="86">
        <f ca="1">IF(J544&gt;0,MIN(99,$B$12*Q544/(J544*12*(1-Inputs!$H$16))),99)</f>
        <v>9.5585583440441546</v>
      </c>
      <c r="L544" s="84">
        <f t="shared" ca="1" si="99"/>
        <v>0.89891026139512231</v>
      </c>
      <c r="M544" s="84">
        <f t="shared" ca="1" si="100"/>
        <v>0.95413716010362049</v>
      </c>
      <c r="N544" s="84">
        <f t="shared" ca="1" si="101"/>
        <v>1.0246515652695041</v>
      </c>
      <c r="O544" s="84">
        <f t="shared" ca="1" si="102"/>
        <v>1.0426450212335008</v>
      </c>
      <c r="P544" s="84">
        <f t="shared" ca="1" si="103"/>
        <v>0.93463465774361176</v>
      </c>
      <c r="Q544" s="84">
        <f t="shared" ca="1" si="104"/>
        <v>1.1718134970566569</v>
      </c>
    </row>
    <row r="545" spans="1:17" ht="15" customHeight="1" x14ac:dyDescent="0.2">
      <c r="A545" s="15">
        <v>506</v>
      </c>
      <c r="B545" s="84">
        <f t="shared" ca="1" si="109"/>
        <v>0.64496783105095479</v>
      </c>
      <c r="C545" s="84">
        <f t="shared" ca="1" si="109"/>
        <v>0.74523999528068718</v>
      </c>
      <c r="D545" s="84">
        <f t="shared" ca="1" si="109"/>
        <v>0.4338977203097556</v>
      </c>
      <c r="F545" s="84">
        <f t="shared" ca="1" si="110"/>
        <v>0.19666123869323771</v>
      </c>
      <c r="G545" s="84">
        <f t="shared" ca="1" si="110"/>
        <v>0.50582162972278266</v>
      </c>
      <c r="H545" s="84">
        <f t="shared" ca="1" si="110"/>
        <v>0.62334535447783701</v>
      </c>
      <c r="J545" s="85">
        <f t="shared" ca="1" si="98"/>
        <v>165852902.49452144</v>
      </c>
      <c r="K545" s="86">
        <f ca="1">IF(J545&gt;0,MIN(99,$B$12*Q545/(J545*12*(1-Inputs!$H$16))),99)</f>
        <v>3.1669315870826011</v>
      </c>
      <c r="L545" s="84">
        <f t="shared" ca="1" si="99"/>
        <v>1.0540544790440554</v>
      </c>
      <c r="M545" s="84">
        <f t="shared" ca="1" si="100"/>
        <v>1.0232736369948285</v>
      </c>
      <c r="N545" s="84">
        <f t="shared" ca="1" si="101"/>
        <v>1.0023549612928351</v>
      </c>
      <c r="O545" s="84">
        <f t="shared" ca="1" si="102"/>
        <v>0.99887989975780167</v>
      </c>
      <c r="P545" s="84">
        <f t="shared" ca="1" si="103"/>
        <v>1.1942910692056523</v>
      </c>
      <c r="Q545" s="84">
        <f t="shared" ca="1" si="104"/>
        <v>1.152369351947363</v>
      </c>
    </row>
    <row r="546" spans="1:17" ht="15" customHeight="1" x14ac:dyDescent="0.2">
      <c r="A546" s="15">
        <v>507</v>
      </c>
      <c r="B546" s="84">
        <f t="shared" ca="1" si="109"/>
        <v>8.8169926590854208E-3</v>
      </c>
      <c r="C546" s="84">
        <f t="shared" ca="1" si="109"/>
        <v>0.81687464489173578</v>
      </c>
      <c r="D546" s="84">
        <f t="shared" ca="1" si="109"/>
        <v>0.58536848086610993</v>
      </c>
      <c r="F546" s="84">
        <f t="shared" ca="1" si="110"/>
        <v>0.25230248459114279</v>
      </c>
      <c r="G546" s="84">
        <f t="shared" ca="1" si="110"/>
        <v>0.42254574136310141</v>
      </c>
      <c r="H546" s="84">
        <f t="shared" ca="1" si="110"/>
        <v>0.85982317696511912</v>
      </c>
      <c r="J546" s="85">
        <f t="shared" ca="1" si="98"/>
        <v>-1119467.8085993826</v>
      </c>
      <c r="K546" s="86">
        <f ca="1">IF(J546&gt;0,MIN(99,$B$12*Q546/(J546*12*(1-Inputs!$H$16))),99)</f>
        <v>99</v>
      </c>
      <c r="L546" s="84">
        <f t="shared" ca="1" si="99"/>
        <v>0.8064946292905173</v>
      </c>
      <c r="M546" s="84">
        <f t="shared" ca="1" si="100"/>
        <v>0.91279144070004936</v>
      </c>
      <c r="N546" s="84">
        <f t="shared" ca="1" si="101"/>
        <v>1.0150472154890933</v>
      </c>
      <c r="O546" s="84">
        <f t="shared" ca="1" si="102"/>
        <v>1.0028870941727588</v>
      </c>
      <c r="P546" s="84">
        <f t="shared" ca="1" si="103"/>
        <v>1.140159173551389</v>
      </c>
      <c r="Q546" s="84">
        <f t="shared" ca="1" si="104"/>
        <v>1.2924611728599493</v>
      </c>
    </row>
    <row r="547" spans="1:17" ht="15" customHeight="1" x14ac:dyDescent="0.2">
      <c r="A547" s="15">
        <v>508</v>
      </c>
      <c r="B547" s="84">
        <f t="shared" ca="1" si="109"/>
        <v>0.16211588614506334</v>
      </c>
      <c r="C547" s="84">
        <f t="shared" ca="1" si="109"/>
        <v>0.96948709566822777</v>
      </c>
      <c r="D547" s="84">
        <f t="shared" ca="1" si="109"/>
        <v>0.54943122738366001</v>
      </c>
      <c r="F547" s="84">
        <f t="shared" ca="1" si="110"/>
        <v>0.38067434304168757</v>
      </c>
      <c r="G547" s="84">
        <f t="shared" ca="1" si="110"/>
        <v>0.51027246417816219</v>
      </c>
      <c r="H547" s="84">
        <f t="shared" ca="1" si="110"/>
        <v>0.38092354250359084</v>
      </c>
      <c r="J547" s="85">
        <f t="shared" ca="1" si="98"/>
        <v>60728636.66618301</v>
      </c>
      <c r="K547" s="86">
        <f ca="1">IF(J547&gt;0,MIN(99,$B$12*Q547/(J547*12*(1-Inputs!$H$16))),99)</f>
        <v>7.8885665741799142</v>
      </c>
      <c r="L547" s="84">
        <f t="shared" ca="1" si="99"/>
        <v>0.91004827726157644</v>
      </c>
      <c r="M547" s="84">
        <f t="shared" ca="1" si="100"/>
        <v>0.95912018373544161</v>
      </c>
      <c r="N547" s="84">
        <f t="shared" ca="1" si="101"/>
        <v>1.011850094132994</v>
      </c>
      <c r="O547" s="84">
        <f t="shared" ca="1" si="102"/>
        <v>1.012679740260966</v>
      </c>
      <c r="P547" s="84">
        <f t="shared" ca="1" si="103"/>
        <v>1.1973081999159483</v>
      </c>
      <c r="Q547" s="84">
        <f t="shared" ca="1" si="104"/>
        <v>1.0510456229638176</v>
      </c>
    </row>
    <row r="548" spans="1:17" ht="15" customHeight="1" x14ac:dyDescent="0.2">
      <c r="A548" s="15">
        <v>509</v>
      </c>
      <c r="B548" s="84">
        <f t="shared" ca="1" si="109"/>
        <v>0.26610997778804346</v>
      </c>
      <c r="C548" s="84">
        <f t="shared" ca="1" si="109"/>
        <v>0.71138029107356848</v>
      </c>
      <c r="D548" s="84">
        <f t="shared" ca="1" si="109"/>
        <v>0.53974151088834399</v>
      </c>
      <c r="F548" s="84">
        <f t="shared" ca="1" si="110"/>
        <v>0.18992182791768031</v>
      </c>
      <c r="G548" s="84">
        <f t="shared" ca="1" si="110"/>
        <v>0.63867357049082329</v>
      </c>
      <c r="H548" s="84">
        <f t="shared" ca="1" si="110"/>
        <v>2.6508597827085145E-3</v>
      </c>
      <c r="J548" s="85">
        <f t="shared" ca="1" si="98"/>
        <v>85152230.829260573</v>
      </c>
      <c r="K548" s="86">
        <f ca="1">IF(J548&gt;0,MIN(99,$B$12*Q548/(J548*12*(1-Inputs!$H$16))),99)</f>
        <v>4.5959958169022865</v>
      </c>
      <c r="L548" s="84">
        <f t="shared" ca="1" si="99"/>
        <v>0.9480241962881345</v>
      </c>
      <c r="M548" s="84">
        <f t="shared" ca="1" si="100"/>
        <v>0.97611018484680723</v>
      </c>
      <c r="N548" s="84">
        <f t="shared" ca="1" si="101"/>
        <v>1.011010096520861</v>
      </c>
      <c r="O548" s="84">
        <f t="shared" ca="1" si="102"/>
        <v>0.99837876561628081</v>
      </c>
      <c r="P548" s="84">
        <f t="shared" ca="1" si="103"/>
        <v>1.2911648326956229</v>
      </c>
      <c r="Q548" s="84">
        <f t="shared" ca="1" si="104"/>
        <v>0.85862908644156666</v>
      </c>
    </row>
    <row r="549" spans="1:17" ht="15" customHeight="1" x14ac:dyDescent="0.2">
      <c r="A549" s="15">
        <v>510</v>
      </c>
      <c r="B549" s="84">
        <f t="shared" ca="1" si="109"/>
        <v>1.9346255284264258E-2</v>
      </c>
      <c r="C549" s="84">
        <f t="shared" ca="1" si="109"/>
        <v>0.98621786263667566</v>
      </c>
      <c r="D549" s="84">
        <f t="shared" ca="1" si="109"/>
        <v>0.30844408410452651</v>
      </c>
      <c r="F549" s="84">
        <f t="shared" ca="1" si="110"/>
        <v>0.68393602832056866</v>
      </c>
      <c r="G549" s="84">
        <f t="shared" ca="1" si="110"/>
        <v>0.52185091260194394</v>
      </c>
      <c r="H549" s="84">
        <f t="shared" ca="1" si="110"/>
        <v>8.6640636434686114E-2</v>
      </c>
      <c r="J549" s="85">
        <f t="shared" ca="1" si="98"/>
        <v>3208006.2032760829</v>
      </c>
      <c r="K549" s="86">
        <f ca="1">IF(J549&gt;0,MIN(99,$B$12*Q549/(J549*12*(1-Inputs!$H$16))),99)</f>
        <v>99</v>
      </c>
      <c r="L549" s="84">
        <f t="shared" ca="1" si="99"/>
        <v>0.82165247817082954</v>
      </c>
      <c r="M549" s="84">
        <f t="shared" ca="1" si="100"/>
        <v>0.91957289262863384</v>
      </c>
      <c r="N549" s="84">
        <f t="shared" ca="1" si="101"/>
        <v>0.99234414616406863</v>
      </c>
      <c r="O549" s="84">
        <f t="shared" ca="1" si="102"/>
        <v>1.0410004624858722</v>
      </c>
      <c r="P549" s="84">
        <f t="shared" ca="1" si="103"/>
        <v>1.2052218435849151</v>
      </c>
      <c r="Q549" s="84">
        <f t="shared" ca="1" si="104"/>
        <v>0.93766373886610532</v>
      </c>
    </row>
    <row r="550" spans="1:17" ht="15" customHeight="1" x14ac:dyDescent="0.2">
      <c r="A550" s="15">
        <v>511</v>
      </c>
      <c r="B550" s="84">
        <f t="shared" ca="1" si="109"/>
        <v>0.29555203487048087</v>
      </c>
      <c r="C550" s="84">
        <f t="shared" ca="1" si="109"/>
        <v>0.16378148257971747</v>
      </c>
      <c r="D550" s="84">
        <f t="shared" ca="1" si="109"/>
        <v>0.63401841384426183</v>
      </c>
      <c r="F550" s="84">
        <f t="shared" ca="1" si="110"/>
        <v>0.25169624113795075</v>
      </c>
      <c r="G550" s="84">
        <f t="shared" ca="1" si="110"/>
        <v>0.62310070255833494</v>
      </c>
      <c r="H550" s="84">
        <f t="shared" ca="1" si="110"/>
        <v>0.41044712332248956</v>
      </c>
      <c r="J550" s="85">
        <f t="shared" ca="1" si="98"/>
        <v>89461603.359868661</v>
      </c>
      <c r="K550" s="86">
        <f ca="1">IF(J550&gt;0,MIN(99,$B$12*Q550/(J550*12*(1-Inputs!$H$16))),99)</f>
        <v>5.4115820760022677</v>
      </c>
      <c r="L550" s="84">
        <f t="shared" ca="1" si="99"/>
        <v>0.95734473922471441</v>
      </c>
      <c r="M550" s="84">
        <f t="shared" ca="1" si="100"/>
        <v>0.98028009143261707</v>
      </c>
      <c r="N550" s="84">
        <f t="shared" ca="1" si="101"/>
        <v>1.0196050057792234</v>
      </c>
      <c r="O550" s="84">
        <f t="shared" ca="1" si="102"/>
        <v>1.0028429352016368</v>
      </c>
      <c r="P550" s="84">
        <f t="shared" ca="1" si="103"/>
        <v>1.2789769986825541</v>
      </c>
      <c r="Q550" s="84">
        <f t="shared" ca="1" si="104"/>
        <v>1.0621622654834366</v>
      </c>
    </row>
    <row r="551" spans="1:17" ht="15" customHeight="1" x14ac:dyDescent="0.2">
      <c r="A551" s="15">
        <v>512</v>
      </c>
      <c r="B551" s="84">
        <f t="shared" ca="1" si="109"/>
        <v>0.29603706037581068</v>
      </c>
      <c r="C551" s="84">
        <f t="shared" ca="1" si="109"/>
        <v>0.19501026379569053</v>
      </c>
      <c r="D551" s="84">
        <f t="shared" ca="1" si="109"/>
        <v>2.2116167415412114E-2</v>
      </c>
      <c r="F551" s="84">
        <f t="shared" ca="1" si="110"/>
        <v>0.31365792269027282</v>
      </c>
      <c r="G551" s="84">
        <f t="shared" ca="1" si="110"/>
        <v>0.57979019654581809</v>
      </c>
      <c r="H551" s="84">
        <f t="shared" ca="1" si="110"/>
        <v>0.38371947611977264</v>
      </c>
      <c r="J551" s="85">
        <f t="shared" ca="1" si="98"/>
        <v>103702185.8515868</v>
      </c>
      <c r="K551" s="86">
        <f ca="1">IF(J551&gt;0,MIN(99,$B$12*Q551/(J551*12*(1-Inputs!$H$16))),99)</f>
        <v>4.6241694966840656</v>
      </c>
      <c r="L551" s="84">
        <f t="shared" ca="1" si="99"/>
        <v>0.95749429934186625</v>
      </c>
      <c r="M551" s="84">
        <f t="shared" ca="1" si="100"/>
        <v>0.98034700295501764</v>
      </c>
      <c r="N551" s="84">
        <f t="shared" ca="1" si="101"/>
        <v>0.95323502609178212</v>
      </c>
      <c r="O551" s="84">
        <f t="shared" ca="1" si="102"/>
        <v>1.0074528196073598</v>
      </c>
      <c r="P551" s="84">
        <f t="shared" ca="1" si="103"/>
        <v>1.2463465402019029</v>
      </c>
      <c r="Q551" s="84">
        <f t="shared" ca="1" si="104"/>
        <v>1.0520868601550681</v>
      </c>
    </row>
    <row r="552" spans="1:17" ht="15" customHeight="1" x14ac:dyDescent="0.2">
      <c r="A552" s="15">
        <v>513</v>
      </c>
      <c r="B552" s="84">
        <f t="shared" ca="1" si="109"/>
        <v>0.50266857598304771</v>
      </c>
      <c r="C552" s="84">
        <f t="shared" ca="1" si="109"/>
        <v>0.96799927492443427</v>
      </c>
      <c r="D552" s="84">
        <f t="shared" ca="1" si="109"/>
        <v>0.97045606375788862</v>
      </c>
      <c r="F552" s="84">
        <f t="shared" ca="1" si="110"/>
        <v>0.77165349334229649</v>
      </c>
      <c r="G552" s="84">
        <f t="shared" ca="1" si="110"/>
        <v>0.43664388982198488</v>
      </c>
      <c r="H552" s="84">
        <f t="shared" ca="1" si="110"/>
        <v>0.66793378127593317</v>
      </c>
      <c r="J552" s="85">
        <f t="shared" ref="J552:J615" ca="1" si="111">$B$5*L552*M552-$B$6*L552*N552-$B$7*L552*M552-$B$8*L552*M552-$B$9*O552-$B$10*P552-$B$11</f>
        <v>114430474.37914501</v>
      </c>
      <c r="K552" s="86">
        <f ca="1">IF(J552&gt;0,MIN(99,$B$12*Q552/(J552*12*(1-Inputs!$H$16))),99)</f>
        <v>4.6774448255899621</v>
      </c>
      <c r="L552" s="84">
        <f t="shared" ref="L552:L615" ca="1" si="112">IF($D$16=$B$16,$C$16,IF(B552&lt;($C$16-$B$16)/($D$16-$B$16),$B$16+SQRT(B552*($D$16-$B$16)*($C$16-$B$16)),$D$16-SQRT((1-B552)*($D$16-$B$16)*($D$16-$C$16))))</f>
        <v>1.0134984305929868</v>
      </c>
      <c r="M552" s="84">
        <f t="shared" ref="M552:M615" ca="1" si="113">IF($D$17=$B$17,$C$17,IF(IF($B$33=1,B552,C552)&lt;($C$17-$B$17)/($D$17-$B$17),$B$17+SQRT(IF($B$33=1,B552,C552)*($D$17-$B$17)*($C$17-$B$17)),$D$17-SQRT((1-IF($B$33=1,B552,C552))*($D$17-$B$17)*($D$17-$C$17))))</f>
        <v>1.0053371152584638</v>
      </c>
      <c r="N552" s="84">
        <f t="shared" ref="N552:N615" ca="1" si="114">IF($D$18=$B$18,$C$18,IF(D552&lt;($C$18-$B$18)/($D$18-$B$18),$B$18+SQRT(D552*($D$18-$B$18)*($C$18-$B$18)),$D$18-SQRT((1-D552)*($D$18-$B$18)*($D$18-$C$18))))</f>
        <v>1.0702763701887077</v>
      </c>
      <c r="O552" s="84">
        <f t="shared" ref="O552:O615" ca="1" si="115">IF($D$19=$B$19,$C$19,IF(F552&lt;($C$19-$B$19)/($D$19-$B$19),$B$19+SQRT(F552*($D$19-$B$19)*($C$19-$B$19)),$D$19-SQRT((1-F552)*($D$19-$B$19)*($D$19-$C$19))))</f>
        <v>1.0516268083230469</v>
      </c>
      <c r="P552" s="84">
        <f t="shared" ref="P552:P615" ca="1" si="116">IF($D$20=$B$20,$C$20,IF(G552&lt;($C$20-$B$20)/($D$20-$B$20),$B$20+SQRT(G552*($D$20-$B$20)*($C$20-$B$20)),$D$20-SQRT((1-G552)*($D$20-$B$20)*($D$20-$C$20))))</f>
        <v>1.149034656575475</v>
      </c>
      <c r="Q552" s="84">
        <f t="shared" ref="Q552:Q615" ca="1" si="117">IF($D$21=$B$21,$C$21,IF(H552&lt;($C$21-$B$21)/($D$21-$B$21),$B$21+SQRT(H552*($D$21-$B$21)*($C$21-$B$21)),$D$21-SQRT((1-H552)*($D$21-$B$21)*($D$21-$C$21))))</f>
        <v>1.1743033858940648</v>
      </c>
    </row>
    <row r="553" spans="1:17" ht="15" customHeight="1" x14ac:dyDescent="0.2">
      <c r="A553" s="15">
        <v>514</v>
      </c>
      <c r="B553" s="84">
        <f t="shared" ca="1" si="109"/>
        <v>0.28552695993630561</v>
      </c>
      <c r="C553" s="84">
        <f t="shared" ca="1" si="109"/>
        <v>0.52228538011312653</v>
      </c>
      <c r="D553" s="84">
        <f t="shared" ca="1" si="109"/>
        <v>0.61579011044459675</v>
      </c>
      <c r="F553" s="84">
        <f t="shared" ca="1" si="110"/>
        <v>0.52303872380376659</v>
      </c>
      <c r="G553" s="84">
        <f t="shared" ca="1" si="110"/>
        <v>0.59840828690591985</v>
      </c>
      <c r="H553" s="84">
        <f t="shared" ca="1" si="110"/>
        <v>0.30423530462653459</v>
      </c>
      <c r="J553" s="85">
        <f t="shared" ca="1" si="111"/>
        <v>84732260.46072416</v>
      </c>
      <c r="K553" s="86">
        <f ca="1">IF(J553&gt;0,MIN(99,$B$12*Q553/(J553*12*(1-Inputs!$H$16))),99)</f>
        <v>5.5048548870294356</v>
      </c>
      <c r="L553" s="84">
        <f t="shared" ca="1" si="112"/>
        <v>0.95422550876712386</v>
      </c>
      <c r="M553" s="84">
        <f t="shared" ca="1" si="113"/>
        <v>0.97888458263916278</v>
      </c>
      <c r="N553" s="84">
        <f t="shared" ca="1" si="114"/>
        <v>1.0178637158372321</v>
      </c>
      <c r="O553" s="84">
        <f t="shared" ca="1" si="115"/>
        <v>1.0248191733387892</v>
      </c>
      <c r="P553" s="84">
        <f t="shared" ca="1" si="116"/>
        <v>1.2601569921131941</v>
      </c>
      <c r="Q553" s="84">
        <f t="shared" ca="1" si="117"/>
        <v>1.0233509781620103</v>
      </c>
    </row>
    <row r="554" spans="1:17" ht="15" customHeight="1" x14ac:dyDescent="0.2">
      <c r="A554" s="15">
        <v>515</v>
      </c>
      <c r="B554" s="84">
        <f t="shared" ca="1" si="109"/>
        <v>0.65158389498302982</v>
      </c>
      <c r="C554" s="84">
        <f t="shared" ca="1" si="109"/>
        <v>0.96496878756450866</v>
      </c>
      <c r="D554" s="84">
        <f t="shared" ca="1" si="109"/>
        <v>0.28595326554516665</v>
      </c>
      <c r="F554" s="84">
        <f t="shared" ca="1" si="110"/>
        <v>0.65041153450766243</v>
      </c>
      <c r="G554" s="84">
        <f t="shared" ca="1" si="110"/>
        <v>0.62456393823456635</v>
      </c>
      <c r="H554" s="84">
        <f t="shared" ca="1" si="110"/>
        <v>0.20863270654080401</v>
      </c>
      <c r="J554" s="85">
        <f t="shared" ca="1" si="111"/>
        <v>160448408.23842931</v>
      </c>
      <c r="K554" s="86">
        <f ca="1">IF(J554&gt;0,MIN(99,$B$12*Q554/(J554*12*(1-Inputs!$H$16))),99)</f>
        <v>2.8138268585504926</v>
      </c>
      <c r="L554" s="84">
        <f t="shared" ca="1" si="112"/>
        <v>1.0561228325296734</v>
      </c>
      <c r="M554" s="84">
        <f t="shared" ca="1" si="113"/>
        <v>1.0241883973985211</v>
      </c>
      <c r="N554" s="84">
        <f t="shared" ca="1" si="114"/>
        <v>0.99036000003564595</v>
      </c>
      <c r="O554" s="84">
        <f t="shared" ca="1" si="115"/>
        <v>1.0373384978073703</v>
      </c>
      <c r="P554" s="84">
        <f t="shared" ca="1" si="116"/>
        <v>1.2801113226454159</v>
      </c>
      <c r="Q554" s="84">
        <f t="shared" ca="1" si="117"/>
        <v>0.99051880518791857</v>
      </c>
    </row>
    <row r="555" spans="1:17" ht="15" customHeight="1" x14ac:dyDescent="0.2">
      <c r="A555" s="15">
        <v>516</v>
      </c>
      <c r="B555" s="84">
        <f t="shared" ca="1" si="109"/>
        <v>0.9124841548212872</v>
      </c>
      <c r="C555" s="84">
        <f t="shared" ca="1" si="109"/>
        <v>0.40308824523545139</v>
      </c>
      <c r="D555" s="84">
        <f t="shared" ca="1" si="109"/>
        <v>1.4821010282576208E-2</v>
      </c>
      <c r="F555" s="84">
        <f t="shared" ca="1" si="110"/>
        <v>0.60535506688909224</v>
      </c>
      <c r="G555" s="84">
        <f t="shared" ca="1" si="110"/>
        <v>0.86494308151316224</v>
      </c>
      <c r="H555" s="84">
        <f t="shared" ca="1" si="110"/>
        <v>0.77012579527142522</v>
      </c>
      <c r="J555" s="85">
        <f t="shared" ca="1" si="111"/>
        <v>246878404.25155908</v>
      </c>
      <c r="K555" s="86">
        <f ca="1">IF(J555&gt;0,MIN(99,$B$12*Q555/(J555*12*(1-Inputs!$H$16))),99)</f>
        <v>2.2726552882163018</v>
      </c>
      <c r="L555" s="84">
        <f t="shared" ca="1" si="112"/>
        <v>1.1653030141158243</v>
      </c>
      <c r="M555" s="84">
        <f t="shared" ca="1" si="113"/>
        <v>1.0724749730140664</v>
      </c>
      <c r="N555" s="84">
        <f t="shared" ca="1" si="114"/>
        <v>0.95064095973308682</v>
      </c>
      <c r="O555" s="84">
        <f t="shared" ca="1" si="115"/>
        <v>1.0326832836494075</v>
      </c>
      <c r="P555" s="84">
        <f t="shared" ca="1" si="116"/>
        <v>1.5133026876525719</v>
      </c>
      <c r="Q555" s="84">
        <f t="shared" ca="1" si="117"/>
        <v>1.2309675679262733</v>
      </c>
    </row>
    <row r="556" spans="1:17" ht="15" customHeight="1" x14ac:dyDescent="0.2">
      <c r="A556" s="15">
        <v>517</v>
      </c>
      <c r="B556" s="84">
        <f t="shared" ca="1" si="109"/>
        <v>0.54813302650386553</v>
      </c>
      <c r="C556" s="84">
        <f t="shared" ca="1" si="109"/>
        <v>0.80831691913992809</v>
      </c>
      <c r="D556" s="84">
        <f t="shared" ca="1" si="109"/>
        <v>0.38667493583718804</v>
      </c>
      <c r="F556" s="84">
        <f t="shared" ca="1" si="110"/>
        <v>5.7901390914111839E-2</v>
      </c>
      <c r="G556" s="84">
        <f t="shared" ca="1" si="110"/>
        <v>0.31940669032777758</v>
      </c>
      <c r="H556" s="84">
        <f t="shared" ca="1" si="110"/>
        <v>0.27480855164932261</v>
      </c>
      <c r="J556" s="85">
        <f t="shared" ca="1" si="111"/>
        <v>152541872.05166054</v>
      </c>
      <c r="K556" s="86">
        <f ca="1">IF(J556&gt;0,MIN(99,$B$12*Q556/(J556*12*(1-Inputs!$H$16))),99)</f>
        <v>3.0272421014247408</v>
      </c>
      <c r="L556" s="84">
        <f t="shared" ca="1" si="112"/>
        <v>1.0257376706044041</v>
      </c>
      <c r="M556" s="84">
        <f t="shared" ca="1" si="113"/>
        <v>1.0107501030342882</v>
      </c>
      <c r="N556" s="84">
        <f t="shared" ca="1" si="114"/>
        <v>0.99873514023729704</v>
      </c>
      <c r="O556" s="84">
        <f t="shared" ca="1" si="115"/>
        <v>0.98561813853615332</v>
      </c>
      <c r="P556" s="84">
        <f t="shared" ca="1" si="116"/>
        <v>1.0782765444055107</v>
      </c>
      <c r="Q556" s="84">
        <f t="shared" ca="1" si="117"/>
        <v>1.013132315387723</v>
      </c>
    </row>
    <row r="557" spans="1:17" ht="15" customHeight="1" x14ac:dyDescent="0.2">
      <c r="A557" s="15">
        <v>518</v>
      </c>
      <c r="B557" s="84">
        <f t="shared" ca="1" si="109"/>
        <v>0.26369710913683797</v>
      </c>
      <c r="C557" s="84">
        <f t="shared" ca="1" si="109"/>
        <v>0.25541560453113588</v>
      </c>
      <c r="D557" s="84">
        <f t="shared" ca="1" si="109"/>
        <v>0.95960137349723396</v>
      </c>
      <c r="F557" s="84">
        <f t="shared" ca="1" si="110"/>
        <v>0.5049828709856008</v>
      </c>
      <c r="G557" s="84">
        <f t="shared" ca="1" si="110"/>
        <v>0.64693702780965101</v>
      </c>
      <c r="H557" s="84">
        <f t="shared" ca="1" si="110"/>
        <v>0.30883316176802322</v>
      </c>
      <c r="J557" s="85">
        <f t="shared" ca="1" si="111"/>
        <v>68842148.322849289</v>
      </c>
      <c r="K557" s="86">
        <f ca="1">IF(J557&gt;0,MIN(99,$B$12*Q557/(J557*12*(1-Inputs!$H$16))),99)</f>
        <v>6.786182377752267</v>
      </c>
      <c r="L557" s="84">
        <f t="shared" ca="1" si="112"/>
        <v>0.94723798877684984</v>
      </c>
      <c r="M557" s="84">
        <f t="shared" ca="1" si="113"/>
        <v>0.97575844440620996</v>
      </c>
      <c r="N557" s="84">
        <f t="shared" ca="1" si="114"/>
        <v>1.0668703674304478</v>
      </c>
      <c r="O557" s="84">
        <f t="shared" ca="1" si="115"/>
        <v>1.0231874508810799</v>
      </c>
      <c r="P557" s="84">
        <f t="shared" ca="1" si="116"/>
        <v>1.2977388358412418</v>
      </c>
      <c r="Q557" s="84">
        <f t="shared" ca="1" si="117"/>
        <v>1.0249670004038225</v>
      </c>
    </row>
    <row r="558" spans="1:17" ht="15" customHeight="1" x14ac:dyDescent="0.2">
      <c r="A558" s="15">
        <v>519</v>
      </c>
      <c r="B558" s="84">
        <f t="shared" ca="1" si="109"/>
        <v>7.2087101750128779E-2</v>
      </c>
      <c r="C558" s="84">
        <f t="shared" ca="1" si="109"/>
        <v>0.66522569053586067</v>
      </c>
      <c r="D558" s="84">
        <f t="shared" ca="1" si="109"/>
        <v>2.2497230300289162E-2</v>
      </c>
      <c r="F558" s="84">
        <f t="shared" ca="1" si="110"/>
        <v>0.94288397341652397</v>
      </c>
      <c r="G558" s="84">
        <f t="shared" ca="1" si="110"/>
        <v>0.76658025282855591</v>
      </c>
      <c r="H558" s="84">
        <f t="shared" ca="1" si="110"/>
        <v>0.96456055382836015</v>
      </c>
      <c r="J558" s="85">
        <f t="shared" ca="1" si="111"/>
        <v>23274775.449081555</v>
      </c>
      <c r="K558" s="86">
        <f ca="1">IF(J558&gt;0,MIN(99,$B$12*Q558/(J558*12*(1-Inputs!$H$16))),99)</f>
        <v>27.444494249582636</v>
      </c>
      <c r="L558" s="84">
        <f t="shared" ca="1" si="112"/>
        <v>0.86505442213955674</v>
      </c>
      <c r="M558" s="84">
        <f t="shared" ca="1" si="113"/>
        <v>0.93899043656610681</v>
      </c>
      <c r="N558" s="84">
        <f t="shared" ca="1" si="114"/>
        <v>0.95335771266061031</v>
      </c>
      <c r="O558" s="84">
        <f t="shared" ca="1" si="115"/>
        <v>1.0817227691759284</v>
      </c>
      <c r="P558" s="84">
        <f t="shared" ca="1" si="116"/>
        <v>1.4033437631896652</v>
      </c>
      <c r="Q558" s="84">
        <f t="shared" ca="1" si="117"/>
        <v>1.4014276217296313</v>
      </c>
    </row>
    <row r="559" spans="1:17" ht="15" customHeight="1" x14ac:dyDescent="0.2">
      <c r="A559" s="15">
        <v>520</v>
      </c>
      <c r="B559" s="84">
        <f t="shared" ca="1" si="109"/>
        <v>0.30889323023472148</v>
      </c>
      <c r="C559" s="84">
        <f t="shared" ca="1" si="109"/>
        <v>0.40311520516749089</v>
      </c>
      <c r="D559" s="84">
        <f t="shared" ca="1" si="109"/>
        <v>0.23583179729767578</v>
      </c>
      <c r="F559" s="84">
        <f t="shared" ca="1" si="110"/>
        <v>0.10997012587546073</v>
      </c>
      <c r="G559" s="84">
        <f t="shared" ca="1" si="110"/>
        <v>0.94425103590390314</v>
      </c>
      <c r="H559" s="84">
        <f t="shared" ca="1" si="110"/>
        <v>0.25244237513023238</v>
      </c>
      <c r="J559" s="85">
        <f t="shared" ca="1" si="111"/>
        <v>87587864.867231771</v>
      </c>
      <c r="K559" s="86">
        <f ca="1">IF(J559&gt;0,MIN(99,$B$12*Q559/(J559*12*(1-Inputs!$H$16))),99)</f>
        <v>5.2325055026627547</v>
      </c>
      <c r="L559" s="84">
        <f t="shared" ca="1" si="112"/>
        <v>0.96141482881306994</v>
      </c>
      <c r="M559" s="84">
        <f t="shared" ca="1" si="113"/>
        <v>0.98210100395829314</v>
      </c>
      <c r="N559" s="84">
        <f t="shared" ca="1" si="114"/>
        <v>0.98563600238035742</v>
      </c>
      <c r="O559" s="84">
        <f t="shared" ca="1" si="115"/>
        <v>0.99156718498737506</v>
      </c>
      <c r="P559" s="84">
        <f t="shared" ca="1" si="116"/>
        <v>1.6382426727958486</v>
      </c>
      <c r="Q559" s="84">
        <f t="shared" ca="1" si="117"/>
        <v>1.0055034725908967</v>
      </c>
    </row>
    <row r="560" spans="1:17" ht="15" customHeight="1" x14ac:dyDescent="0.2">
      <c r="A560" s="15">
        <v>521</v>
      </c>
      <c r="B560" s="84">
        <f t="shared" ref="B560:D579" ca="1" si="118">RAND()</f>
        <v>6.829696594285728E-2</v>
      </c>
      <c r="C560" s="84">
        <f t="shared" ca="1" si="118"/>
        <v>0.17403996165711833</v>
      </c>
      <c r="D560" s="84">
        <f t="shared" ca="1" si="118"/>
        <v>0.135455870576218</v>
      </c>
      <c r="F560" s="84">
        <f t="shared" ref="F560:H579" ca="1" si="119">RAND()</f>
        <v>0.37536025835992315</v>
      </c>
      <c r="G560" s="84">
        <f t="shared" ca="1" si="119"/>
        <v>0.57122665506165615</v>
      </c>
      <c r="H560" s="84">
        <f t="shared" ca="1" si="119"/>
        <v>0.8789261359931515</v>
      </c>
      <c r="J560" s="85">
        <f t="shared" ca="1" si="111"/>
        <v>35597126.413551584</v>
      </c>
      <c r="K560" s="86">
        <f ca="1">IF(J560&gt;0,MIN(99,$B$12*Q560/(J560*12*(1-Inputs!$H$16))),99)</f>
        <v>16.747248099817973</v>
      </c>
      <c r="L560" s="84">
        <f t="shared" ca="1" si="112"/>
        <v>0.86265505500866135</v>
      </c>
      <c r="M560" s="84">
        <f t="shared" ca="1" si="113"/>
        <v>0.93791698656764921</v>
      </c>
      <c r="N560" s="84">
        <f t="shared" ca="1" si="114"/>
        <v>0.9743280391377227</v>
      </c>
      <c r="O560" s="84">
        <f t="shared" ca="1" si="115"/>
        <v>1.0122552544593324</v>
      </c>
      <c r="P560" s="84">
        <f t="shared" ca="1" si="116"/>
        <v>1.2400971484287084</v>
      </c>
      <c r="Q560" s="84">
        <f t="shared" ca="1" si="117"/>
        <v>1.3079415500404519</v>
      </c>
    </row>
    <row r="561" spans="1:17" ht="15" customHeight="1" x14ac:dyDescent="0.2">
      <c r="A561" s="15">
        <v>522</v>
      </c>
      <c r="B561" s="84">
        <f t="shared" ca="1" si="118"/>
        <v>0.19485215754833518</v>
      </c>
      <c r="C561" s="84">
        <f t="shared" ca="1" si="118"/>
        <v>0.64331987806985691</v>
      </c>
      <c r="D561" s="84">
        <f t="shared" ca="1" si="118"/>
        <v>0.85452577851001754</v>
      </c>
      <c r="F561" s="84">
        <f t="shared" ca="1" si="119"/>
        <v>2.2722749796795783E-2</v>
      </c>
      <c r="G561" s="84">
        <f t="shared" ca="1" si="119"/>
        <v>0.22451900310283335</v>
      </c>
      <c r="H561" s="84">
        <f t="shared" ca="1" si="119"/>
        <v>0.25459572507506711</v>
      </c>
      <c r="J561" s="85">
        <f t="shared" ca="1" si="111"/>
        <v>74596387.011699006</v>
      </c>
      <c r="K561" s="86">
        <f ca="1">IF(J561&gt;0,MIN(99,$B$12*Q561/(J561*12*(1-Inputs!$H$16))),99)</f>
        <v>6.1482397971800484</v>
      </c>
      <c r="L561" s="84">
        <f t="shared" ca="1" si="112"/>
        <v>0.92305697458812164</v>
      </c>
      <c r="M561" s="84">
        <f t="shared" ca="1" si="113"/>
        <v>0.96494012931413464</v>
      </c>
      <c r="N561" s="84">
        <f t="shared" ca="1" si="114"/>
        <v>1.0457612214466054</v>
      </c>
      <c r="O561" s="84">
        <f t="shared" ca="1" si="115"/>
        <v>0.97974126968488173</v>
      </c>
      <c r="P561" s="84">
        <f t="shared" ca="1" si="116"/>
        <v>1.0253739029254487</v>
      </c>
      <c r="Q561" s="84">
        <f t="shared" ca="1" si="117"/>
        <v>1.0062329454519201</v>
      </c>
    </row>
    <row r="562" spans="1:17" ht="15" customHeight="1" x14ac:dyDescent="0.2">
      <c r="A562" s="15">
        <v>523</v>
      </c>
      <c r="B562" s="84">
        <f t="shared" ca="1" si="118"/>
        <v>0.43250637390127289</v>
      </c>
      <c r="C562" s="84">
        <f t="shared" ca="1" si="118"/>
        <v>1.3556088691498491E-2</v>
      </c>
      <c r="D562" s="84">
        <f t="shared" ca="1" si="118"/>
        <v>0.77452371375489715</v>
      </c>
      <c r="F562" s="84">
        <f t="shared" ca="1" si="119"/>
        <v>0.32726330892486377</v>
      </c>
      <c r="G562" s="84">
        <f t="shared" ca="1" si="119"/>
        <v>0.77135897723383373</v>
      </c>
      <c r="H562" s="84">
        <f t="shared" ca="1" si="119"/>
        <v>0.76500230160371419</v>
      </c>
      <c r="J562" s="85">
        <f t="shared" ca="1" si="111"/>
        <v>106943482.67767222</v>
      </c>
      <c r="K562" s="86">
        <f ca="1">IF(J562&gt;0,MIN(99,$B$12*Q562/(J562*12*(1-Inputs!$H$16))),99)</f>
        <v>5.2331545804501323</v>
      </c>
      <c r="L562" s="84">
        <f t="shared" ca="1" si="112"/>
        <v>0.9955832429353898</v>
      </c>
      <c r="M562" s="84">
        <f t="shared" ca="1" si="113"/>
        <v>0.99738756999256972</v>
      </c>
      <c r="N562" s="84">
        <f t="shared" ca="1" si="114"/>
        <v>1.0348294059363821</v>
      </c>
      <c r="O562" s="84">
        <f t="shared" ca="1" si="115"/>
        <v>1.0084925766218591</v>
      </c>
      <c r="P562" s="84">
        <f t="shared" ca="1" si="116"/>
        <v>1.4080708828926145</v>
      </c>
      <c r="Q562" s="84">
        <f t="shared" ca="1" si="117"/>
        <v>1.2278571057525114</v>
      </c>
    </row>
    <row r="563" spans="1:17" ht="15" customHeight="1" x14ac:dyDescent="0.2">
      <c r="A563" s="15">
        <v>524</v>
      </c>
      <c r="B563" s="84">
        <f t="shared" ca="1" si="118"/>
        <v>0.29598551679986362</v>
      </c>
      <c r="C563" s="84">
        <f t="shared" ca="1" si="118"/>
        <v>0.25050253351442131</v>
      </c>
      <c r="D563" s="84">
        <f t="shared" ca="1" si="118"/>
        <v>0.93363432140725289</v>
      </c>
      <c r="F563" s="84">
        <f t="shared" ca="1" si="119"/>
        <v>0.58380489327747209</v>
      </c>
      <c r="G563" s="84">
        <f t="shared" ca="1" si="119"/>
        <v>0.36962080695084532</v>
      </c>
      <c r="H563" s="84">
        <f t="shared" ca="1" si="119"/>
        <v>0.90013065370265155</v>
      </c>
      <c r="J563" s="85">
        <f t="shared" ca="1" si="111"/>
        <v>83021899.015286729</v>
      </c>
      <c r="K563" s="86">
        <f ca="1">IF(J563&gt;0,MIN(99,$B$12*Q563/(J563*12*(1-Inputs!$H$16))),99)</f>
        <v>7.2833153819225709</v>
      </c>
      <c r="L563" s="84">
        <f t="shared" ca="1" si="112"/>
        <v>0.95747841143539325</v>
      </c>
      <c r="M563" s="84">
        <f t="shared" ca="1" si="113"/>
        <v>0.98033989488349349</v>
      </c>
      <c r="N563" s="84">
        <f t="shared" ca="1" si="114"/>
        <v>1.0602455566187776</v>
      </c>
      <c r="O563" s="84">
        <f t="shared" ca="1" si="115"/>
        <v>1.0305509292138535</v>
      </c>
      <c r="P563" s="84">
        <f t="shared" ca="1" si="116"/>
        <v>1.1077707756795825</v>
      </c>
      <c r="Q563" s="84">
        <f t="shared" ca="1" si="117"/>
        <v>1.3266358240011755</v>
      </c>
    </row>
    <row r="564" spans="1:17" ht="15" customHeight="1" x14ac:dyDescent="0.2">
      <c r="A564" s="15">
        <v>525</v>
      </c>
      <c r="B564" s="84">
        <f t="shared" ca="1" si="118"/>
        <v>0.35824307169082625</v>
      </c>
      <c r="C564" s="84">
        <f t="shared" ca="1" si="118"/>
        <v>0.23089001184417868</v>
      </c>
      <c r="D564" s="84">
        <f t="shared" ca="1" si="118"/>
        <v>2.9757553284887384E-2</v>
      </c>
      <c r="F564" s="84">
        <f t="shared" ca="1" si="119"/>
        <v>0.78135808817760988</v>
      </c>
      <c r="G564" s="84">
        <f t="shared" ca="1" si="119"/>
        <v>0.89913488542385245</v>
      </c>
      <c r="H564" s="84">
        <f t="shared" ca="1" si="119"/>
        <v>0.26152300077476542</v>
      </c>
      <c r="J564" s="85">
        <f t="shared" ca="1" si="111"/>
        <v>96598619.977361694</v>
      </c>
      <c r="K564" s="86">
        <f ca="1">IF(J564&gt;0,MIN(99,$B$12*Q564/(J564*12*(1-Inputs!$H$16))),99)</f>
        <v>4.7589640495222403</v>
      </c>
      <c r="L564" s="84">
        <f t="shared" ca="1" si="112"/>
        <v>0.97575444096013908</v>
      </c>
      <c r="M564" s="84">
        <f t="shared" ca="1" si="113"/>
        <v>0.98851638593087632</v>
      </c>
      <c r="N564" s="84">
        <f t="shared" ca="1" si="114"/>
        <v>0.95552281099156711</v>
      </c>
      <c r="O564" s="84">
        <f t="shared" ca="1" si="115"/>
        <v>1.052920088806901</v>
      </c>
      <c r="P564" s="84">
        <f t="shared" ca="1" si="116"/>
        <v>1.5607613464684127</v>
      </c>
      <c r="Q564" s="84">
        <f t="shared" ca="1" si="117"/>
        <v>1.0085868175101425</v>
      </c>
    </row>
    <row r="565" spans="1:17" ht="15" customHeight="1" x14ac:dyDescent="0.2">
      <c r="A565" s="15">
        <v>526</v>
      </c>
      <c r="B565" s="84">
        <f t="shared" ca="1" si="118"/>
        <v>0.48901716648335403</v>
      </c>
      <c r="C565" s="84">
        <f t="shared" ca="1" si="118"/>
        <v>0.76987821673792167</v>
      </c>
      <c r="D565" s="84">
        <f t="shared" ca="1" si="118"/>
        <v>0.48689246306011325</v>
      </c>
      <c r="F565" s="84">
        <f t="shared" ca="1" si="119"/>
        <v>0.2749054895308044</v>
      </c>
      <c r="G565" s="84">
        <f t="shared" ca="1" si="119"/>
        <v>0.13803479385895612</v>
      </c>
      <c r="H565" s="84">
        <f t="shared" ca="1" si="119"/>
        <v>0.7289845036313205</v>
      </c>
      <c r="J565" s="85">
        <f t="shared" ca="1" si="111"/>
        <v>140079469.56679726</v>
      </c>
      <c r="K565" s="86">
        <f ca="1">IF(J565&gt;0,MIN(99,$B$12*Q565/(J565*12*(1-Inputs!$H$16))),99)</f>
        <v>3.9270068491152026</v>
      </c>
      <c r="L565" s="84">
        <f t="shared" ca="1" si="112"/>
        <v>1.0099337071437811</v>
      </c>
      <c r="M565" s="84">
        <f t="shared" ca="1" si="113"/>
        <v>1.0037605627571038</v>
      </c>
      <c r="N565" s="84">
        <f t="shared" ca="1" si="114"/>
        <v>1.0065766840846855</v>
      </c>
      <c r="O565" s="84">
        <f t="shared" ca="1" si="115"/>
        <v>1.004546475170246</v>
      </c>
      <c r="P565" s="84">
        <f t="shared" ca="1" si="116"/>
        <v>0.978423576862813</v>
      </c>
      <c r="Q565" s="84">
        <f t="shared" ca="1" si="117"/>
        <v>1.2068855532583449</v>
      </c>
    </row>
    <row r="566" spans="1:17" ht="15" customHeight="1" x14ac:dyDescent="0.2">
      <c r="A566" s="15">
        <v>527</v>
      </c>
      <c r="B566" s="84">
        <f t="shared" ca="1" si="118"/>
        <v>0.71860029144238202</v>
      </c>
      <c r="C566" s="84">
        <f t="shared" ca="1" si="118"/>
        <v>0.50111822575396903</v>
      </c>
      <c r="D566" s="84">
        <f t="shared" ca="1" si="118"/>
        <v>0.46638121394461973</v>
      </c>
      <c r="F566" s="84">
        <f t="shared" ca="1" si="119"/>
        <v>4.1867813881950044E-2</v>
      </c>
      <c r="G566" s="84">
        <f t="shared" ca="1" si="119"/>
        <v>0.8655048864623992</v>
      </c>
      <c r="H566" s="84">
        <f t="shared" ca="1" si="119"/>
        <v>0.16948481414370697</v>
      </c>
      <c r="J566" s="85">
        <f t="shared" ca="1" si="111"/>
        <v>173873961.75377858</v>
      </c>
      <c r="K566" s="86">
        <f ca="1">IF(J566&gt;0,MIN(99,$B$12*Q566/(J566*12*(1-Inputs!$H$16))),99)</f>
        <v>2.558103686749821</v>
      </c>
      <c r="L566" s="84">
        <f t="shared" ca="1" si="112"/>
        <v>1.0782960093778662</v>
      </c>
      <c r="M566" s="84">
        <f t="shared" ca="1" si="113"/>
        <v>1.0339948179866045</v>
      </c>
      <c r="N566" s="84">
        <f t="shared" ca="1" si="114"/>
        <v>1.0049179558696322</v>
      </c>
      <c r="O566" s="84">
        <f t="shared" ca="1" si="115"/>
        <v>0.98326371296321347</v>
      </c>
      <c r="P566" s="84">
        <f t="shared" ca="1" si="116"/>
        <v>1.5140302879173457</v>
      </c>
      <c r="Q566" s="84">
        <f t="shared" ca="1" si="117"/>
        <v>0.97584902997249146</v>
      </c>
    </row>
    <row r="567" spans="1:17" ht="15" customHeight="1" x14ac:dyDescent="0.2">
      <c r="A567" s="15">
        <v>528</v>
      </c>
      <c r="B567" s="84">
        <f t="shared" ca="1" si="118"/>
        <v>0.12287053776841728</v>
      </c>
      <c r="C567" s="84">
        <f t="shared" ca="1" si="118"/>
        <v>0.47641212200067318</v>
      </c>
      <c r="D567" s="84">
        <f t="shared" ca="1" si="118"/>
        <v>0.85372064780084533</v>
      </c>
      <c r="F567" s="84">
        <f t="shared" ca="1" si="119"/>
        <v>0.51426420792037963</v>
      </c>
      <c r="G567" s="84">
        <f t="shared" ca="1" si="119"/>
        <v>0.61217228474843843</v>
      </c>
      <c r="H567" s="84">
        <f t="shared" ca="1" si="119"/>
        <v>0.14276251455360001</v>
      </c>
      <c r="J567" s="85">
        <f t="shared" ca="1" si="111"/>
        <v>38161664.587523714</v>
      </c>
      <c r="K567" s="86">
        <f ca="1">IF(J567&gt;0,MIN(99,$B$12*Q567/(J567*12*(1-Inputs!$H$16))),99)</f>
        <v>11.523795874825668</v>
      </c>
      <c r="L567" s="84">
        <f t="shared" ca="1" si="112"/>
        <v>0.89257098068378504</v>
      </c>
      <c r="M567" s="84">
        <f t="shared" ca="1" si="113"/>
        <v>0.95130103686837875</v>
      </c>
      <c r="N567" s="84">
        <f t="shared" ca="1" si="114"/>
        <v>1.0456379002982397</v>
      </c>
      <c r="O567" s="84">
        <f t="shared" ca="1" si="115"/>
        <v>1.0240224258433361</v>
      </c>
      <c r="P567" s="84">
        <f t="shared" ca="1" si="116"/>
        <v>1.2705738215343541</v>
      </c>
      <c r="Q567" s="84">
        <f t="shared" ca="1" si="117"/>
        <v>0.96483446456342892</v>
      </c>
    </row>
    <row r="568" spans="1:17" ht="15" customHeight="1" x14ac:dyDescent="0.2">
      <c r="A568" s="15">
        <v>529</v>
      </c>
      <c r="B568" s="84">
        <f t="shared" ca="1" si="118"/>
        <v>0.60003254875786116</v>
      </c>
      <c r="C568" s="84">
        <f t="shared" ca="1" si="118"/>
        <v>0.16696614195185655</v>
      </c>
      <c r="D568" s="84">
        <f t="shared" ca="1" si="118"/>
        <v>0.57078031912368965</v>
      </c>
      <c r="F568" s="84">
        <f t="shared" ca="1" si="119"/>
        <v>0.37427619575251214</v>
      </c>
      <c r="G568" s="84">
        <f t="shared" ca="1" si="119"/>
        <v>0.52431206406515718</v>
      </c>
      <c r="H568" s="84">
        <f t="shared" ca="1" si="119"/>
        <v>0.35041249996755852</v>
      </c>
      <c r="J568" s="85">
        <f t="shared" ca="1" si="111"/>
        <v>150634007.52705503</v>
      </c>
      <c r="K568" s="86">
        <f ca="1">IF(J568&gt;0,MIN(99,$B$12*Q568/(J568*12*(1-Inputs!$H$16))),99)</f>
        <v>3.1463739389462586</v>
      </c>
      <c r="L568" s="84">
        <f t="shared" ca="1" si="112"/>
        <v>1.04048875390337</v>
      </c>
      <c r="M568" s="84">
        <f t="shared" ca="1" si="113"/>
        <v>1.0172739912416429</v>
      </c>
      <c r="N568" s="84">
        <f t="shared" ca="1" si="114"/>
        <v>1.0137333142962266</v>
      </c>
      <c r="O568" s="84">
        <f t="shared" ca="1" si="115"/>
        <v>1.0121688822336632</v>
      </c>
      <c r="P568" s="84">
        <f t="shared" ca="1" si="116"/>
        <v>1.206916298321552</v>
      </c>
      <c r="Q568" s="84">
        <f t="shared" ca="1" si="117"/>
        <v>1.0398323104171681</v>
      </c>
    </row>
    <row r="569" spans="1:17" ht="15" customHeight="1" x14ac:dyDescent="0.2">
      <c r="A569" s="15">
        <v>530</v>
      </c>
      <c r="B569" s="84">
        <f t="shared" ca="1" si="118"/>
        <v>0.82228637493530266</v>
      </c>
      <c r="C569" s="84">
        <f t="shared" ca="1" si="118"/>
        <v>0.78664995104889257</v>
      </c>
      <c r="D569" s="84">
        <f t="shared" ca="1" si="118"/>
        <v>0.78321749059334889</v>
      </c>
      <c r="F569" s="84">
        <f t="shared" ca="1" si="119"/>
        <v>0.4345475226409955</v>
      </c>
      <c r="G569" s="84">
        <f t="shared" ca="1" si="119"/>
        <v>0.4953426951272395</v>
      </c>
      <c r="H569" s="84">
        <f t="shared" ca="1" si="119"/>
        <v>9.0398341489165257E-2</v>
      </c>
      <c r="J569" s="85">
        <f t="shared" ca="1" si="111"/>
        <v>203961357.60166115</v>
      </c>
      <c r="K569" s="86">
        <f ca="1">IF(J569&gt;0,MIN(99,$B$12*Q569/(J569*12*(1-Inputs!$H$16))),99)</f>
        <v>2.1000041370931251</v>
      </c>
      <c r="L569" s="84">
        <f t="shared" ca="1" si="112"/>
        <v>1.118681020197815</v>
      </c>
      <c r="M569" s="84">
        <f t="shared" ca="1" si="113"/>
        <v>1.0518556957609591</v>
      </c>
      <c r="N569" s="84">
        <f t="shared" ca="1" si="114"/>
        <v>1.0359110143990586</v>
      </c>
      <c r="O569" s="84">
        <f t="shared" ca="1" si="115"/>
        <v>1.0170904073801537</v>
      </c>
      <c r="P569" s="84">
        <f t="shared" ca="1" si="116"/>
        <v>1.1872408204743627</v>
      </c>
      <c r="Q569" s="84">
        <f t="shared" ca="1" si="117"/>
        <v>0.93971895221395862</v>
      </c>
    </row>
    <row r="570" spans="1:17" ht="15" customHeight="1" x14ac:dyDescent="0.2">
      <c r="A570" s="15">
        <v>531</v>
      </c>
      <c r="B570" s="84">
        <f t="shared" ca="1" si="118"/>
        <v>0.68860630389915156</v>
      </c>
      <c r="C570" s="84">
        <f t="shared" ca="1" si="118"/>
        <v>0.32430230922241998</v>
      </c>
      <c r="D570" s="84">
        <f t="shared" ca="1" si="118"/>
        <v>0.13757764655652727</v>
      </c>
      <c r="F570" s="84">
        <f t="shared" ca="1" si="119"/>
        <v>5.0850212000986938E-2</v>
      </c>
      <c r="G570" s="84">
        <f t="shared" ca="1" si="119"/>
        <v>0.99801805325159543</v>
      </c>
      <c r="H570" s="84">
        <f t="shared" ca="1" si="119"/>
        <v>0.37904934910773502</v>
      </c>
      <c r="J570" s="85">
        <f t="shared" ca="1" si="111"/>
        <v>161380559.95177841</v>
      </c>
      <c r="K570" s="86">
        <f ca="1">IF(J570&gt;0,MIN(99,$B$12*Q570/(J570*12*(1-Inputs!$H$16))),99)</f>
        <v>2.9665553350681293</v>
      </c>
      <c r="L570" s="84">
        <f t="shared" ca="1" si="112"/>
        <v>1.0680781954122121</v>
      </c>
      <c r="M570" s="84">
        <f t="shared" ca="1" si="113"/>
        <v>1.0294758362491652</v>
      </c>
      <c r="N570" s="84">
        <f t="shared" ca="1" si="114"/>
        <v>0.97460417568124735</v>
      </c>
      <c r="O570" s="84">
        <f t="shared" ca="1" si="115"/>
        <v>0.98462910856125374</v>
      </c>
      <c r="P570" s="84">
        <f t="shared" ca="1" si="116"/>
        <v>1.8204321440913704</v>
      </c>
      <c r="Q570" s="84">
        <f t="shared" ca="1" si="117"/>
        <v>1.0503489680373432</v>
      </c>
    </row>
    <row r="571" spans="1:17" ht="15" customHeight="1" x14ac:dyDescent="0.2">
      <c r="A571" s="15">
        <v>532</v>
      </c>
      <c r="B571" s="84">
        <f t="shared" ca="1" si="118"/>
        <v>0.63640339021111902</v>
      </c>
      <c r="C571" s="84">
        <f t="shared" ca="1" si="118"/>
        <v>0.96641929222901135</v>
      </c>
      <c r="D571" s="84">
        <f t="shared" ca="1" si="118"/>
        <v>0.52817573500068782</v>
      </c>
      <c r="F571" s="84">
        <f t="shared" ca="1" si="119"/>
        <v>0.28308337528453698</v>
      </c>
      <c r="G571" s="84">
        <f t="shared" ca="1" si="119"/>
        <v>0.26142270296991843</v>
      </c>
      <c r="H571" s="84">
        <f t="shared" ca="1" si="119"/>
        <v>5.2258934603554907E-2</v>
      </c>
      <c r="J571" s="85">
        <f t="shared" ca="1" si="111"/>
        <v>166734401.3462075</v>
      </c>
      <c r="K571" s="86">
        <f ca="1">IF(J571&gt;0,MIN(99,$B$12*Q571/(J571*12*(1-Inputs!$H$16))),99)</f>
        <v>2.504767288895144</v>
      </c>
      <c r="L571" s="84">
        <f t="shared" ca="1" si="112"/>
        <v>1.0514054252760789</v>
      </c>
      <c r="M571" s="84">
        <f t="shared" ca="1" si="113"/>
        <v>1.0221020531668963</v>
      </c>
      <c r="N571" s="84">
        <f t="shared" ca="1" si="114"/>
        <v>1.0100189571160723</v>
      </c>
      <c r="O571" s="84">
        <f t="shared" ca="1" si="115"/>
        <v>1.0051532063799622</v>
      </c>
      <c r="P571" s="84">
        <f t="shared" ca="1" si="116"/>
        <v>1.0455417354716952</v>
      </c>
      <c r="Q571" s="84">
        <f t="shared" ca="1" si="117"/>
        <v>0.916268041182417</v>
      </c>
    </row>
    <row r="572" spans="1:17" ht="15" customHeight="1" x14ac:dyDescent="0.2">
      <c r="A572" s="15">
        <v>533</v>
      </c>
      <c r="B572" s="84">
        <f t="shared" ca="1" si="118"/>
        <v>0.79402474830743675</v>
      </c>
      <c r="C572" s="84">
        <f t="shared" ca="1" si="118"/>
        <v>0.3105425832426294</v>
      </c>
      <c r="D572" s="84">
        <f t="shared" ca="1" si="118"/>
        <v>0.39683177448064744</v>
      </c>
      <c r="F572" s="84">
        <f t="shared" ca="1" si="119"/>
        <v>0.35202118633429791</v>
      </c>
      <c r="G572" s="84">
        <f t="shared" ca="1" si="119"/>
        <v>0.15908207709651701</v>
      </c>
      <c r="H572" s="84">
        <f t="shared" ca="1" si="119"/>
        <v>0.73630561893792823</v>
      </c>
      <c r="J572" s="85">
        <f t="shared" ca="1" si="111"/>
        <v>212015455.78986937</v>
      </c>
      <c r="K572" s="86">
        <f ca="1">IF(J572&gt;0,MIN(99,$B$12*Q572/(J572*12*(1-Inputs!$H$16))),99)</f>
        <v>2.6034987400652665</v>
      </c>
      <c r="L572" s="84">
        <f t="shared" ca="1" si="112"/>
        <v>1.1067097830896655</v>
      </c>
      <c r="M572" s="84">
        <f t="shared" ca="1" si="113"/>
        <v>1.0465612362955463</v>
      </c>
      <c r="N572" s="84">
        <f t="shared" ca="1" si="114"/>
        <v>0.99951546497543653</v>
      </c>
      <c r="O572" s="84">
        <f t="shared" ca="1" si="115"/>
        <v>1.010411977575856</v>
      </c>
      <c r="P572" s="84">
        <f t="shared" ca="1" si="116"/>
        <v>0.99046391678312795</v>
      </c>
      <c r="Q572" s="84">
        <f t="shared" ca="1" si="117"/>
        <v>1.2110298142337503</v>
      </c>
    </row>
    <row r="573" spans="1:17" ht="15" customHeight="1" x14ac:dyDescent="0.2">
      <c r="A573" s="15">
        <v>534</v>
      </c>
      <c r="B573" s="84">
        <f t="shared" ca="1" si="118"/>
        <v>0.73475498807059736</v>
      </c>
      <c r="C573" s="84">
        <f t="shared" ca="1" si="118"/>
        <v>0.16066230606448195</v>
      </c>
      <c r="D573" s="84">
        <f t="shared" ca="1" si="118"/>
        <v>0.68949366844466342</v>
      </c>
      <c r="F573" s="84">
        <f t="shared" ca="1" si="119"/>
        <v>0.87878013090210039</v>
      </c>
      <c r="G573" s="84">
        <f t="shared" ca="1" si="119"/>
        <v>0.45859134997673767</v>
      </c>
      <c r="H573" s="84">
        <f t="shared" ca="1" si="119"/>
        <v>0.7121664421517363</v>
      </c>
      <c r="J573" s="85">
        <f t="shared" ca="1" si="111"/>
        <v>172585090.01923579</v>
      </c>
      <c r="K573" s="86">
        <f ca="1">IF(J573&gt;0,MIN(99,$B$12*Q573/(J573*12*(1-Inputs!$H$16))),99)</f>
        <v>3.1627769461429582</v>
      </c>
      <c r="L573" s="84">
        <f t="shared" ca="1" si="112"/>
        <v>1.0840256846057752</v>
      </c>
      <c r="M573" s="84">
        <f t="shared" ca="1" si="113"/>
        <v>1.0365288529380543</v>
      </c>
      <c r="N573" s="84">
        <f t="shared" ca="1" si="114"/>
        <v>1.0251898893080136</v>
      </c>
      <c r="O573" s="84">
        <f t="shared" ca="1" si="115"/>
        <v>1.0679670471999154</v>
      </c>
      <c r="P573" s="84">
        <f t="shared" ca="1" si="116"/>
        <v>1.1630756924208603</v>
      </c>
      <c r="Q573" s="84">
        <f t="shared" ca="1" si="117"/>
        <v>1.1975724025147176</v>
      </c>
    </row>
    <row r="574" spans="1:17" ht="15" customHeight="1" x14ac:dyDescent="0.2">
      <c r="A574" s="15">
        <v>535</v>
      </c>
      <c r="B574" s="84">
        <f t="shared" ca="1" si="118"/>
        <v>0.13882924606172653</v>
      </c>
      <c r="C574" s="84">
        <f t="shared" ca="1" si="118"/>
        <v>5.19599981661234E-2</v>
      </c>
      <c r="D574" s="84">
        <f t="shared" ca="1" si="118"/>
        <v>0.66490503146735636</v>
      </c>
      <c r="F574" s="84">
        <f t="shared" ca="1" si="119"/>
        <v>0.1200142626224352</v>
      </c>
      <c r="G574" s="84">
        <f t="shared" ca="1" si="119"/>
        <v>0.46194227373350905</v>
      </c>
      <c r="H574" s="84">
        <f t="shared" ca="1" si="119"/>
        <v>0.59151245935426833</v>
      </c>
      <c r="J574" s="85">
        <f t="shared" ca="1" si="111"/>
        <v>56606306.589526519</v>
      </c>
      <c r="K574" s="86">
        <f ca="1">IF(J574&gt;0,MIN(99,$B$12*Q574/(J574*12*(1-Inputs!$H$16))),99)</f>
        <v>9.1591485297516648</v>
      </c>
      <c r="L574" s="84">
        <f t="shared" ca="1" si="112"/>
        <v>0.89997315784577192</v>
      </c>
      <c r="M574" s="84">
        <f t="shared" ca="1" si="113"/>
        <v>0.95461268807873478</v>
      </c>
      <c r="N574" s="84">
        <f t="shared" ca="1" si="114"/>
        <v>1.0226576199825785</v>
      </c>
      <c r="O574" s="84">
        <f t="shared" ca="1" si="115"/>
        <v>0.99253569481605763</v>
      </c>
      <c r="P574" s="84">
        <f t="shared" ca="1" si="116"/>
        <v>1.1652443394260907</v>
      </c>
      <c r="Q574" s="84">
        <f t="shared" ca="1" si="117"/>
        <v>1.1374959590594644</v>
      </c>
    </row>
    <row r="575" spans="1:17" ht="15" customHeight="1" x14ac:dyDescent="0.2">
      <c r="A575" s="15">
        <v>536</v>
      </c>
      <c r="B575" s="84">
        <f t="shared" ca="1" si="118"/>
        <v>0.96694207270370147</v>
      </c>
      <c r="C575" s="84">
        <f t="shared" ca="1" si="118"/>
        <v>0.29465039485193134</v>
      </c>
      <c r="D575" s="84">
        <f t="shared" ca="1" si="118"/>
        <v>0.63162359009619451</v>
      </c>
      <c r="F575" s="84">
        <f t="shared" ca="1" si="119"/>
        <v>1.1232211171751327E-2</v>
      </c>
      <c r="G575" s="84">
        <f t="shared" ca="1" si="119"/>
        <v>0.15438364700819385</v>
      </c>
      <c r="H575" s="84">
        <f t="shared" ca="1" si="119"/>
        <v>0.37455076741361981</v>
      </c>
      <c r="J575" s="85">
        <f t="shared" ca="1" si="111"/>
        <v>293088733.43366718</v>
      </c>
      <c r="K575" s="86">
        <f ca="1">IF(J575&gt;0,MIN(99,$B$12*Q575/(J575*12*(1-Inputs!$H$16))),99)</f>
        <v>1.6308513141043126</v>
      </c>
      <c r="L575" s="84">
        <f t="shared" ca="1" si="112"/>
        <v>1.2075799361966999</v>
      </c>
      <c r="M575" s="84">
        <f t="shared" ca="1" si="113"/>
        <v>1.0911725769673983</v>
      </c>
      <c r="N575" s="84">
        <f t="shared" ca="1" si="114"/>
        <v>1.019373799797066</v>
      </c>
      <c r="O575" s="84">
        <f t="shared" ca="1" si="115"/>
        <v>0.9768149085197142</v>
      </c>
      <c r="P575" s="84">
        <f t="shared" ca="1" si="116"/>
        <v>0.98784872606892471</v>
      </c>
      <c r="Q575" s="84">
        <f t="shared" ca="1" si="117"/>
        <v>1.04868108191903</v>
      </c>
    </row>
    <row r="576" spans="1:17" ht="15" customHeight="1" x14ac:dyDescent="0.2">
      <c r="A576" s="15">
        <v>537</v>
      </c>
      <c r="B576" s="84">
        <f t="shared" ca="1" si="118"/>
        <v>0.3782895383772733</v>
      </c>
      <c r="C576" s="84">
        <f t="shared" ca="1" si="118"/>
        <v>0.32982118347631795</v>
      </c>
      <c r="D576" s="84">
        <f t="shared" ca="1" si="118"/>
        <v>0.44785218954304173</v>
      </c>
      <c r="F576" s="84">
        <f t="shared" ca="1" si="119"/>
        <v>0.38068684338811276</v>
      </c>
      <c r="G576" s="84">
        <f t="shared" ca="1" si="119"/>
        <v>0.24491466343418511</v>
      </c>
      <c r="H576" s="84">
        <f t="shared" ca="1" si="119"/>
        <v>6.5756355274869338E-2</v>
      </c>
      <c r="J576" s="85">
        <f t="shared" ca="1" si="111"/>
        <v>116931756.50718163</v>
      </c>
      <c r="K576" s="86">
        <f ca="1">IF(J576&gt;0,MIN(99,$B$12*Q576/(J576*12*(1-Inputs!$H$16))),99)</f>
        <v>3.6068780653299415</v>
      </c>
      <c r="L576" s="84">
        <f t="shared" ca="1" si="112"/>
        <v>0.98129486922229359</v>
      </c>
      <c r="M576" s="84">
        <f t="shared" ca="1" si="113"/>
        <v>0.99099511152183872</v>
      </c>
      <c r="N576" s="84">
        <f t="shared" ca="1" si="114"/>
        <v>1.0034467312839863</v>
      </c>
      <c r="O576" s="84">
        <f t="shared" ca="1" si="115"/>
        <v>1.0126807409233252</v>
      </c>
      <c r="P576" s="84">
        <f t="shared" ca="1" si="116"/>
        <v>1.0364592600721667</v>
      </c>
      <c r="Q576" s="84">
        <f t="shared" ca="1" si="117"/>
        <v>0.92532410474381444</v>
      </c>
    </row>
    <row r="577" spans="1:17" ht="15" customHeight="1" x14ac:dyDescent="0.2">
      <c r="A577" s="15">
        <v>538</v>
      </c>
      <c r="B577" s="84">
        <f t="shared" ca="1" si="118"/>
        <v>0.38727777903015514</v>
      </c>
      <c r="C577" s="84">
        <f t="shared" ca="1" si="118"/>
        <v>0.56491203679269952</v>
      </c>
      <c r="D577" s="84">
        <f t="shared" ca="1" si="118"/>
        <v>0.70437702489240495</v>
      </c>
      <c r="F577" s="84">
        <f t="shared" ca="1" si="119"/>
        <v>5.7592705382069509E-2</v>
      </c>
      <c r="G577" s="84">
        <f t="shared" ca="1" si="119"/>
        <v>0.94185862060931314</v>
      </c>
      <c r="H577" s="84">
        <f t="shared" ca="1" si="119"/>
        <v>0.9465195909653038</v>
      </c>
      <c r="J577" s="85">
        <f t="shared" ca="1" si="111"/>
        <v>95675654.854710832</v>
      </c>
      <c r="K577" s="86">
        <f ca="1">IF(J577&gt;0,MIN(99,$B$12*Q577/(J577*12*(1-Inputs!$H$16))),99)</f>
        <v>6.556425747184317</v>
      </c>
      <c r="L577" s="84">
        <f t="shared" ca="1" si="112"/>
        <v>0.98373128692386402</v>
      </c>
      <c r="M577" s="84">
        <f t="shared" ca="1" si="113"/>
        <v>0.99208513753091265</v>
      </c>
      <c r="N577" s="84">
        <f t="shared" ca="1" si="114"/>
        <v>1.0267716101150657</v>
      </c>
      <c r="O577" s="84">
        <f t="shared" ca="1" si="115"/>
        <v>0.98557614584126951</v>
      </c>
      <c r="P577" s="84">
        <f t="shared" ca="1" si="116"/>
        <v>1.6334756696944863</v>
      </c>
      <c r="Q577" s="84">
        <f t="shared" ca="1" si="117"/>
        <v>1.3762538026979427</v>
      </c>
    </row>
    <row r="578" spans="1:17" ht="15" customHeight="1" x14ac:dyDescent="0.2">
      <c r="A578" s="15">
        <v>539</v>
      </c>
      <c r="B578" s="84">
        <f t="shared" ca="1" si="118"/>
        <v>0.86296438696550082</v>
      </c>
      <c r="C578" s="84">
        <f t="shared" ca="1" si="118"/>
        <v>0.60360223698192472</v>
      </c>
      <c r="D578" s="84">
        <f t="shared" ca="1" si="118"/>
        <v>0.96934716902522167</v>
      </c>
      <c r="F578" s="84">
        <f t="shared" ca="1" si="119"/>
        <v>0.12710160607189513</v>
      </c>
      <c r="G578" s="84">
        <f t="shared" ca="1" si="119"/>
        <v>0.83280506203640703</v>
      </c>
      <c r="H578" s="84">
        <f t="shared" ca="1" si="119"/>
        <v>0.80313905250738393</v>
      </c>
      <c r="J578" s="85">
        <f t="shared" ca="1" si="111"/>
        <v>203545065.07648057</v>
      </c>
      <c r="K578" s="86">
        <f ca="1">IF(J578&gt;0,MIN(99,$B$12*Q578/(J578*12*(1-Inputs!$H$16))),99)</f>
        <v>2.8033652602403496</v>
      </c>
      <c r="L578" s="84">
        <f t="shared" ca="1" si="112"/>
        <v>1.1377323898647476</v>
      </c>
      <c r="M578" s="84">
        <f t="shared" ca="1" si="113"/>
        <v>1.0602814502214988</v>
      </c>
      <c r="N578" s="84">
        <f t="shared" ca="1" si="114"/>
        <v>1.0699024309776246</v>
      </c>
      <c r="O578" s="84">
        <f t="shared" ca="1" si="115"/>
        <v>0.99319489118380522</v>
      </c>
      <c r="P578" s="84">
        <f t="shared" ca="1" si="116"/>
        <v>1.473940488809506</v>
      </c>
      <c r="Q578" s="84">
        <f t="shared" ca="1" si="117"/>
        <v>1.2519016333156907</v>
      </c>
    </row>
    <row r="579" spans="1:17" ht="15" customHeight="1" x14ac:dyDescent="0.2">
      <c r="A579" s="15">
        <v>540</v>
      </c>
      <c r="B579" s="84">
        <f t="shared" ca="1" si="118"/>
        <v>0.53238440705283763</v>
      </c>
      <c r="C579" s="84">
        <f t="shared" ca="1" si="118"/>
        <v>0.72252775297399507</v>
      </c>
      <c r="D579" s="84">
        <f t="shared" ca="1" si="118"/>
        <v>0.13371102426513271</v>
      </c>
      <c r="F579" s="84">
        <f t="shared" ca="1" si="119"/>
        <v>0.88879210238333251</v>
      </c>
      <c r="G579" s="84">
        <f t="shared" ca="1" si="119"/>
        <v>0.69690431568255184</v>
      </c>
      <c r="H579" s="84">
        <f t="shared" ca="1" si="119"/>
        <v>0.56701443033816123</v>
      </c>
      <c r="J579" s="85">
        <f t="shared" ca="1" si="111"/>
        <v>130932938.89050357</v>
      </c>
      <c r="K579" s="86">
        <f ca="1">IF(J579&gt;0,MIN(99,$B$12*Q579/(J579*12*(1-Inputs!$H$16))),99)</f>
        <v>3.9212940335659692</v>
      </c>
      <c r="L579" s="84">
        <f t="shared" ca="1" si="112"/>
        <v>1.0214311848230646</v>
      </c>
      <c r="M579" s="84">
        <f t="shared" ca="1" si="113"/>
        <v>1.0088454949973997</v>
      </c>
      <c r="N579" s="84">
        <f t="shared" ca="1" si="114"/>
        <v>0.97409933306431384</v>
      </c>
      <c r="O579" s="84">
        <f t="shared" ca="1" si="115"/>
        <v>1.0698176544370033</v>
      </c>
      <c r="P579" s="84">
        <f t="shared" ca="1" si="116"/>
        <v>1.3392462042245525</v>
      </c>
      <c r="Q579" s="84">
        <f t="shared" ca="1" si="117"/>
        <v>1.1264405243076776</v>
      </c>
    </row>
    <row r="580" spans="1:17" ht="15" customHeight="1" x14ac:dyDescent="0.2">
      <c r="A580" s="15">
        <v>541</v>
      </c>
      <c r="B580" s="84">
        <f t="shared" ref="B580:D599" ca="1" si="120">RAND()</f>
        <v>0.26079501796143101</v>
      </c>
      <c r="C580" s="84">
        <f t="shared" ca="1" si="120"/>
        <v>0.89961751742663487</v>
      </c>
      <c r="D580" s="84">
        <f t="shared" ca="1" si="120"/>
        <v>0.20273237259337218</v>
      </c>
      <c r="F580" s="84">
        <f t="shared" ref="F580:H599" ca="1" si="121">RAND()</f>
        <v>0.16922965513043597</v>
      </c>
      <c r="G580" s="84">
        <f t="shared" ca="1" si="121"/>
        <v>0.88014641273129413</v>
      </c>
      <c r="H580" s="84">
        <f t="shared" ca="1" si="121"/>
        <v>0.469490403662991</v>
      </c>
      <c r="J580" s="85">
        <f t="shared" ca="1" si="111"/>
        <v>80941745.148696885</v>
      </c>
      <c r="K580" s="86">
        <f ca="1">IF(J580&gt;0,MIN(99,$B$12*Q580/(J580*12*(1-Inputs!$H$16))),99)</f>
        <v>6.1112823619027266</v>
      </c>
      <c r="L580" s="84">
        <f t="shared" ca="1" si="112"/>
        <v>0.94628759301438325</v>
      </c>
      <c r="M580" s="84">
        <f t="shared" ca="1" si="113"/>
        <v>0.97533324797977849</v>
      </c>
      <c r="N580" s="84">
        <f t="shared" ca="1" si="114"/>
        <v>0.98223471902127091</v>
      </c>
      <c r="O580" s="84">
        <f t="shared" ca="1" si="115"/>
        <v>0.99678184008708193</v>
      </c>
      <c r="P580" s="84">
        <f t="shared" ca="1" si="116"/>
        <v>1.5335592903898463</v>
      </c>
      <c r="Q580" s="84">
        <f t="shared" ca="1" si="117"/>
        <v>1.0852626462890358</v>
      </c>
    </row>
    <row r="581" spans="1:17" ht="15" customHeight="1" x14ac:dyDescent="0.2">
      <c r="A581" s="15">
        <v>542</v>
      </c>
      <c r="B581" s="84">
        <f t="shared" ca="1" si="120"/>
        <v>0.94918643417511295</v>
      </c>
      <c r="C581" s="84">
        <f t="shared" ca="1" si="120"/>
        <v>0.93146745113612439</v>
      </c>
      <c r="D581" s="84">
        <f t="shared" ca="1" si="120"/>
        <v>0.94993784277846927</v>
      </c>
      <c r="F581" s="84">
        <f t="shared" ca="1" si="121"/>
        <v>0.6623756929256448</v>
      </c>
      <c r="G581" s="84">
        <f t="shared" ca="1" si="121"/>
        <v>0.19605638967964434</v>
      </c>
      <c r="H581" s="84">
        <f t="shared" ca="1" si="121"/>
        <v>0.65524109097206562</v>
      </c>
      <c r="J581" s="85">
        <f t="shared" ca="1" si="111"/>
        <v>257209226.61849517</v>
      </c>
      <c r="K581" s="86">
        <f ca="1">IF(J581&gt;0,MIN(99,$B$12*Q581/(J581*12*(1-Inputs!$H$16))),99)</f>
        <v>2.0696433152469433</v>
      </c>
      <c r="L581" s="84">
        <f t="shared" ca="1" si="112"/>
        <v>1.1914125290433908</v>
      </c>
      <c r="M581" s="84">
        <f t="shared" ca="1" si="113"/>
        <v>1.0840222982567922</v>
      </c>
      <c r="N581" s="84">
        <f t="shared" ca="1" si="114"/>
        <v>1.0642083758377752</v>
      </c>
      <c r="O581" s="84">
        <f t="shared" ca="1" si="115"/>
        <v>1.0386243494285312</v>
      </c>
      <c r="P581" s="84">
        <f t="shared" ca="1" si="116"/>
        <v>1.0101449055072944</v>
      </c>
      <c r="Q581" s="84">
        <f t="shared" ca="1" si="117"/>
        <v>1.1679170270703347</v>
      </c>
    </row>
    <row r="582" spans="1:17" ht="15" customHeight="1" x14ac:dyDescent="0.2">
      <c r="A582" s="15">
        <v>543</v>
      </c>
      <c r="B582" s="84">
        <f t="shared" ca="1" si="120"/>
        <v>0.5298700020774274</v>
      </c>
      <c r="C582" s="84">
        <f t="shared" ca="1" si="120"/>
        <v>0.65140984828860182</v>
      </c>
      <c r="D582" s="84">
        <f t="shared" ca="1" si="120"/>
        <v>0.8099283356409106</v>
      </c>
      <c r="F582" s="84">
        <f t="shared" ca="1" si="121"/>
        <v>0.85965318589996953</v>
      </c>
      <c r="G582" s="84">
        <f t="shared" ca="1" si="121"/>
        <v>0.68257070314167501</v>
      </c>
      <c r="H582" s="84">
        <f t="shared" ca="1" si="121"/>
        <v>0.60677639716833154</v>
      </c>
      <c r="J582" s="85">
        <f t="shared" ca="1" si="111"/>
        <v>117427046.90443911</v>
      </c>
      <c r="K582" s="86">
        <f ca="1">IF(J582&gt;0,MIN(99,$B$12*Q582/(J582*12*(1-Inputs!$H$16))),99)</f>
        <v>4.4426046176264355</v>
      </c>
      <c r="L582" s="84">
        <f t="shared" ca="1" si="112"/>
        <v>1.0207503692935744</v>
      </c>
      <c r="M582" s="84">
        <f t="shared" ca="1" si="113"/>
        <v>1.0085443941009973</v>
      </c>
      <c r="N582" s="84">
        <f t="shared" ca="1" si="114"/>
        <v>1.0393774365694126</v>
      </c>
      <c r="O582" s="84">
        <f t="shared" ca="1" si="115"/>
        <v>1.0646329126665031</v>
      </c>
      <c r="P582" s="84">
        <f t="shared" ca="1" si="116"/>
        <v>1.3270103764854628</v>
      </c>
      <c r="Q582" s="84">
        <f t="shared" ca="1" si="117"/>
        <v>1.1445525685463505</v>
      </c>
    </row>
    <row r="583" spans="1:17" ht="15" customHeight="1" x14ac:dyDescent="0.2">
      <c r="A583" s="15">
        <v>544</v>
      </c>
      <c r="B583" s="84">
        <f t="shared" ca="1" si="120"/>
        <v>0.8474516769442344</v>
      </c>
      <c r="C583" s="84">
        <f t="shared" ca="1" si="120"/>
        <v>0.2406062465722052</v>
      </c>
      <c r="D583" s="84">
        <f t="shared" ca="1" si="120"/>
        <v>0.86959006577551823</v>
      </c>
      <c r="F583" s="84">
        <f t="shared" ca="1" si="121"/>
        <v>0.90812950501530298</v>
      </c>
      <c r="G583" s="84">
        <f t="shared" ca="1" si="121"/>
        <v>0.66072369192666325</v>
      </c>
      <c r="H583" s="84">
        <f t="shared" ca="1" si="121"/>
        <v>0.7140886228028841</v>
      </c>
      <c r="J583" s="85">
        <f t="shared" ca="1" si="111"/>
        <v>195823932.09785199</v>
      </c>
      <c r="K583" s="86">
        <f ca="1">IF(J583&gt;0,MIN(99,$B$12*Q583/(J583*12*(1-Inputs!$H$16))),99)</f>
        <v>2.7898883712134364</v>
      </c>
      <c r="L583" s="84">
        <f t="shared" ca="1" si="112"/>
        <v>1.1301711547371596</v>
      </c>
      <c r="M583" s="84">
        <f t="shared" ca="1" si="113"/>
        <v>1.0569373803872946</v>
      </c>
      <c r="N583" s="84">
        <f t="shared" ca="1" si="114"/>
        <v>1.0481349229076353</v>
      </c>
      <c r="O583" s="84">
        <f t="shared" ca="1" si="115"/>
        <v>1.073645003256346</v>
      </c>
      <c r="P583" s="84">
        <f t="shared" ca="1" si="116"/>
        <v>1.3088804879959348</v>
      </c>
      <c r="Q583" s="84">
        <f t="shared" ca="1" si="117"/>
        <v>1.1986228011610387</v>
      </c>
    </row>
    <row r="584" spans="1:17" ht="15" customHeight="1" x14ac:dyDescent="0.2">
      <c r="A584" s="15">
        <v>545</v>
      </c>
      <c r="B584" s="84">
        <f t="shared" ca="1" si="120"/>
        <v>0.64295888882559193</v>
      </c>
      <c r="C584" s="84">
        <f t="shared" ca="1" si="120"/>
        <v>0.51549170445290204</v>
      </c>
      <c r="D584" s="84">
        <f t="shared" ca="1" si="120"/>
        <v>0.33358997786056344</v>
      </c>
      <c r="F584" s="84">
        <f t="shared" ca="1" si="121"/>
        <v>0.27588456719515242</v>
      </c>
      <c r="G584" s="84">
        <f t="shared" ca="1" si="121"/>
        <v>0.96818948740663335</v>
      </c>
      <c r="H584" s="84">
        <f t="shared" ca="1" si="121"/>
        <v>0.80865964082449782</v>
      </c>
      <c r="J584" s="85">
        <f t="shared" ca="1" si="111"/>
        <v>147374559.85582143</v>
      </c>
      <c r="K584" s="86">
        <f ca="1">IF(J584&gt;0,MIN(99,$B$12*Q584/(J584*12*(1-Inputs!$H$16))),99)</f>
        <v>3.8831862058477085</v>
      </c>
      <c r="L584" s="84">
        <f t="shared" ca="1" si="112"/>
        <v>1.053430252998111</v>
      </c>
      <c r="M584" s="84">
        <f t="shared" ca="1" si="113"/>
        <v>1.0229975636477175</v>
      </c>
      <c r="N584" s="84">
        <f t="shared" ca="1" si="114"/>
        <v>0.99447866712109034</v>
      </c>
      <c r="O584" s="84">
        <f t="shared" ca="1" si="115"/>
        <v>1.0046189336757936</v>
      </c>
      <c r="P584" s="84">
        <f t="shared" ca="1" si="116"/>
        <v>1.6931650387371309</v>
      </c>
      <c r="Q584" s="84">
        <f t="shared" ca="1" si="117"/>
        <v>1.2555692726371079</v>
      </c>
    </row>
    <row r="585" spans="1:17" ht="15" customHeight="1" x14ac:dyDescent="0.2">
      <c r="A585" s="15">
        <v>546</v>
      </c>
      <c r="B585" s="84">
        <f t="shared" ca="1" si="120"/>
        <v>0.49959033005807285</v>
      </c>
      <c r="C585" s="84">
        <f t="shared" ca="1" si="120"/>
        <v>0.91113803901186863</v>
      </c>
      <c r="D585" s="84">
        <f t="shared" ca="1" si="120"/>
        <v>0.37624623489219977</v>
      </c>
      <c r="F585" s="84">
        <f t="shared" ca="1" si="121"/>
        <v>0.62082140689547294</v>
      </c>
      <c r="G585" s="84">
        <f t="shared" ca="1" si="121"/>
        <v>0.35579541102283141</v>
      </c>
      <c r="H585" s="84">
        <f t="shared" ca="1" si="121"/>
        <v>0.14996272833523649</v>
      </c>
      <c r="J585" s="85">
        <f t="shared" ca="1" si="111"/>
        <v>134401173.79798514</v>
      </c>
      <c r="K585" s="86">
        <f ca="1">IF(J585&gt;0,MIN(99,$B$12*Q585/(J585*12*(1-Inputs!$H$16))),99)</f>
        <v>3.2824353133950908</v>
      </c>
      <c r="L585" s="84">
        <f t="shared" ca="1" si="112"/>
        <v>1.0126903935861002</v>
      </c>
      <c r="M585" s="84">
        <f t="shared" ca="1" si="113"/>
        <v>1.0049797487523238</v>
      </c>
      <c r="N585" s="84">
        <f t="shared" ca="1" si="114"/>
        <v>0.99792318968063354</v>
      </c>
      <c r="O585" s="84">
        <f t="shared" ca="1" si="115"/>
        <v>1.0342497682698681</v>
      </c>
      <c r="P585" s="84">
        <f t="shared" ca="1" si="116"/>
        <v>1.0995364483376453</v>
      </c>
      <c r="Q585" s="84">
        <f t="shared" ca="1" si="117"/>
        <v>0.96789707927619184</v>
      </c>
    </row>
    <row r="586" spans="1:17" ht="15" customHeight="1" x14ac:dyDescent="0.2">
      <c r="A586" s="15">
        <v>547</v>
      </c>
      <c r="B586" s="84">
        <f t="shared" ca="1" si="120"/>
        <v>0.5521628684757327</v>
      </c>
      <c r="C586" s="84">
        <f t="shared" ca="1" si="120"/>
        <v>0.29665734080060779</v>
      </c>
      <c r="D586" s="84">
        <f t="shared" ca="1" si="120"/>
        <v>0.51955856462584915</v>
      </c>
      <c r="F586" s="84">
        <f t="shared" ca="1" si="121"/>
        <v>6.2250082299977971E-2</v>
      </c>
      <c r="G586" s="84">
        <f t="shared" ca="1" si="121"/>
        <v>2.565206031591194E-2</v>
      </c>
      <c r="H586" s="84">
        <f t="shared" ca="1" si="121"/>
        <v>6.8624680007904226E-2</v>
      </c>
      <c r="J586" s="85">
        <f t="shared" ca="1" si="111"/>
        <v>158210516.75787133</v>
      </c>
      <c r="K586" s="86">
        <f ca="1">IF(J586&gt;0,MIN(99,$B$12*Q586/(J586*12*(1-Inputs!$H$16))),99)</f>
        <v>2.6709938290372155</v>
      </c>
      <c r="L586" s="84">
        <f t="shared" ca="1" si="112"/>
        <v>1.0268516460167694</v>
      </c>
      <c r="M586" s="84">
        <f t="shared" ca="1" si="113"/>
        <v>1.0112427753966307</v>
      </c>
      <c r="N586" s="84">
        <f t="shared" ca="1" si="114"/>
        <v>1.0092883752276551</v>
      </c>
      <c r="O586" s="84">
        <f t="shared" ca="1" si="115"/>
        <v>0.9861982375978946</v>
      </c>
      <c r="P586" s="84">
        <f t="shared" ca="1" si="116"/>
        <v>0.8852726630196962</v>
      </c>
      <c r="Q586" s="84">
        <f t="shared" ca="1" si="117"/>
        <v>0.92712475046045295</v>
      </c>
    </row>
    <row r="587" spans="1:17" ht="15" customHeight="1" x14ac:dyDescent="0.2">
      <c r="A587" s="15">
        <v>548</v>
      </c>
      <c r="B587" s="84">
        <f t="shared" ca="1" si="120"/>
        <v>0.43905075340361766</v>
      </c>
      <c r="C587" s="84">
        <f t="shared" ca="1" si="120"/>
        <v>0.29076808541656662</v>
      </c>
      <c r="D587" s="84">
        <f t="shared" ca="1" si="120"/>
        <v>0.2539328587047629</v>
      </c>
      <c r="F587" s="84">
        <f t="shared" ca="1" si="121"/>
        <v>0.4847555974831953</v>
      </c>
      <c r="G587" s="84">
        <f t="shared" ca="1" si="121"/>
        <v>0.26121067033692491</v>
      </c>
      <c r="H587" s="84">
        <f t="shared" ca="1" si="121"/>
        <v>0.8314153391774235</v>
      </c>
      <c r="J587" s="85">
        <f t="shared" ca="1" si="111"/>
        <v>129836584.6511706</v>
      </c>
      <c r="K587" s="86">
        <f ca="1">IF(J587&gt;0,MIN(99,$B$12*Q587/(J587*12*(1-Inputs!$H$16))),99)</f>
        <v>4.4628598707766578</v>
      </c>
      <c r="L587" s="84">
        <f t="shared" ca="1" si="112"/>
        <v>0.99724583181222315</v>
      </c>
      <c r="M587" s="84">
        <f t="shared" ca="1" si="113"/>
        <v>0.9981313936468541</v>
      </c>
      <c r="N587" s="84">
        <f t="shared" ca="1" si="114"/>
        <v>0.98739519571584078</v>
      </c>
      <c r="O587" s="84">
        <f t="shared" ca="1" si="115"/>
        <v>1.0213944518240072</v>
      </c>
      <c r="P587" s="84">
        <f t="shared" ca="1" si="116"/>
        <v>1.04542443846695</v>
      </c>
      <c r="Q587" s="84">
        <f t="shared" ca="1" si="117"/>
        <v>1.2712772492495616</v>
      </c>
    </row>
    <row r="588" spans="1:17" ht="15" customHeight="1" x14ac:dyDescent="0.2">
      <c r="A588" s="15">
        <v>549</v>
      </c>
      <c r="B588" s="84">
        <f t="shared" ca="1" si="120"/>
        <v>0.24599522392235695</v>
      </c>
      <c r="C588" s="84">
        <f t="shared" ca="1" si="120"/>
        <v>0.78926104327221991</v>
      </c>
      <c r="D588" s="84">
        <f t="shared" ca="1" si="120"/>
        <v>0.29541727310198462</v>
      </c>
      <c r="F588" s="84">
        <f t="shared" ca="1" si="121"/>
        <v>0.68101460809865899</v>
      </c>
      <c r="G588" s="84">
        <f t="shared" ca="1" si="121"/>
        <v>0.4489928470089205</v>
      </c>
      <c r="H588" s="84">
        <f t="shared" ca="1" si="121"/>
        <v>0.71263571600886899</v>
      </c>
      <c r="J588" s="85">
        <f t="shared" ca="1" si="111"/>
        <v>82654074.115889654</v>
      </c>
      <c r="K588" s="86">
        <f ca="1">IF(J588&gt;0,MIN(99,$B$12*Q588/(J588*12*(1-Inputs!$H$16))),99)</f>
        <v>6.6054200749838454</v>
      </c>
      <c r="L588" s="84">
        <f t="shared" ca="1" si="112"/>
        <v>0.94135643267173397</v>
      </c>
      <c r="M588" s="84">
        <f t="shared" ca="1" si="113"/>
        <v>0.97312710203652053</v>
      </c>
      <c r="N588" s="84">
        <f t="shared" ca="1" si="114"/>
        <v>0.99120409637122309</v>
      </c>
      <c r="O588" s="84">
        <f t="shared" ca="1" si="115"/>
        <v>1.0406738526235635</v>
      </c>
      <c r="P588" s="84">
        <f t="shared" ca="1" si="116"/>
        <v>1.1569006198693867</v>
      </c>
      <c r="Q588" s="84">
        <f t="shared" ca="1" si="117"/>
        <v>1.1978285184189263</v>
      </c>
    </row>
    <row r="589" spans="1:17" ht="15" customHeight="1" x14ac:dyDescent="0.2">
      <c r="A589" s="15">
        <v>550</v>
      </c>
      <c r="B589" s="84">
        <f t="shared" ca="1" si="120"/>
        <v>7.5170043944766118E-2</v>
      </c>
      <c r="C589" s="84">
        <f t="shared" ca="1" si="120"/>
        <v>5.662829451108442E-2</v>
      </c>
      <c r="D589" s="84">
        <f t="shared" ca="1" si="120"/>
        <v>0.72647822770342474</v>
      </c>
      <c r="F589" s="84">
        <f t="shared" ca="1" si="121"/>
        <v>0.36019239948225268</v>
      </c>
      <c r="G589" s="84">
        <f t="shared" ca="1" si="121"/>
        <v>0.64604727816619623</v>
      </c>
      <c r="H589" s="84">
        <f t="shared" ca="1" si="121"/>
        <v>0.61283434756940514</v>
      </c>
      <c r="J589" s="85">
        <f t="shared" ca="1" si="111"/>
        <v>26167617.217126057</v>
      </c>
      <c r="K589" s="86">
        <f ca="1">IF(J589&gt;0,MIN(99,$B$12*Q589/(J589*12*(1-Inputs!$H$16))),99)</f>
        <v>19.985607465492407</v>
      </c>
      <c r="L589" s="84">
        <f t="shared" ca="1" si="112"/>
        <v>0.86695993662343507</v>
      </c>
      <c r="M589" s="84">
        <f t="shared" ca="1" si="113"/>
        <v>0.9398429424179382</v>
      </c>
      <c r="N589" s="84">
        <f t="shared" ca="1" si="114"/>
        <v>1.0291957925443045</v>
      </c>
      <c r="O589" s="84">
        <f t="shared" ca="1" si="115"/>
        <v>1.0110534893956176</v>
      </c>
      <c r="P589" s="84">
        <f t="shared" ca="1" si="116"/>
        <v>1.297027324645144</v>
      </c>
      <c r="Q589" s="84">
        <f t="shared" ca="1" si="117"/>
        <v>1.1473910895959607</v>
      </c>
    </row>
    <row r="590" spans="1:17" ht="15" customHeight="1" x14ac:dyDescent="0.2">
      <c r="A590" s="15">
        <v>551</v>
      </c>
      <c r="B590" s="84">
        <f t="shared" ca="1" si="120"/>
        <v>0.40754903423142552</v>
      </c>
      <c r="C590" s="84">
        <f t="shared" ca="1" si="120"/>
        <v>0.99010626619675368</v>
      </c>
      <c r="D590" s="84">
        <f t="shared" ca="1" si="120"/>
        <v>6.5357418121954947E-2</v>
      </c>
      <c r="F590" s="84">
        <f t="shared" ca="1" si="121"/>
        <v>0.33160163146007549</v>
      </c>
      <c r="G590" s="84">
        <f t="shared" ca="1" si="121"/>
        <v>0.46886468682840676</v>
      </c>
      <c r="H590" s="84">
        <f t="shared" ca="1" si="121"/>
        <v>0.43815910302147842</v>
      </c>
      <c r="J590" s="85">
        <f t="shared" ca="1" si="111"/>
        <v>126544326.00353234</v>
      </c>
      <c r="K590" s="86">
        <f ca="1">IF(J590&gt;0,MIN(99,$B$12*Q590/(J590*12*(1-Inputs!$H$16))),99)</f>
        <v>3.8642710783758378</v>
      </c>
      <c r="L590" s="84">
        <f t="shared" ca="1" si="112"/>
        <v>0.98912441792340111</v>
      </c>
      <c r="M590" s="84">
        <f t="shared" ca="1" si="113"/>
        <v>0.99449796397526535</v>
      </c>
      <c r="N590" s="84">
        <f t="shared" ca="1" si="114"/>
        <v>0.96351915818631273</v>
      </c>
      <c r="O590" s="84">
        <f t="shared" ca="1" si="115"/>
        <v>1.0088263287195742</v>
      </c>
      <c r="P590" s="84">
        <f t="shared" ca="1" si="116"/>
        <v>1.1697458687476872</v>
      </c>
      <c r="Q590" s="84">
        <f t="shared" ca="1" si="117"/>
        <v>1.0728529581074855</v>
      </c>
    </row>
    <row r="591" spans="1:17" ht="15" customHeight="1" x14ac:dyDescent="0.2">
      <c r="A591" s="15">
        <v>552</v>
      </c>
      <c r="B591" s="84">
        <f t="shared" ca="1" si="120"/>
        <v>0.80720491461931032</v>
      </c>
      <c r="C591" s="84">
        <f t="shared" ca="1" si="120"/>
        <v>0.8068307217105678</v>
      </c>
      <c r="D591" s="84">
        <f t="shared" ca="1" si="120"/>
        <v>0.69664213889880866</v>
      </c>
      <c r="F591" s="84">
        <f t="shared" ca="1" si="121"/>
        <v>0.33302247468978108</v>
      </c>
      <c r="G591" s="84">
        <f t="shared" ca="1" si="121"/>
        <v>1.7977009931685717E-2</v>
      </c>
      <c r="H591" s="84">
        <f t="shared" ca="1" si="121"/>
        <v>0.10797497847577042</v>
      </c>
      <c r="J591" s="85">
        <f t="shared" ca="1" si="111"/>
        <v>214565688.98502183</v>
      </c>
      <c r="K591" s="86">
        <f ca="1">IF(J591&gt;0,MIN(99,$B$12*Q591/(J591*12*(1-Inputs!$H$16))),99)</f>
        <v>2.0155267904724106</v>
      </c>
      <c r="L591" s="84">
        <f t="shared" ca="1" si="112"/>
        <v>1.112183157382767</v>
      </c>
      <c r="M591" s="84">
        <f t="shared" ca="1" si="113"/>
        <v>1.048981918307945</v>
      </c>
      <c r="N591" s="84">
        <f t="shared" ca="1" si="114"/>
        <v>1.025944743698098</v>
      </c>
      <c r="O591" s="84">
        <f t="shared" ca="1" si="115"/>
        <v>1.0089358711354568</v>
      </c>
      <c r="P591" s="84">
        <f t="shared" ca="1" si="116"/>
        <v>0.87377719899607653</v>
      </c>
      <c r="Q591" s="84">
        <f t="shared" ca="1" si="117"/>
        <v>0.94880899248902861</v>
      </c>
    </row>
    <row r="592" spans="1:17" ht="15" customHeight="1" x14ac:dyDescent="0.2">
      <c r="A592" s="15">
        <v>553</v>
      </c>
      <c r="B592" s="84">
        <f t="shared" ca="1" si="120"/>
        <v>0.63275474043989266</v>
      </c>
      <c r="C592" s="84">
        <f t="shared" ca="1" si="120"/>
        <v>7.3515953756764674E-2</v>
      </c>
      <c r="D592" s="84">
        <f t="shared" ca="1" si="120"/>
        <v>0.49925248252546106</v>
      </c>
      <c r="F592" s="84">
        <f t="shared" ca="1" si="121"/>
        <v>0.1294640008713972</v>
      </c>
      <c r="G592" s="84">
        <f t="shared" ca="1" si="121"/>
        <v>0.11129992396208088</v>
      </c>
      <c r="H592" s="84">
        <f t="shared" ca="1" si="121"/>
        <v>0.34147209111148991</v>
      </c>
      <c r="J592" s="85">
        <f t="shared" ca="1" si="111"/>
        <v>171585909.55902416</v>
      </c>
      <c r="K592" s="86">
        <f ca="1">IF(J592&gt;0,MIN(99,$B$12*Q592/(J592*12*(1-Inputs!$H$16))),99)</f>
        <v>2.7535835662706201</v>
      </c>
      <c r="L592" s="84">
        <f t="shared" ca="1" si="112"/>
        <v>1.0502863529077178</v>
      </c>
      <c r="M592" s="84">
        <f t="shared" ca="1" si="113"/>
        <v>1.0216071265991886</v>
      </c>
      <c r="N592" s="84">
        <f t="shared" ca="1" si="114"/>
        <v>1.0075922734286045</v>
      </c>
      <c r="O592" s="84">
        <f t="shared" ca="1" si="115"/>
        <v>0.99341051406157999</v>
      </c>
      <c r="P592" s="84">
        <f t="shared" ca="1" si="116"/>
        <v>0.9617147107335331</v>
      </c>
      <c r="Q592" s="84">
        <f t="shared" ca="1" si="117"/>
        <v>1.0365967042068021</v>
      </c>
    </row>
    <row r="593" spans="1:17" ht="15" customHeight="1" x14ac:dyDescent="0.2">
      <c r="A593" s="15">
        <v>554</v>
      </c>
      <c r="B593" s="84">
        <f t="shared" ca="1" si="120"/>
        <v>0.38550751001172656</v>
      </c>
      <c r="C593" s="84">
        <f t="shared" ca="1" si="120"/>
        <v>0.86884069819479937</v>
      </c>
      <c r="D593" s="84">
        <f t="shared" ca="1" si="120"/>
        <v>0.74536117679589275</v>
      </c>
      <c r="F593" s="84">
        <f t="shared" ca="1" si="121"/>
        <v>0.62511648127293129</v>
      </c>
      <c r="G593" s="84">
        <f t="shared" ca="1" si="121"/>
        <v>0.80788058057363843</v>
      </c>
      <c r="H593" s="84">
        <f t="shared" ca="1" si="121"/>
        <v>0.20402357095946133</v>
      </c>
      <c r="J593" s="85">
        <f t="shared" ca="1" si="111"/>
        <v>93260389.686026946</v>
      </c>
      <c r="K593" s="86">
        <f ca="1">IF(J593&gt;0,MIN(99,$B$12*Q593/(J593*12*(1-Inputs!$H$16))),99)</f>
        <v>4.8329357520496465</v>
      </c>
      <c r="L593" s="84">
        <f t="shared" ca="1" si="112"/>
        <v>0.98325367914233652</v>
      </c>
      <c r="M593" s="84">
        <f t="shared" ca="1" si="113"/>
        <v>0.99187146115527902</v>
      </c>
      <c r="N593" s="84">
        <f t="shared" ca="1" si="114"/>
        <v>1.0313457758877858</v>
      </c>
      <c r="O593" s="84">
        <f t="shared" ca="1" si="115"/>
        <v>1.0346904314327312</v>
      </c>
      <c r="P593" s="84">
        <f t="shared" ca="1" si="116"/>
        <v>1.4459649222600612</v>
      </c>
      <c r="Q593" s="84">
        <f t="shared" ca="1" si="117"/>
        <v>0.98886769431647148</v>
      </c>
    </row>
    <row r="594" spans="1:17" ht="15" customHeight="1" x14ac:dyDescent="0.2">
      <c r="A594" s="15">
        <v>555</v>
      </c>
      <c r="B594" s="84">
        <f t="shared" ca="1" si="120"/>
        <v>0.51515774331851971</v>
      </c>
      <c r="C594" s="84">
        <f t="shared" ca="1" si="120"/>
        <v>0.84086464519637483</v>
      </c>
      <c r="D594" s="84">
        <f t="shared" ca="1" si="120"/>
        <v>0.31570517824186484</v>
      </c>
      <c r="F594" s="84">
        <f t="shared" ca="1" si="121"/>
        <v>0.5408393893686001</v>
      </c>
      <c r="G594" s="84">
        <f t="shared" ca="1" si="121"/>
        <v>0.73302747232032717</v>
      </c>
      <c r="H594" s="84">
        <f t="shared" ca="1" si="121"/>
        <v>0.94236320250440386</v>
      </c>
      <c r="J594" s="85">
        <f t="shared" ca="1" si="111"/>
        <v>129467265.282167</v>
      </c>
      <c r="K594" s="86">
        <f ca="1">IF(J594&gt;0,MIN(99,$B$12*Q594/(J594*12*(1-Inputs!$H$16))),99)</f>
        <v>4.8269923431169772</v>
      </c>
      <c r="L594" s="84">
        <f t="shared" ca="1" si="112"/>
        <v>1.0168027686172767</v>
      </c>
      <c r="M594" s="84">
        <f t="shared" ca="1" si="113"/>
        <v>1.0067985083936575</v>
      </c>
      <c r="N594" s="84">
        <f t="shared" ca="1" si="114"/>
        <v>0.99296916663687362</v>
      </c>
      <c r="O594" s="84">
        <f t="shared" ca="1" si="115"/>
        <v>1.0264583566740295</v>
      </c>
      <c r="P594" s="84">
        <f t="shared" ca="1" si="116"/>
        <v>1.3714323478922381</v>
      </c>
      <c r="Q594" s="84">
        <f t="shared" ca="1" si="117"/>
        <v>1.3710917760236425</v>
      </c>
    </row>
    <row r="595" spans="1:17" ht="15" customHeight="1" x14ac:dyDescent="0.2">
      <c r="A595" s="15">
        <v>556</v>
      </c>
      <c r="B595" s="84">
        <f t="shared" ca="1" si="120"/>
        <v>0.50248364872546192</v>
      </c>
      <c r="C595" s="84">
        <f t="shared" ca="1" si="120"/>
        <v>0.73104005963421337</v>
      </c>
      <c r="D595" s="84">
        <f t="shared" ca="1" si="120"/>
        <v>0.37193685222902406</v>
      </c>
      <c r="F595" s="84">
        <f t="shared" ca="1" si="121"/>
        <v>0.24293537451974856</v>
      </c>
      <c r="G595" s="84">
        <f t="shared" ca="1" si="121"/>
        <v>0.18229898213091633</v>
      </c>
      <c r="H595" s="84">
        <f t="shared" ca="1" si="121"/>
        <v>0.52939914523871379</v>
      </c>
      <c r="J595" s="85">
        <f t="shared" ca="1" si="111"/>
        <v>144018846.25350749</v>
      </c>
      <c r="K595" s="86">
        <f ca="1">IF(J595&gt;0,MIN(99,$B$12*Q595/(J595*12*(1-Inputs!$H$16))),99)</f>
        <v>3.5131462614901308</v>
      </c>
      <c r="L595" s="84">
        <f t="shared" ca="1" si="112"/>
        <v>1.013449816860609</v>
      </c>
      <c r="M595" s="84">
        <f t="shared" ca="1" si="113"/>
        <v>1.0053156151049532</v>
      </c>
      <c r="N595" s="84">
        <f t="shared" ca="1" si="114"/>
        <v>0.99758439079213568</v>
      </c>
      <c r="O595" s="84">
        <f t="shared" ca="1" si="115"/>
        <v>1.0022067766511571</v>
      </c>
      <c r="P595" s="84">
        <f t="shared" ca="1" si="116"/>
        <v>1.0028806514743258</v>
      </c>
      <c r="Q595" s="84">
        <f t="shared" ca="1" si="117"/>
        <v>1.1100575623618112</v>
      </c>
    </row>
    <row r="596" spans="1:17" ht="15" customHeight="1" x14ac:dyDescent="0.2">
      <c r="A596" s="15">
        <v>557</v>
      </c>
      <c r="B596" s="84">
        <f t="shared" ca="1" si="120"/>
        <v>0.44561250075921199</v>
      </c>
      <c r="C596" s="84">
        <f t="shared" ca="1" si="120"/>
        <v>0.4063676687583857</v>
      </c>
      <c r="D596" s="84">
        <f t="shared" ca="1" si="120"/>
        <v>0.54699413560173127</v>
      </c>
      <c r="F596" s="84">
        <f t="shared" ca="1" si="121"/>
        <v>0.17258649901735068</v>
      </c>
      <c r="G596" s="84">
        <f t="shared" ca="1" si="121"/>
        <v>0.7898052407662689</v>
      </c>
      <c r="H596" s="84">
        <f t="shared" ca="1" si="121"/>
        <v>1.3469108643392014E-2</v>
      </c>
      <c r="J596" s="85">
        <f t="shared" ca="1" si="111"/>
        <v>115464480.39881505</v>
      </c>
      <c r="K596" s="86">
        <f ca="1">IF(J596&gt;0,MIN(99,$B$12*Q596/(J596*12*(1-Inputs!$H$16))),99)</f>
        <v>3.4723836070710559</v>
      </c>
      <c r="L596" s="84">
        <f t="shared" ca="1" si="112"/>
        <v>0.9989004384439909</v>
      </c>
      <c r="M596" s="84">
        <f t="shared" ca="1" si="113"/>
        <v>0.99887164613404067</v>
      </c>
      <c r="N596" s="84">
        <f t="shared" ca="1" si="114"/>
        <v>1.0116379802416442</v>
      </c>
      <c r="O596" s="84">
        <f t="shared" ca="1" si="115"/>
        <v>0.99704728662466413</v>
      </c>
      <c r="P596" s="84">
        <f t="shared" ca="1" si="116"/>
        <v>1.4267984659939958</v>
      </c>
      <c r="Q596" s="84">
        <f t="shared" ca="1" si="117"/>
        <v>0.87964217604792883</v>
      </c>
    </row>
    <row r="597" spans="1:17" ht="15" customHeight="1" x14ac:dyDescent="0.2">
      <c r="A597" s="15">
        <v>558</v>
      </c>
      <c r="B597" s="84">
        <f t="shared" ca="1" si="120"/>
        <v>0.79953259892205764</v>
      </c>
      <c r="C597" s="84">
        <f t="shared" ca="1" si="120"/>
        <v>0.15556542643742566</v>
      </c>
      <c r="D597" s="84">
        <f t="shared" ca="1" si="120"/>
        <v>0.84513256488209498</v>
      </c>
      <c r="F597" s="84">
        <f t="shared" ca="1" si="121"/>
        <v>0.52522096253272899</v>
      </c>
      <c r="G597" s="84">
        <f t="shared" ca="1" si="121"/>
        <v>0.2848284504182319</v>
      </c>
      <c r="H597" s="84">
        <f t="shared" ca="1" si="121"/>
        <v>0.81205237110032713</v>
      </c>
      <c r="J597" s="85">
        <f t="shared" ca="1" si="111"/>
        <v>198051329.97597533</v>
      </c>
      <c r="K597" s="86">
        <f ca="1">IF(J597&gt;0,MIN(99,$B$12*Q597/(J597*12*(1-Inputs!$H$16))),99)</f>
        <v>2.8948162013023642</v>
      </c>
      <c r="L597" s="84">
        <f t="shared" ca="1" si="112"/>
        <v>1.1089750993127323</v>
      </c>
      <c r="M597" s="84">
        <f t="shared" ca="1" si="113"/>
        <v>1.0475631064290185</v>
      </c>
      <c r="N597" s="84">
        <f t="shared" ca="1" si="114"/>
        <v>1.0443430185111648</v>
      </c>
      <c r="O597" s="84">
        <f t="shared" ca="1" si="115"/>
        <v>1.0250184613480464</v>
      </c>
      <c r="P597" s="84">
        <f t="shared" ca="1" si="116"/>
        <v>1.0585950334887047</v>
      </c>
      <c r="Q597" s="84">
        <f t="shared" ca="1" si="117"/>
        <v>1.2578495512226935</v>
      </c>
    </row>
    <row r="598" spans="1:17" ht="15" customHeight="1" x14ac:dyDescent="0.2">
      <c r="A598" s="15">
        <v>559</v>
      </c>
      <c r="B598" s="84">
        <f t="shared" ca="1" si="120"/>
        <v>0.34640963759265186</v>
      </c>
      <c r="C598" s="84">
        <f t="shared" ca="1" si="120"/>
        <v>0.91070833871306889</v>
      </c>
      <c r="D598" s="84">
        <f t="shared" ca="1" si="120"/>
        <v>0.62767810216466624</v>
      </c>
      <c r="F598" s="84">
        <f t="shared" ca="1" si="121"/>
        <v>7.0818480228293179E-2</v>
      </c>
      <c r="G598" s="84">
        <f t="shared" ca="1" si="121"/>
        <v>0.4429069516630636</v>
      </c>
      <c r="H598" s="84">
        <f t="shared" ca="1" si="121"/>
        <v>0.6165684329660458</v>
      </c>
      <c r="J598" s="85">
        <f t="shared" ca="1" si="111"/>
        <v>107310145.6141222</v>
      </c>
      <c r="K598" s="86">
        <f ca="1">IF(J598&gt;0,MIN(99,$B$12*Q598/(J598*12*(1-Inputs!$H$16))),99)</f>
        <v>4.8809760887690929</v>
      </c>
      <c r="L598" s="84">
        <f t="shared" ca="1" si="112"/>
        <v>0.97241095265758015</v>
      </c>
      <c r="M598" s="84">
        <f t="shared" ca="1" si="113"/>
        <v>0.98702054668768147</v>
      </c>
      <c r="N598" s="84">
        <f t="shared" ca="1" si="114"/>
        <v>1.018994519370557</v>
      </c>
      <c r="O598" s="84">
        <f t="shared" ca="1" si="115"/>
        <v>0.98728472402403977</v>
      </c>
      <c r="P598" s="84">
        <f t="shared" ca="1" si="116"/>
        <v>1.1530131686058183</v>
      </c>
      <c r="Q598" s="84">
        <f t="shared" ca="1" si="117"/>
        <v>1.149151810728823</v>
      </c>
    </row>
    <row r="599" spans="1:17" ht="15" customHeight="1" x14ac:dyDescent="0.2">
      <c r="A599" s="15">
        <v>560</v>
      </c>
      <c r="B599" s="84">
        <f t="shared" ca="1" si="120"/>
        <v>0.31582299866622832</v>
      </c>
      <c r="C599" s="84">
        <f t="shared" ca="1" si="120"/>
        <v>0.58530557597180377</v>
      </c>
      <c r="D599" s="84">
        <f t="shared" ca="1" si="120"/>
        <v>0.17281676386043354</v>
      </c>
      <c r="F599" s="84">
        <f t="shared" ca="1" si="121"/>
        <v>0.42910545713114068</v>
      </c>
      <c r="G599" s="84">
        <f t="shared" ca="1" si="121"/>
        <v>0.34804533202245103</v>
      </c>
      <c r="H599" s="84">
        <f t="shared" ca="1" si="121"/>
        <v>0.44308642553481548</v>
      </c>
      <c r="J599" s="85">
        <f t="shared" ca="1" si="111"/>
        <v>106762911.56880598</v>
      </c>
      <c r="K599" s="86">
        <f ca="1">IF(J599&gt;0,MIN(99,$B$12*Q599/(J599*12*(1-Inputs!$H$16))),99)</f>
        <v>4.5884892029187876</v>
      </c>
      <c r="L599" s="84">
        <f t="shared" ca="1" si="112"/>
        <v>0.96349426344043121</v>
      </c>
      <c r="M599" s="84">
        <f t="shared" ca="1" si="113"/>
        <v>0.98303131973564595</v>
      </c>
      <c r="N599" s="84">
        <f t="shared" ca="1" si="114"/>
        <v>0.97891241925038097</v>
      </c>
      <c r="O599" s="84">
        <f t="shared" ca="1" si="115"/>
        <v>1.0166355791852284</v>
      </c>
      <c r="P599" s="84">
        <f t="shared" ca="1" si="116"/>
        <v>1.0949591708194184</v>
      </c>
      <c r="Q599" s="84">
        <f t="shared" ca="1" si="117"/>
        <v>1.0747812084876438</v>
      </c>
    </row>
    <row r="600" spans="1:17" ht="15" customHeight="1" x14ac:dyDescent="0.2">
      <c r="A600" s="15">
        <v>561</v>
      </c>
      <c r="B600" s="84">
        <f t="shared" ref="B600:D619" ca="1" si="122">RAND()</f>
        <v>0.31221153544823654</v>
      </c>
      <c r="C600" s="84">
        <f t="shared" ca="1" si="122"/>
        <v>0.86667384072114362</v>
      </c>
      <c r="D600" s="84">
        <f t="shared" ca="1" si="122"/>
        <v>0.83630895464767663</v>
      </c>
      <c r="F600" s="84">
        <f t="shared" ref="F600:H619" ca="1" si="123">RAND()</f>
        <v>0.82682825614372824</v>
      </c>
      <c r="G600" s="84">
        <f t="shared" ca="1" si="123"/>
        <v>0.3641181337261834</v>
      </c>
      <c r="H600" s="84">
        <f t="shared" ca="1" si="123"/>
        <v>0.99219624086382452</v>
      </c>
      <c r="J600" s="85">
        <f t="shared" ca="1" si="111"/>
        <v>85230128.107076481</v>
      </c>
      <c r="K600" s="86">
        <f ca="1">IF(J600&gt;0,MIN(99,$B$12*Q600/(J600*12*(1-Inputs!$H$16))),99)</f>
        <v>7.8073660827753599</v>
      </c>
      <c r="L600" s="84">
        <f t="shared" ca="1" si="112"/>
        <v>0.96241344065441681</v>
      </c>
      <c r="M600" s="84">
        <f t="shared" ca="1" si="113"/>
        <v>0.98254777171873742</v>
      </c>
      <c r="N600" s="84">
        <f t="shared" ca="1" si="114"/>
        <v>1.043049501219139</v>
      </c>
      <c r="O600" s="84">
        <f t="shared" ca="1" si="115"/>
        <v>1.0594028417536896</v>
      </c>
      <c r="P600" s="84">
        <f t="shared" ca="1" si="116"/>
        <v>1.1044827024642754</v>
      </c>
      <c r="Q600" s="84">
        <f t="shared" ca="1" si="117"/>
        <v>1.4599151866129074</v>
      </c>
    </row>
    <row r="601" spans="1:17" ht="15" customHeight="1" x14ac:dyDescent="0.2">
      <c r="A601" s="15">
        <v>562</v>
      </c>
      <c r="B601" s="84">
        <f t="shared" ca="1" si="122"/>
        <v>0.8658524781986372</v>
      </c>
      <c r="C601" s="84">
        <f t="shared" ca="1" si="122"/>
        <v>0.32254017770817578</v>
      </c>
      <c r="D601" s="84">
        <f t="shared" ca="1" si="122"/>
        <v>0.31185045499974806</v>
      </c>
      <c r="F601" s="84">
        <f t="shared" ca="1" si="123"/>
        <v>0.84753188151135628</v>
      </c>
      <c r="G601" s="84">
        <f t="shared" ca="1" si="123"/>
        <v>0.25922718674910006</v>
      </c>
      <c r="H601" s="84">
        <f t="shared" ca="1" si="123"/>
        <v>9.1683850517004006E-2</v>
      </c>
      <c r="J601" s="85">
        <f t="shared" ca="1" si="111"/>
        <v>228247220.90333861</v>
      </c>
      <c r="K601" s="86">
        <f ca="1">IF(J601&gt;0,MIN(99,$B$12*Q601/(J601*12*(1-Inputs!$H$16))),99)</f>
        <v>1.8779447661240705</v>
      </c>
      <c r="L601" s="84">
        <f t="shared" ca="1" si="112"/>
        <v>1.1391865829614489</v>
      </c>
      <c r="M601" s="84">
        <f t="shared" ca="1" si="113"/>
        <v>1.0609245889661258</v>
      </c>
      <c r="N601" s="84">
        <f t="shared" ca="1" si="114"/>
        <v>0.99263826555008416</v>
      </c>
      <c r="O601" s="84">
        <f t="shared" ca="1" si="115"/>
        <v>1.0626368062508298</v>
      </c>
      <c r="P601" s="84">
        <f t="shared" ca="1" si="116"/>
        <v>1.0443279843555104</v>
      </c>
      <c r="Q601" s="84">
        <f t="shared" ca="1" si="117"/>
        <v>0.94041219970908219</v>
      </c>
    </row>
    <row r="602" spans="1:17" ht="15" customHeight="1" x14ac:dyDescent="0.2">
      <c r="A602" s="15">
        <v>563</v>
      </c>
      <c r="B602" s="84">
        <f t="shared" ca="1" si="122"/>
        <v>0.21751942396142931</v>
      </c>
      <c r="C602" s="84">
        <f t="shared" ca="1" si="122"/>
        <v>0.59024586755603292</v>
      </c>
      <c r="D602" s="84">
        <f t="shared" ca="1" si="122"/>
        <v>0.48496841436829874</v>
      </c>
      <c r="F602" s="84">
        <f t="shared" ca="1" si="123"/>
        <v>0.17143726951265592</v>
      </c>
      <c r="G602" s="84">
        <f t="shared" ca="1" si="123"/>
        <v>0.59758346308349841</v>
      </c>
      <c r="H602" s="84">
        <f t="shared" ca="1" si="123"/>
        <v>0.93357314153183957</v>
      </c>
      <c r="J602" s="85">
        <f t="shared" ca="1" si="111"/>
        <v>76297218.68013306</v>
      </c>
      <c r="K602" s="86">
        <f ca="1">IF(J602&gt;0,MIN(99,$B$12*Q602/(J602*12*(1-Inputs!$H$16))),99)</f>
        <v>8.1290813713507681</v>
      </c>
      <c r="L602" s="84">
        <f t="shared" ca="1" si="112"/>
        <v>0.93143188676117417</v>
      </c>
      <c r="M602" s="84">
        <f t="shared" ca="1" si="113"/>
        <v>0.96868697128070413</v>
      </c>
      <c r="N602" s="84">
        <f t="shared" ca="1" si="114"/>
        <v>1.0064196951099034</v>
      </c>
      <c r="O602" s="84">
        <f t="shared" ca="1" si="115"/>
        <v>0.9969567029102725</v>
      </c>
      <c r="P602" s="84">
        <f t="shared" ca="1" si="116"/>
        <v>1.2595384641235543</v>
      </c>
      <c r="Q602" s="84">
        <f t="shared" ca="1" si="117"/>
        <v>1.3607555641329303</v>
      </c>
    </row>
    <row r="603" spans="1:17" ht="15" customHeight="1" x14ac:dyDescent="0.2">
      <c r="A603" s="15">
        <v>564</v>
      </c>
      <c r="B603" s="84">
        <f t="shared" ca="1" si="122"/>
        <v>0.7781719706442457</v>
      </c>
      <c r="C603" s="84">
        <f t="shared" ca="1" si="122"/>
        <v>5.8298899659392611E-2</v>
      </c>
      <c r="D603" s="84">
        <f t="shared" ca="1" si="122"/>
        <v>0.29202153533275843</v>
      </c>
      <c r="F603" s="84">
        <f t="shared" ca="1" si="123"/>
        <v>0.90439048500831642</v>
      </c>
      <c r="G603" s="84">
        <f t="shared" ca="1" si="123"/>
        <v>0.60082863834177203</v>
      </c>
      <c r="H603" s="84">
        <f t="shared" ca="1" si="123"/>
        <v>0.9284156248741503</v>
      </c>
      <c r="J603" s="85">
        <f t="shared" ca="1" si="111"/>
        <v>188492004.57516801</v>
      </c>
      <c r="K603" s="86">
        <f ca="1">IF(J603&gt;0,MIN(99,$B$12*Q603/(J603*12*(1-Inputs!$H$16))),99)</f>
        <v>3.2765666707052494</v>
      </c>
      <c r="L603" s="84">
        <f t="shared" ca="1" si="112"/>
        <v>1.1003536314823115</v>
      </c>
      <c r="M603" s="84">
        <f t="shared" ca="1" si="113"/>
        <v>1.043750132753186</v>
      </c>
      <c r="N603" s="84">
        <f t="shared" ca="1" si="114"/>
        <v>0.99090280707632161</v>
      </c>
      <c r="O603" s="84">
        <f t="shared" ca="1" si="115"/>
        <v>1.0728756252668923</v>
      </c>
      <c r="P603" s="84">
        <f t="shared" ca="1" si="116"/>
        <v>1.2619756678122078</v>
      </c>
      <c r="Q603" s="84">
        <f t="shared" ca="1" si="117"/>
        <v>1.3550080764554666</v>
      </c>
    </row>
    <row r="604" spans="1:17" ht="15" customHeight="1" x14ac:dyDescent="0.2">
      <c r="A604" s="15">
        <v>565</v>
      </c>
      <c r="B604" s="84">
        <f t="shared" ca="1" si="122"/>
        <v>4.1603972618958984E-2</v>
      </c>
      <c r="C604" s="84">
        <f t="shared" ca="1" si="122"/>
        <v>0.5459226635997485</v>
      </c>
      <c r="D604" s="84">
        <f t="shared" ca="1" si="122"/>
        <v>0.7980785652409742</v>
      </c>
      <c r="F604" s="84">
        <f t="shared" ca="1" si="123"/>
        <v>0.68548553019394109</v>
      </c>
      <c r="G604" s="84">
        <f t="shared" ca="1" si="123"/>
        <v>0.75250966123747853</v>
      </c>
      <c r="H604" s="84">
        <f t="shared" ca="1" si="123"/>
        <v>0.83771829399724174</v>
      </c>
      <c r="J604" s="85">
        <f t="shared" ca="1" si="111"/>
        <v>1406048.1315524876</v>
      </c>
      <c r="K604" s="86">
        <f ca="1">IF(J604&gt;0,MIN(99,$B$12*Q604/(J604*12*(1-Inputs!$H$16))),99)</f>
        <v>99</v>
      </c>
      <c r="L604" s="84">
        <f t="shared" ca="1" si="112"/>
        <v>0.8434137918817024</v>
      </c>
      <c r="M604" s="84">
        <f t="shared" ca="1" si="113"/>
        <v>0.92930866081041097</v>
      </c>
      <c r="N604" s="84">
        <f t="shared" ca="1" si="114"/>
        <v>1.0378114097416347</v>
      </c>
      <c r="O604" s="84">
        <f t="shared" ca="1" si="115"/>
        <v>1.0411743068961765</v>
      </c>
      <c r="P604" s="84">
        <f t="shared" ca="1" si="116"/>
        <v>1.3896993375581372</v>
      </c>
      <c r="Q604" s="84">
        <f t="shared" ca="1" si="117"/>
        <v>1.2758130749881673</v>
      </c>
    </row>
    <row r="605" spans="1:17" ht="15" customHeight="1" x14ac:dyDescent="0.2">
      <c r="A605" s="15">
        <v>566</v>
      </c>
      <c r="B605" s="84">
        <f t="shared" ca="1" si="122"/>
        <v>3.350008131514759E-3</v>
      </c>
      <c r="C605" s="84">
        <f t="shared" ca="1" si="122"/>
        <v>0.22837968952256915</v>
      </c>
      <c r="D605" s="84">
        <f t="shared" ca="1" si="122"/>
        <v>9.2216982480883725E-2</v>
      </c>
      <c r="F605" s="84">
        <f t="shared" ca="1" si="123"/>
        <v>0.15694247147399176</v>
      </c>
      <c r="G605" s="84">
        <f t="shared" ca="1" si="123"/>
        <v>8.9755340273264705E-2</v>
      </c>
      <c r="H605" s="84">
        <f t="shared" ca="1" si="123"/>
        <v>0.20051341391655919</v>
      </c>
      <c r="J605" s="85">
        <f t="shared" ca="1" si="111"/>
        <v>8207427.6192108989</v>
      </c>
      <c r="K605" s="86">
        <f ca="1">IF(J605&gt;0,MIN(99,$B$12*Q605/(J605*12*(1-Inputs!$H$16))),99)</f>
        <v>54.845762007903197</v>
      </c>
      <c r="L605" s="84">
        <f t="shared" ca="1" si="112"/>
        <v>0.79441329221938961</v>
      </c>
      <c r="M605" s="84">
        <f t="shared" ca="1" si="113"/>
        <v>0.90738638571976848</v>
      </c>
      <c r="N605" s="84">
        <f t="shared" ca="1" si="114"/>
        <v>0.96813743525756069</v>
      </c>
      <c r="O605" s="84">
        <f t="shared" ca="1" si="115"/>
        <v>0.995787023580891</v>
      </c>
      <c r="P605" s="84">
        <f t="shared" ca="1" si="116"/>
        <v>0.94671993847803648</v>
      </c>
      <c r="Q605" s="84">
        <f t="shared" ca="1" si="117"/>
        <v>0.98759771769439897</v>
      </c>
    </row>
    <row r="606" spans="1:17" ht="15" customHeight="1" x14ac:dyDescent="0.2">
      <c r="A606" s="15">
        <v>567</v>
      </c>
      <c r="B606" s="84">
        <f t="shared" ca="1" si="122"/>
        <v>0.14632468490841444</v>
      </c>
      <c r="C606" s="84">
        <f t="shared" ca="1" si="122"/>
        <v>0.47728954526068756</v>
      </c>
      <c r="D606" s="84">
        <f t="shared" ca="1" si="122"/>
        <v>0.87336418090407131</v>
      </c>
      <c r="F606" s="84">
        <f t="shared" ca="1" si="123"/>
        <v>0.50339896636298775</v>
      </c>
      <c r="G606" s="84">
        <f t="shared" ca="1" si="123"/>
        <v>0.59602396607644148</v>
      </c>
      <c r="H606" s="84">
        <f t="shared" ca="1" si="123"/>
        <v>0.40070423743413897</v>
      </c>
      <c r="J606" s="85">
        <f t="shared" ca="1" si="111"/>
        <v>45091777.080374047</v>
      </c>
      <c r="K606" s="86">
        <f ca="1">IF(J606&gt;0,MIN(99,$B$12*Q606/(J606*12*(1-Inputs!$H$16))),99)</f>
        <v>10.699134048112056</v>
      </c>
      <c r="L606" s="84">
        <f t="shared" ca="1" si="112"/>
        <v>0.90330248264237378</v>
      </c>
      <c r="M606" s="84">
        <f t="shared" ca="1" si="113"/>
        <v>0.95610219072789526</v>
      </c>
      <c r="N606" s="84">
        <f t="shared" ca="1" si="114"/>
        <v>1.0487508091158193</v>
      </c>
      <c r="O606" s="84">
        <f t="shared" ca="1" si="115"/>
        <v>1.0230457427450474</v>
      </c>
      <c r="P606" s="84">
        <f t="shared" ca="1" si="116"/>
        <v>1.2583707410909426</v>
      </c>
      <c r="Q606" s="84">
        <f t="shared" ca="1" si="117"/>
        <v>1.0584635855196358</v>
      </c>
    </row>
    <row r="607" spans="1:17" ht="15" customHeight="1" x14ac:dyDescent="0.2">
      <c r="A607" s="15">
        <v>568</v>
      </c>
      <c r="B607" s="84">
        <f t="shared" ca="1" si="122"/>
        <v>0.98894726175695713</v>
      </c>
      <c r="C607" s="84">
        <f t="shared" ca="1" si="122"/>
        <v>0.34225689531178238</v>
      </c>
      <c r="D607" s="84">
        <f t="shared" ca="1" si="122"/>
        <v>5.2603523770257898E-2</v>
      </c>
      <c r="F607" s="84">
        <f t="shared" ca="1" si="123"/>
        <v>0.81656925753581822</v>
      </c>
      <c r="G607" s="84">
        <f t="shared" ca="1" si="123"/>
        <v>0.84050074859751733</v>
      </c>
      <c r="H607" s="84">
        <f t="shared" ca="1" si="123"/>
        <v>0.49107351098340968</v>
      </c>
      <c r="J607" s="85">
        <f t="shared" ca="1" si="111"/>
        <v>300007170.6697914</v>
      </c>
      <c r="K607" s="86">
        <f ca="1">IF(J607&gt;0,MIN(99,$B$12*Q607/(J607*12*(1-Inputs!$H$16))),99)</f>
        <v>1.6621337265649452</v>
      </c>
      <c r="L607" s="84">
        <f t="shared" ca="1" si="112"/>
        <v>1.2360160095883144</v>
      </c>
      <c r="M607" s="84">
        <f t="shared" ca="1" si="113"/>
        <v>1.1037488576447658</v>
      </c>
      <c r="N607" s="84">
        <f t="shared" ca="1" si="114"/>
        <v>0.96099020864919427</v>
      </c>
      <c r="O607" s="84">
        <f t="shared" ca="1" si="115"/>
        <v>1.0578721223463869</v>
      </c>
      <c r="P607" s="84">
        <f t="shared" ca="1" si="116"/>
        <v>1.4829943775341279</v>
      </c>
      <c r="Q607" s="84">
        <f t="shared" ca="1" si="117"/>
        <v>1.0940257360492225</v>
      </c>
    </row>
    <row r="608" spans="1:17" ht="15" customHeight="1" x14ac:dyDescent="0.2">
      <c r="A608" s="15">
        <v>569</v>
      </c>
      <c r="B608" s="84">
        <f t="shared" ca="1" si="122"/>
        <v>0.35636264795839356</v>
      </c>
      <c r="C608" s="84">
        <f t="shared" ca="1" si="122"/>
        <v>0.8157604723462929</v>
      </c>
      <c r="D608" s="84">
        <f t="shared" ca="1" si="122"/>
        <v>0.30562109163255147</v>
      </c>
      <c r="F608" s="84">
        <f t="shared" ca="1" si="123"/>
        <v>6.5843676305674337E-2</v>
      </c>
      <c r="G608" s="84">
        <f t="shared" ca="1" si="123"/>
        <v>8.4935485912017383E-2</v>
      </c>
      <c r="H608" s="84">
        <f t="shared" ca="1" si="123"/>
        <v>0.81592132943345164</v>
      </c>
      <c r="J608" s="85">
        <f t="shared" ca="1" si="111"/>
        <v>122938805.21161373</v>
      </c>
      <c r="K608" s="86">
        <f ca="1">IF(J608&gt;0,MIN(99,$B$12*Q608/(J608*12*(1-Inputs!$H$16))),99)</f>
        <v>4.6732107375131857</v>
      </c>
      <c r="L608" s="84">
        <f t="shared" ca="1" si="112"/>
        <v>0.97522686606776643</v>
      </c>
      <c r="M608" s="84">
        <f t="shared" ca="1" si="113"/>
        <v>0.98828035482912802</v>
      </c>
      <c r="N608" s="84">
        <f t="shared" ca="1" si="114"/>
        <v>0.99209916500109618</v>
      </c>
      <c r="O608" s="84">
        <f t="shared" ca="1" si="115"/>
        <v>0.9866624799318281</v>
      </c>
      <c r="P608" s="84">
        <f t="shared" ca="1" si="116"/>
        <v>0.94312597521741182</v>
      </c>
      <c r="Q608" s="84">
        <f t="shared" ca="1" si="117"/>
        <v>1.2604751712604685</v>
      </c>
    </row>
    <row r="609" spans="1:17" ht="15" customHeight="1" x14ac:dyDescent="0.2">
      <c r="A609" s="15">
        <v>570</v>
      </c>
      <c r="B609" s="84">
        <f t="shared" ca="1" si="122"/>
        <v>0.73651492249932504</v>
      </c>
      <c r="C609" s="84">
        <f t="shared" ca="1" si="122"/>
        <v>4.7787166308567941E-2</v>
      </c>
      <c r="D609" s="84">
        <f t="shared" ca="1" si="122"/>
        <v>0.9348099914886373</v>
      </c>
      <c r="F609" s="84">
        <f t="shared" ca="1" si="123"/>
        <v>0.13398937161400126</v>
      </c>
      <c r="G609" s="84">
        <f t="shared" ca="1" si="123"/>
        <v>4.0312841906636199E-2</v>
      </c>
      <c r="H609" s="84">
        <f t="shared" ca="1" si="123"/>
        <v>0.23727749412824062</v>
      </c>
      <c r="J609" s="85">
        <f t="shared" ca="1" si="111"/>
        <v>187010716.37674296</v>
      </c>
      <c r="K609" s="86">
        <f ca="1">IF(J609&gt;0,MIN(99,$B$12*Q609/(J609*12*(1-Inputs!$H$16))),99)</f>
        <v>2.4382339045496084</v>
      </c>
      <c r="L609" s="84">
        <f t="shared" ca="1" si="112"/>
        <v>1.0846603085104349</v>
      </c>
      <c r="M609" s="84">
        <f t="shared" ca="1" si="113"/>
        <v>1.0368095248943985</v>
      </c>
      <c r="N609" s="84">
        <f t="shared" ca="1" si="114"/>
        <v>1.0605137288687136</v>
      </c>
      <c r="O609" s="84">
        <f t="shared" ca="1" si="115"/>
        <v>0.99381813386871831</v>
      </c>
      <c r="P609" s="84">
        <f t="shared" ca="1" si="116"/>
        <v>0.90317322649425136</v>
      </c>
      <c r="Q609" s="84">
        <f t="shared" ca="1" si="117"/>
        <v>1.0003956653307804</v>
      </c>
    </row>
    <row r="610" spans="1:17" ht="15" customHeight="1" x14ac:dyDescent="0.2">
      <c r="A610" s="15">
        <v>571</v>
      </c>
      <c r="B610" s="84">
        <f t="shared" ca="1" si="122"/>
        <v>0.1959494996821266</v>
      </c>
      <c r="C610" s="84">
        <f t="shared" ca="1" si="122"/>
        <v>0.422662034466459</v>
      </c>
      <c r="D610" s="84">
        <f t="shared" ca="1" si="122"/>
        <v>0.96416696801573287</v>
      </c>
      <c r="F610" s="84">
        <f t="shared" ca="1" si="123"/>
        <v>0.39640297693984772</v>
      </c>
      <c r="G610" s="84">
        <f t="shared" ca="1" si="123"/>
        <v>0.57111294316566263</v>
      </c>
      <c r="H610" s="84">
        <f t="shared" ca="1" si="123"/>
        <v>0.61736547122554752</v>
      </c>
      <c r="J610" s="85">
        <f t="shared" ca="1" si="111"/>
        <v>56586613.638327345</v>
      </c>
      <c r="K610" s="86">
        <f ca="1">IF(J610&gt;0,MIN(99,$B$12*Q610/(J610*12*(1-Inputs!$H$16))),99)</f>
        <v>9.2592580788468535</v>
      </c>
      <c r="L610" s="84">
        <f t="shared" ca="1" si="112"/>
        <v>0.92347329293256497</v>
      </c>
      <c r="M610" s="84">
        <f t="shared" ca="1" si="113"/>
        <v>0.96512638548162411</v>
      </c>
      <c r="N610" s="84">
        <f t="shared" ca="1" si="114"/>
        <v>1.0682390523656766</v>
      </c>
      <c r="O610" s="84">
        <f t="shared" ca="1" si="115"/>
        <v>1.0139469203546416</v>
      </c>
      <c r="P610" s="84">
        <f t="shared" ca="1" si="116"/>
        <v>1.2400145871179811</v>
      </c>
      <c r="Q610" s="84">
        <f t="shared" ca="1" si="117"/>
        <v>1.1495287443544191</v>
      </c>
    </row>
    <row r="611" spans="1:17" ht="15" customHeight="1" x14ac:dyDescent="0.2">
      <c r="A611" s="15">
        <v>572</v>
      </c>
      <c r="B611" s="84">
        <f t="shared" ca="1" si="122"/>
        <v>0.46617410867235354</v>
      </c>
      <c r="C611" s="84">
        <f t="shared" ca="1" si="122"/>
        <v>0.69211654276858525</v>
      </c>
      <c r="D611" s="84">
        <f t="shared" ca="1" si="122"/>
        <v>0.42610837080216624</v>
      </c>
      <c r="F611" s="84">
        <f t="shared" ca="1" si="123"/>
        <v>0.43819553125854105</v>
      </c>
      <c r="G611" s="84">
        <f t="shared" ca="1" si="123"/>
        <v>0.70923581094745503</v>
      </c>
      <c r="H611" s="84">
        <f t="shared" ca="1" si="123"/>
        <v>5.7620112653522515E-4</v>
      </c>
      <c r="J611" s="85">
        <f t="shared" ca="1" si="111"/>
        <v>120770705.73636331</v>
      </c>
      <c r="K611" s="86">
        <f ca="1">IF(J611&gt;0,MIN(99,$B$12*Q611/(J611*12*(1-Inputs!$H$16))),99)</f>
        <v>3.2067614459142297</v>
      </c>
      <c r="L611" s="84">
        <f t="shared" ca="1" si="112"/>
        <v>1.0040736999522724</v>
      </c>
      <c r="M611" s="84">
        <f t="shared" ca="1" si="113"/>
        <v>1.0011688865366613</v>
      </c>
      <c r="N611" s="84">
        <f t="shared" ca="1" si="114"/>
        <v>1.0017513862033975</v>
      </c>
      <c r="O611" s="84">
        <f t="shared" ca="1" si="115"/>
        <v>1.0173965211185696</v>
      </c>
      <c r="P611" s="84">
        <f t="shared" ca="1" si="116"/>
        <v>1.3500065324296215</v>
      </c>
      <c r="Q611" s="84">
        <f t="shared" ca="1" si="117"/>
        <v>0.84968548453852388</v>
      </c>
    </row>
    <row r="612" spans="1:17" ht="15" customHeight="1" x14ac:dyDescent="0.2">
      <c r="A612" s="15">
        <v>573</v>
      </c>
      <c r="B612" s="84">
        <f t="shared" ca="1" si="122"/>
        <v>0.16529793500073808</v>
      </c>
      <c r="C612" s="84">
        <f t="shared" ca="1" si="122"/>
        <v>0.28994097694645082</v>
      </c>
      <c r="D612" s="84">
        <f t="shared" ca="1" si="122"/>
        <v>0.68805806620023446</v>
      </c>
      <c r="F612" s="84">
        <f t="shared" ca="1" si="123"/>
        <v>0.20435254200516395</v>
      </c>
      <c r="G612" s="84">
        <f t="shared" ca="1" si="123"/>
        <v>0.85031507870734824</v>
      </c>
      <c r="H612" s="84">
        <f t="shared" ca="1" si="123"/>
        <v>0.56890125195251851</v>
      </c>
      <c r="J612" s="85">
        <f t="shared" ca="1" si="111"/>
        <v>49980286.408049718</v>
      </c>
      <c r="K612" s="86">
        <f ca="1">IF(J612&gt;0,MIN(99,$B$12*Q612/(J612*12*(1-Inputs!$H$16))),99)</f>
        <v>10.280243248250699</v>
      </c>
      <c r="L612" s="84">
        <f t="shared" ca="1" si="112"/>
        <v>0.91136721632263029</v>
      </c>
      <c r="M612" s="84">
        <f t="shared" ca="1" si="113"/>
        <v>0.95971026230858836</v>
      </c>
      <c r="N612" s="84">
        <f t="shared" ca="1" si="114"/>
        <v>1.0250393459378613</v>
      </c>
      <c r="O612" s="84">
        <f t="shared" ca="1" si="115"/>
        <v>0.99944143528547702</v>
      </c>
      <c r="P612" s="84">
        <f t="shared" ca="1" si="116"/>
        <v>1.4948639509592214</v>
      </c>
      <c r="Q612" s="84">
        <f t="shared" ca="1" si="117"/>
        <v>1.1272807032935837</v>
      </c>
    </row>
    <row r="613" spans="1:17" ht="15" customHeight="1" x14ac:dyDescent="0.2">
      <c r="A613" s="15">
        <v>574</v>
      </c>
      <c r="B613" s="84">
        <f t="shared" ca="1" si="122"/>
        <v>0.69913152956953784</v>
      </c>
      <c r="C613" s="84">
        <f t="shared" ca="1" si="122"/>
        <v>0.20647691223803555</v>
      </c>
      <c r="D613" s="84">
        <f t="shared" ca="1" si="122"/>
        <v>0.65142340974819057</v>
      </c>
      <c r="F613" s="84">
        <f t="shared" ca="1" si="123"/>
        <v>1.8039796307389389E-2</v>
      </c>
      <c r="G613" s="84">
        <f t="shared" ca="1" si="123"/>
        <v>0.8823039329039668</v>
      </c>
      <c r="H613" s="84">
        <f t="shared" ca="1" si="123"/>
        <v>0.34504673926117913</v>
      </c>
      <c r="J613" s="85">
        <f t="shared" ca="1" si="111"/>
        <v>164989613.86007136</v>
      </c>
      <c r="K613" s="86">
        <f ca="1">IF(J613&gt;0,MIN(99,$B$12*Q613/(J613*12*(1-Inputs!$H$16))),99)</f>
        <v>2.8672386164931796</v>
      </c>
      <c r="L613" s="84">
        <f t="shared" ca="1" si="112"/>
        <v>1.0716052737060555</v>
      </c>
      <c r="M613" s="84">
        <f t="shared" ca="1" si="113"/>
        <v>1.0310357396149903</v>
      </c>
      <c r="N613" s="84">
        <f t="shared" ca="1" si="114"/>
        <v>1.021308600131162</v>
      </c>
      <c r="O613" s="84">
        <f t="shared" ca="1" si="115"/>
        <v>0.97866716593256053</v>
      </c>
      <c r="P613" s="84">
        <f t="shared" ca="1" si="116"/>
        <v>1.5365358219978305</v>
      </c>
      <c r="Q613" s="84">
        <f t="shared" ca="1" si="117"/>
        <v>1.0378877467469401</v>
      </c>
    </row>
    <row r="614" spans="1:17" ht="15" customHeight="1" x14ac:dyDescent="0.2">
      <c r="A614" s="15">
        <v>575</v>
      </c>
      <c r="B614" s="84">
        <f t="shared" ca="1" si="122"/>
        <v>0.24348425051103229</v>
      </c>
      <c r="C614" s="84">
        <f t="shared" ca="1" si="122"/>
        <v>0.19973947700570971</v>
      </c>
      <c r="D614" s="84">
        <f t="shared" ca="1" si="122"/>
        <v>0.65577205693998974</v>
      </c>
      <c r="F614" s="84">
        <f t="shared" ca="1" si="123"/>
        <v>0.45158946969895508</v>
      </c>
      <c r="G614" s="84">
        <f t="shared" ca="1" si="123"/>
        <v>0.30501503298013644</v>
      </c>
      <c r="H614" s="84">
        <f t="shared" ca="1" si="123"/>
        <v>0.95163681108870357</v>
      </c>
      <c r="J614" s="85">
        <f t="shared" ca="1" si="111"/>
        <v>82872397.441638961</v>
      </c>
      <c r="K614" s="86">
        <f ca="1">IF(J614&gt;0,MIN(99,$B$12*Q614/(J614*12*(1-Inputs!$H$16))),99)</f>
        <v>7.6058677657968943</v>
      </c>
      <c r="L614" s="84">
        <f t="shared" ca="1" si="112"/>
        <v>0.940505221012786</v>
      </c>
      <c r="M614" s="84">
        <f t="shared" ca="1" si="113"/>
        <v>0.97274627946784431</v>
      </c>
      <c r="N614" s="84">
        <f t="shared" ca="1" si="114"/>
        <v>1.0217408449540193</v>
      </c>
      <c r="O614" s="84">
        <f t="shared" ca="1" si="115"/>
        <v>1.0185290531974394</v>
      </c>
      <c r="P614" s="84">
        <f t="shared" ca="1" si="116"/>
        <v>1.0700256229060381</v>
      </c>
      <c r="Q614" s="84">
        <f t="shared" ca="1" si="117"/>
        <v>1.3828931164478173</v>
      </c>
    </row>
    <row r="615" spans="1:17" ht="15" customHeight="1" x14ac:dyDescent="0.2">
      <c r="A615" s="15">
        <v>576</v>
      </c>
      <c r="B615" s="84">
        <f t="shared" ca="1" si="122"/>
        <v>0.4567036976511275</v>
      </c>
      <c r="C615" s="84">
        <f t="shared" ca="1" si="122"/>
        <v>0.10743478545459451</v>
      </c>
      <c r="D615" s="84">
        <f t="shared" ca="1" si="122"/>
        <v>7.6589680665250404E-2</v>
      </c>
      <c r="F615" s="84">
        <f t="shared" ca="1" si="123"/>
        <v>0.20745247473465589</v>
      </c>
      <c r="G615" s="84">
        <f t="shared" ca="1" si="123"/>
        <v>0.63523773076836154</v>
      </c>
      <c r="H615" s="84">
        <f t="shared" ca="1" si="123"/>
        <v>0.53755346609126131</v>
      </c>
      <c r="J615" s="85">
        <f t="shared" ca="1" si="111"/>
        <v>132159469.24017988</v>
      </c>
      <c r="K615" s="86">
        <f ca="1">IF(J615&gt;0,MIN(99,$B$12*Q615/(J615*12*(1-Inputs!$H$16))),99)</f>
        <v>3.8404509013217902</v>
      </c>
      <c r="L615" s="84">
        <f t="shared" ca="1" si="112"/>
        <v>1.001681062542366</v>
      </c>
      <c r="M615" s="84">
        <f t="shared" ca="1" si="113"/>
        <v>1.0001107066954522</v>
      </c>
      <c r="N615" s="84">
        <f t="shared" ca="1" si="114"/>
        <v>0.9655481194939034</v>
      </c>
      <c r="O615" s="84">
        <f t="shared" ca="1" si="115"/>
        <v>0.99966476499732171</v>
      </c>
      <c r="P615" s="84">
        <f t="shared" ca="1" si="116"/>
        <v>1.2884535947745497</v>
      </c>
      <c r="Q615" s="84">
        <f t="shared" ca="1" si="117"/>
        <v>1.1135518517278598</v>
      </c>
    </row>
    <row r="616" spans="1:17" ht="15" customHeight="1" x14ac:dyDescent="0.2">
      <c r="A616" s="15">
        <v>577</v>
      </c>
      <c r="B616" s="84">
        <f t="shared" ca="1" si="122"/>
        <v>0.6657099925842378</v>
      </c>
      <c r="C616" s="84">
        <f t="shared" ca="1" si="122"/>
        <v>0.50618973422591862</v>
      </c>
      <c r="D616" s="84">
        <f t="shared" ca="1" si="122"/>
        <v>0.60668340781222774</v>
      </c>
      <c r="F616" s="84">
        <f t="shared" ca="1" si="123"/>
        <v>0.11833190453637332</v>
      </c>
      <c r="G616" s="84">
        <f t="shared" ca="1" si="123"/>
        <v>0.3966131794163098</v>
      </c>
      <c r="H616" s="84">
        <f t="shared" ca="1" si="123"/>
        <v>0.3516967017080781</v>
      </c>
      <c r="J616" s="85">
        <f t="shared" ref="J616:J679" ca="1" si="124">$B$5*L616*M616-$B$6*L616*N616-$B$7*L616*M616-$B$8*L616*M616-$B$9*O616-$B$10*P616-$B$11</f>
        <v>171099999.40918946</v>
      </c>
      <c r="K616" s="86">
        <f ca="1">IF(J616&gt;0,MIN(99,$B$12*Q616/(J616*12*(1-Inputs!$H$16))),99)</f>
        <v>2.7712658427161472</v>
      </c>
      <c r="L616" s="84">
        <f t="shared" ref="L616:L679" ca="1" si="125">IF($D$16=$B$16,$C$16,IF(B616&lt;($C$16-$B$16)/($D$16-$B$16),$B$16+SQRT(B616*($D$16-$B$16)*($C$16-$B$16)),$D$16-SQRT((1-B616)*($D$16-$B$16)*($D$16-$C$16))))</f>
        <v>1.0606057929428425</v>
      </c>
      <c r="M616" s="84">
        <f t="shared" ref="M616:M679" ca="1" si="126">IF($D$17=$B$17,$C$17,IF(IF($B$33=1,B616,C616)&lt;($C$17-$B$17)/($D$17-$B$17),$B$17+SQRT(IF($B$33=1,B616,C616)*($D$17-$B$17)*($C$17-$B$17)),$D$17-SQRT((1-IF($B$33=1,B616,C616))*($D$17-$B$17)*($D$17-$C$17))))</f>
        <v>1.0261710539926685</v>
      </c>
      <c r="N616" s="84">
        <f t="shared" ref="N616:N679" ca="1" si="127">IF($D$18=$B$18,$C$18,IF(D616&lt;($C$18-$B$18)/($D$18-$B$18),$B$18+SQRT(D616*($D$18-$B$18)*($C$18-$B$18)),$D$18-SQRT((1-D616)*($D$18-$B$18)*($D$18-$C$18))))</f>
        <v>1.0170092595388205</v>
      </c>
      <c r="O616" s="84">
        <f t="shared" ref="O616:O679" ca="1" si="128">IF($D$19=$B$19,$C$19,IF(F616&lt;($C$19-$B$19)/($D$19-$B$19),$B$19+SQRT(F616*($D$19-$B$19)*($C$19-$B$19)),$D$19-SQRT((1-F616)*($D$19-$B$19)*($D$19-$C$19))))</f>
        <v>0.99237638078199453</v>
      </c>
      <c r="P616" s="84">
        <f t="shared" ref="P616:P679" ca="1" si="129">IF($D$20=$B$20,$C$20,IF(G616&lt;($C$20-$B$20)/($D$20-$B$20),$B$20+SQRT(G616*($D$20-$B$20)*($C$20-$B$20)),$D$20-SQRT((1-G616)*($D$20-$B$20)*($D$20-$C$20))))</f>
        <v>1.1241117896986246</v>
      </c>
      <c r="Q616" s="84">
        <f t="shared" ref="Q616:Q679" ca="1" si="130">IF($D$21=$B$21,$C$21,IF(H616&lt;($C$21-$B$21)/($D$21-$B$21),$B$21+SQRT(H616*($D$21-$B$21)*($C$21-$B$21)),$D$21-SQRT((1-H616)*($D$21-$B$21)*($D$21-$C$21))))</f>
        <v>1.0402988978161729</v>
      </c>
    </row>
    <row r="617" spans="1:17" ht="15" customHeight="1" x14ac:dyDescent="0.2">
      <c r="A617" s="15">
        <v>578</v>
      </c>
      <c r="B617" s="84">
        <f t="shared" ca="1" si="122"/>
        <v>0.67771044596726115</v>
      </c>
      <c r="C617" s="84">
        <f t="shared" ca="1" si="122"/>
        <v>0.45363446852865363</v>
      </c>
      <c r="D617" s="84">
        <f t="shared" ca="1" si="122"/>
        <v>0.94542117531015113</v>
      </c>
      <c r="F617" s="84">
        <f t="shared" ca="1" si="123"/>
        <v>0.51633421401011559</v>
      </c>
      <c r="G617" s="84">
        <f t="shared" ca="1" si="123"/>
        <v>3.7612152559316159E-2</v>
      </c>
      <c r="H617" s="84">
        <f t="shared" ca="1" si="123"/>
        <v>0.79159737470294389</v>
      </c>
      <c r="J617" s="85">
        <f t="shared" ca="1" si="124"/>
        <v>166576543.18542486</v>
      </c>
      <c r="K617" s="86">
        <f ca="1">IF(J617&gt;0,MIN(99,$B$12*Q617/(J617*12*(1-Inputs!$H$16))),99)</f>
        <v>3.4049831464332767</v>
      </c>
      <c r="L617" s="84">
        <f t="shared" ca="1" si="125"/>
        <v>1.0644891601852731</v>
      </c>
      <c r="M617" s="84">
        <f t="shared" ca="1" si="126"/>
        <v>1.0278885314988457</v>
      </c>
      <c r="N617" s="84">
        <f t="shared" ca="1" si="127"/>
        <v>1.0630529361699956</v>
      </c>
      <c r="O617" s="84">
        <f t="shared" ca="1" si="128"/>
        <v>1.0242097345075003</v>
      </c>
      <c r="P617" s="84">
        <f t="shared" ca="1" si="129"/>
        <v>0.90015789609273411</v>
      </c>
      <c r="Q617" s="84">
        <f t="shared" ca="1" si="130"/>
        <v>1.2443964210199998</v>
      </c>
    </row>
    <row r="618" spans="1:17" ht="15" customHeight="1" x14ac:dyDescent="0.2">
      <c r="A618" s="15">
        <v>579</v>
      </c>
      <c r="B618" s="84">
        <f t="shared" ca="1" si="122"/>
        <v>0.97274282881774088</v>
      </c>
      <c r="C618" s="84">
        <f t="shared" ca="1" si="122"/>
        <v>0.14096130515887406</v>
      </c>
      <c r="D618" s="84">
        <f t="shared" ca="1" si="122"/>
        <v>0.56167806108238505</v>
      </c>
      <c r="F618" s="84">
        <f t="shared" ca="1" si="123"/>
        <v>0.79804107015720438</v>
      </c>
      <c r="G618" s="84">
        <f t="shared" ca="1" si="123"/>
        <v>0.27095431909549195</v>
      </c>
      <c r="H618" s="84">
        <f t="shared" ca="1" si="123"/>
        <v>0.98381730779633469</v>
      </c>
      <c r="J618" s="85">
        <f t="shared" ca="1" si="124"/>
        <v>284420523.04558533</v>
      </c>
      <c r="K618" s="86">
        <f ca="1">IF(J618&gt;0,MIN(99,$B$12*Q618/(J618*12*(1-Inputs!$H$16))),99)</f>
        <v>2.3031082237726515</v>
      </c>
      <c r="L618" s="84">
        <f t="shared" ca="1" si="125"/>
        <v>1.2137802234767177</v>
      </c>
      <c r="M618" s="84">
        <f t="shared" ca="1" si="126"/>
        <v>1.0939147471693085</v>
      </c>
      <c r="N618" s="84">
        <f t="shared" ca="1" si="127"/>
        <v>1.0129247979452518</v>
      </c>
      <c r="O618" s="84">
        <f t="shared" ca="1" si="128"/>
        <v>1.0552123385256578</v>
      </c>
      <c r="P618" s="84">
        <f t="shared" ca="1" si="129"/>
        <v>1.0508321528791007</v>
      </c>
      <c r="Q618" s="84">
        <f t="shared" ca="1" si="130"/>
        <v>1.4371603213930524</v>
      </c>
    </row>
    <row r="619" spans="1:17" ht="15" customHeight="1" x14ac:dyDescent="0.2">
      <c r="A619" s="15">
        <v>580</v>
      </c>
      <c r="B619" s="84">
        <f t="shared" ca="1" si="122"/>
        <v>0.31125368757778105</v>
      </c>
      <c r="C619" s="84">
        <f t="shared" ca="1" si="122"/>
        <v>2.3185913818512649E-2</v>
      </c>
      <c r="D619" s="84">
        <f t="shared" ca="1" si="122"/>
        <v>0.68213508046043603</v>
      </c>
      <c r="F619" s="84">
        <f t="shared" ca="1" si="123"/>
        <v>0.49586262359380839</v>
      </c>
      <c r="G619" s="84">
        <f t="shared" ca="1" si="123"/>
        <v>0.93193759776238638</v>
      </c>
      <c r="H619" s="84">
        <f t="shared" ca="1" si="123"/>
        <v>0.60056288598292162</v>
      </c>
      <c r="J619" s="85">
        <f t="shared" ca="1" si="124"/>
        <v>75798612.481654152</v>
      </c>
      <c r="K619" s="86">
        <f ca="1">IF(J619&gt;0,MIN(99,$B$12*Q619/(J619*12*(1-Inputs!$H$16))),99)</f>
        <v>6.8651025073292686</v>
      </c>
      <c r="L619" s="84">
        <f t="shared" ca="1" si="125"/>
        <v>0.96212573273737734</v>
      </c>
      <c r="M619" s="84">
        <f t="shared" ca="1" si="126"/>
        <v>0.98241905441694322</v>
      </c>
      <c r="N619" s="84">
        <f t="shared" ca="1" si="127"/>
        <v>1.0244218691380387</v>
      </c>
      <c r="O619" s="84">
        <f t="shared" ca="1" si="128"/>
        <v>1.0223745592097884</v>
      </c>
      <c r="P619" s="84">
        <f t="shared" ca="1" si="129"/>
        <v>1.6146831558321966</v>
      </c>
      <c r="Q619" s="84">
        <f t="shared" ca="1" si="130"/>
        <v>1.1416637815028308</v>
      </c>
    </row>
    <row r="620" spans="1:17" ht="15" customHeight="1" x14ac:dyDescent="0.2">
      <c r="A620" s="15">
        <v>581</v>
      </c>
      <c r="B620" s="84">
        <f t="shared" ref="B620:D639" ca="1" si="131">RAND()</f>
        <v>0.38647094149093997</v>
      </c>
      <c r="C620" s="84">
        <f t="shared" ca="1" si="131"/>
        <v>0.90099031158488041</v>
      </c>
      <c r="D620" s="84">
        <f t="shared" ca="1" si="131"/>
        <v>0.83225316296240448</v>
      </c>
      <c r="F620" s="84">
        <f t="shared" ref="F620:H639" ca="1" si="132">RAND()</f>
        <v>0.73539312658292688</v>
      </c>
      <c r="G620" s="84">
        <f t="shared" ca="1" si="132"/>
        <v>0.4022244071282266</v>
      </c>
      <c r="H620" s="84">
        <f t="shared" ca="1" si="132"/>
        <v>0.46457531022796816</v>
      </c>
      <c r="J620" s="85">
        <f t="shared" ca="1" si="124"/>
        <v>101057154.30248968</v>
      </c>
      <c r="K620" s="86">
        <f ca="1">IF(J620&gt;0,MIN(99,$B$12*Q620/(J620*12*(1-Inputs!$H$16))),99)</f>
        <v>4.8859449585954327</v>
      </c>
      <c r="L620" s="84">
        <f t="shared" ca="1" si="125"/>
        <v>0.98351374275507775</v>
      </c>
      <c r="M620" s="84">
        <f t="shared" ca="1" si="126"/>
        <v>0.99198781070475039</v>
      </c>
      <c r="N620" s="84">
        <f t="shared" ca="1" si="127"/>
        <v>1.0424666448526796</v>
      </c>
      <c r="O620" s="84">
        <f t="shared" ca="1" si="128"/>
        <v>1.0470225312318435</v>
      </c>
      <c r="P620" s="84">
        <f t="shared" ca="1" si="129"/>
        <v>1.1275543897269906</v>
      </c>
      <c r="Q620" s="84">
        <f t="shared" ca="1" si="130"/>
        <v>1.0832921006781184</v>
      </c>
    </row>
    <row r="621" spans="1:17" ht="15" customHeight="1" x14ac:dyDescent="0.2">
      <c r="A621" s="15">
        <v>582</v>
      </c>
      <c r="B621" s="84">
        <f t="shared" ca="1" si="131"/>
        <v>0.66041732248287555</v>
      </c>
      <c r="C621" s="84">
        <f t="shared" ca="1" si="131"/>
        <v>0.75858955950367302</v>
      </c>
      <c r="D621" s="84">
        <f t="shared" ca="1" si="131"/>
        <v>0.42984281757929466</v>
      </c>
      <c r="F621" s="84">
        <f t="shared" ca="1" si="132"/>
        <v>4.1826434344238828E-2</v>
      </c>
      <c r="G621" s="84">
        <f t="shared" ca="1" si="132"/>
        <v>0.2631957898417786</v>
      </c>
      <c r="H621" s="84">
        <f t="shared" ca="1" si="132"/>
        <v>0.48444325722865689</v>
      </c>
      <c r="J621" s="85">
        <f t="shared" ca="1" si="124"/>
        <v>177714023.26529199</v>
      </c>
      <c r="K621" s="86">
        <f ca="1">IF(J621&gt;0,MIN(99,$B$12*Q621/(J621*12*(1-Inputs!$H$16))),99)</f>
        <v>2.7989697645141867</v>
      </c>
      <c r="L621" s="84">
        <f t="shared" ca="1" si="125"/>
        <v>1.0589152523693433</v>
      </c>
      <c r="M621" s="84">
        <f t="shared" ca="1" si="126"/>
        <v>1.0254233870255733</v>
      </c>
      <c r="N621" s="84">
        <f t="shared" ca="1" si="127"/>
        <v>1.0020402435535081</v>
      </c>
      <c r="O621" s="84">
        <f t="shared" ca="1" si="128"/>
        <v>0.98325710032415947</v>
      </c>
      <c r="P621" s="84">
        <f t="shared" ca="1" si="129"/>
        <v>1.0465232715819339</v>
      </c>
      <c r="Q621" s="84">
        <f t="shared" ca="1" si="130"/>
        <v>1.0913143037084505</v>
      </c>
    </row>
    <row r="622" spans="1:17" ht="15" customHeight="1" x14ac:dyDescent="0.2">
      <c r="A622" s="15">
        <v>583</v>
      </c>
      <c r="B622" s="84">
        <f t="shared" ca="1" si="131"/>
        <v>0.19646644071809161</v>
      </c>
      <c r="C622" s="84">
        <f t="shared" ca="1" si="131"/>
        <v>0.55625766281262401</v>
      </c>
      <c r="D622" s="84">
        <f t="shared" ca="1" si="131"/>
        <v>0.93689407923815826</v>
      </c>
      <c r="F622" s="84">
        <f t="shared" ca="1" si="132"/>
        <v>0.55046923723415153</v>
      </c>
      <c r="G622" s="84">
        <f t="shared" ca="1" si="132"/>
        <v>0.67463555789664709</v>
      </c>
      <c r="H622" s="84">
        <f t="shared" ca="1" si="132"/>
        <v>0.1457580586852234</v>
      </c>
      <c r="J622" s="85">
        <f t="shared" ca="1" si="124"/>
        <v>52881148.975764319</v>
      </c>
      <c r="K622" s="86">
        <f ca="1">IF(J622&gt;0,MIN(99,$B$12*Q622/(J622*12*(1-Inputs!$H$16))),99)</f>
        <v>8.3272049920153908</v>
      </c>
      <c r="L622" s="84">
        <f t="shared" ca="1" si="125"/>
        <v>0.92366901015606884</v>
      </c>
      <c r="M622" s="84">
        <f t="shared" ca="1" si="126"/>
        <v>0.965213947176774</v>
      </c>
      <c r="N622" s="84">
        <f t="shared" ca="1" si="127"/>
        <v>1.0609951251557221</v>
      </c>
      <c r="O622" s="84">
        <f t="shared" ca="1" si="128"/>
        <v>1.027358382927217</v>
      </c>
      <c r="P622" s="84">
        <f t="shared" ca="1" si="129"/>
        <v>1.3203552595337915</v>
      </c>
      <c r="Q622" s="84">
        <f t="shared" ca="1" si="130"/>
        <v>0.9661177917354784</v>
      </c>
    </row>
    <row r="623" spans="1:17" ht="15" customHeight="1" x14ac:dyDescent="0.2">
      <c r="A623" s="15">
        <v>584</v>
      </c>
      <c r="B623" s="84">
        <f t="shared" ca="1" si="131"/>
        <v>0.49636282343893279</v>
      </c>
      <c r="C623" s="84">
        <f t="shared" ca="1" si="131"/>
        <v>0.93300977923811512</v>
      </c>
      <c r="D623" s="84">
        <f t="shared" ca="1" si="131"/>
        <v>0.61987716200323661</v>
      </c>
      <c r="F623" s="84">
        <f t="shared" ca="1" si="132"/>
        <v>0.93378511000258047</v>
      </c>
      <c r="G623" s="84">
        <f t="shared" ca="1" si="132"/>
        <v>0.22969179701062037</v>
      </c>
      <c r="H623" s="84">
        <f t="shared" ca="1" si="132"/>
        <v>0.59377040208299803</v>
      </c>
      <c r="J623" s="85">
        <f t="shared" ca="1" si="124"/>
        <v>124527671.62869518</v>
      </c>
      <c r="K623" s="86">
        <f ca="1">IF(J623&gt;0,MIN(99,$B$12*Q623/(J623*12*(1-Inputs!$H$16))),99)</f>
        <v>4.1672466527491805</v>
      </c>
      <c r="L623" s="84">
        <f t="shared" ca="1" si="125"/>
        <v>1.0118458402815058</v>
      </c>
      <c r="M623" s="84">
        <f t="shared" ca="1" si="126"/>
        <v>1.0046062323649061</v>
      </c>
      <c r="N623" s="84">
        <f t="shared" ca="1" si="127"/>
        <v>1.0182504827269627</v>
      </c>
      <c r="O623" s="84">
        <f t="shared" ca="1" si="128"/>
        <v>1.0794129121133271</v>
      </c>
      <c r="P623" s="84">
        <f t="shared" ca="1" si="129"/>
        <v>1.0281714603263041</v>
      </c>
      <c r="Q623" s="84">
        <f t="shared" ca="1" si="130"/>
        <v>1.1385314079999496</v>
      </c>
    </row>
    <row r="624" spans="1:17" ht="15" customHeight="1" x14ac:dyDescent="0.2">
      <c r="A624" s="15">
        <v>585</v>
      </c>
      <c r="B624" s="84">
        <f t="shared" ca="1" si="131"/>
        <v>4.5559536833601477E-3</v>
      </c>
      <c r="C624" s="84">
        <f t="shared" ca="1" si="131"/>
        <v>0.58614640438811372</v>
      </c>
      <c r="D624" s="84">
        <f t="shared" ca="1" si="131"/>
        <v>0.80912768108721234</v>
      </c>
      <c r="F624" s="84">
        <f t="shared" ca="1" si="132"/>
        <v>0.89668386262708044</v>
      </c>
      <c r="G624" s="84">
        <f t="shared" ca="1" si="132"/>
        <v>0.33466881537391791</v>
      </c>
      <c r="H624" s="84">
        <f t="shared" ca="1" si="132"/>
        <v>0.95261033413637841</v>
      </c>
      <c r="J624" s="85">
        <f t="shared" ca="1" si="124"/>
        <v>-19972515.42771785</v>
      </c>
      <c r="K624" s="86">
        <f ca="1">IF(J624&gt;0,MIN(99,$B$12*Q624/(J624*12*(1-Inputs!$H$16))),99)</f>
        <v>99</v>
      </c>
      <c r="L624" s="84">
        <f t="shared" ca="1" si="125"/>
        <v>0.7976394520556046</v>
      </c>
      <c r="M624" s="84">
        <f t="shared" ca="1" si="126"/>
        <v>0.90882973352036822</v>
      </c>
      <c r="N624" s="84">
        <f t="shared" ca="1" si="127"/>
        <v>1.0392701133465627</v>
      </c>
      <c r="O624" s="84">
        <f t="shared" ca="1" si="128"/>
        <v>1.0713359183348403</v>
      </c>
      <c r="P624" s="84">
        <f t="shared" ca="1" si="129"/>
        <v>1.0871224030822821</v>
      </c>
      <c r="Q624" s="84">
        <f t="shared" ca="1" si="130"/>
        <v>1.3841953676263186</v>
      </c>
    </row>
    <row r="625" spans="1:17" ht="15" customHeight="1" x14ac:dyDescent="0.2">
      <c r="A625" s="15">
        <v>586</v>
      </c>
      <c r="B625" s="84">
        <f t="shared" ca="1" si="131"/>
        <v>0.54353490523038062</v>
      </c>
      <c r="C625" s="84">
        <f t="shared" ca="1" si="131"/>
        <v>0.8461873984529279</v>
      </c>
      <c r="D625" s="84">
        <f t="shared" ca="1" si="131"/>
        <v>0.12912430098134609</v>
      </c>
      <c r="F625" s="84">
        <f t="shared" ca="1" si="132"/>
        <v>0.12760990039519227</v>
      </c>
      <c r="G625" s="84">
        <f t="shared" ca="1" si="132"/>
        <v>0.97117922471938156</v>
      </c>
      <c r="H625" s="84">
        <f t="shared" ca="1" si="132"/>
        <v>0.85668550403124666</v>
      </c>
      <c r="J625" s="85">
        <f t="shared" ca="1" si="124"/>
        <v>132383959.9967977</v>
      </c>
      <c r="K625" s="86">
        <f ca="1">IF(J625&gt;0,MIN(99,$B$12*Q625/(J625*12*(1-Inputs!$H$16))),99)</f>
        <v>4.44152149646197</v>
      </c>
      <c r="L625" s="84">
        <f t="shared" ca="1" si="125"/>
        <v>1.0244726551235921</v>
      </c>
      <c r="M625" s="84">
        <f t="shared" ca="1" si="126"/>
        <v>1.0101906309324684</v>
      </c>
      <c r="N625" s="84">
        <f t="shared" ca="1" si="127"/>
        <v>0.97349090916368541</v>
      </c>
      <c r="O625" s="84">
        <f t="shared" ca="1" si="128"/>
        <v>0.9932414528132002</v>
      </c>
      <c r="P625" s="84">
        <f t="shared" ca="1" si="129"/>
        <v>1.7013317106793227</v>
      </c>
      <c r="Q625" s="84">
        <f t="shared" ca="1" si="130"/>
        <v>1.2900218840994564</v>
      </c>
    </row>
    <row r="626" spans="1:17" ht="15" customHeight="1" x14ac:dyDescent="0.2">
      <c r="A626" s="15">
        <v>587</v>
      </c>
      <c r="B626" s="84">
        <f t="shared" ca="1" si="131"/>
        <v>0.48029175797045298</v>
      </c>
      <c r="C626" s="84">
        <f t="shared" ca="1" si="131"/>
        <v>0.27356669634542308</v>
      </c>
      <c r="D626" s="84">
        <f t="shared" ca="1" si="131"/>
        <v>0.61098253814043757</v>
      </c>
      <c r="F626" s="84">
        <f t="shared" ca="1" si="132"/>
        <v>0.58949881169214668</v>
      </c>
      <c r="G626" s="84">
        <f t="shared" ca="1" si="132"/>
        <v>0.92230863368125526</v>
      </c>
      <c r="H626" s="84">
        <f t="shared" ca="1" si="132"/>
        <v>0.66148408946043591</v>
      </c>
      <c r="J626" s="85">
        <f t="shared" ca="1" si="124"/>
        <v>108297279.80743374</v>
      </c>
      <c r="K626" s="86">
        <f ca="1">IF(J626&gt;0,MIN(99,$B$12*Q626/(J626*12*(1-Inputs!$H$16))),99)</f>
        <v>4.9286212193672316</v>
      </c>
      <c r="L626" s="84">
        <f t="shared" ca="1" si="125"/>
        <v>1.0076801853975978</v>
      </c>
      <c r="M626" s="84">
        <f t="shared" ca="1" si="126"/>
        <v>1.0027639089082321</v>
      </c>
      <c r="N626" s="84">
        <f t="shared" ca="1" si="127"/>
        <v>1.0174113881556837</v>
      </c>
      <c r="O626" s="84">
        <f t="shared" ca="1" si="128"/>
        <v>1.0311088578813423</v>
      </c>
      <c r="P626" s="84">
        <f t="shared" ca="1" si="129"/>
        <v>1.5977149727059512</v>
      </c>
      <c r="Q626" s="84">
        <f t="shared" ca="1" si="130"/>
        <v>1.1710432419724262</v>
      </c>
    </row>
    <row r="627" spans="1:17" ht="15" customHeight="1" x14ac:dyDescent="0.2">
      <c r="A627" s="15">
        <v>588</v>
      </c>
      <c r="B627" s="84">
        <f t="shared" ca="1" si="131"/>
        <v>0.40476680402442133</v>
      </c>
      <c r="C627" s="84">
        <f t="shared" ca="1" si="131"/>
        <v>0.73922632459568116</v>
      </c>
      <c r="D627" s="84">
        <f t="shared" ca="1" si="131"/>
        <v>0.78349986515372827</v>
      </c>
      <c r="F627" s="84">
        <f t="shared" ca="1" si="132"/>
        <v>0.10696201855142107</v>
      </c>
      <c r="G627" s="84">
        <f t="shared" ca="1" si="132"/>
        <v>0.59779236166757599</v>
      </c>
      <c r="H627" s="84">
        <f t="shared" ca="1" si="132"/>
        <v>0.81775363767464693</v>
      </c>
      <c r="J627" s="85">
        <f t="shared" ca="1" si="124"/>
        <v>110149681.17557029</v>
      </c>
      <c r="K627" s="86">
        <f ca="1">IF(J627&gt;0,MIN(99,$B$12*Q627/(J627*12*(1-Inputs!$H$16))),99)</f>
        <v>5.2209874357771824</v>
      </c>
      <c r="L627" s="84">
        <f t="shared" ca="1" si="125"/>
        <v>0.98839228067750573</v>
      </c>
      <c r="M627" s="84">
        <f t="shared" ca="1" si="126"/>
        <v>0.99417041396619943</v>
      </c>
      <c r="N627" s="84">
        <f t="shared" ca="1" si="127"/>
        <v>1.0359465054444368</v>
      </c>
      <c r="O627" s="84">
        <f t="shared" ca="1" si="128"/>
        <v>0.9912685925610325</v>
      </c>
      <c r="P627" s="84">
        <f t="shared" ca="1" si="129"/>
        <v>1.2596950553113364</v>
      </c>
      <c r="Q627" s="84">
        <f t="shared" ca="1" si="130"/>
        <v>1.2617282702206531</v>
      </c>
    </row>
    <row r="628" spans="1:17" ht="15" customHeight="1" x14ac:dyDescent="0.2">
      <c r="A628" s="15">
        <v>589</v>
      </c>
      <c r="B628" s="84">
        <f t="shared" ca="1" si="131"/>
        <v>0.60394804443488481</v>
      </c>
      <c r="C628" s="84">
        <f t="shared" ca="1" si="131"/>
        <v>0.29266487389545448</v>
      </c>
      <c r="D628" s="84">
        <f t="shared" ca="1" si="131"/>
        <v>8.549546760757476E-3</v>
      </c>
      <c r="F628" s="84">
        <f t="shared" ca="1" si="132"/>
        <v>0.26593942528297876</v>
      </c>
      <c r="G628" s="84">
        <f t="shared" ca="1" si="132"/>
        <v>6.0528139098761757E-2</v>
      </c>
      <c r="H628" s="84">
        <f t="shared" ca="1" si="132"/>
        <v>0.17337147281566079</v>
      </c>
      <c r="J628" s="85">
        <f t="shared" ca="1" si="124"/>
        <v>178349834.77688235</v>
      </c>
      <c r="K628" s="86">
        <f ca="1">IF(J628&gt;0,MIN(99,$B$12*Q628/(J628*12*(1-Inputs!$H$16))),99)</f>
        <v>2.4978090688018999</v>
      </c>
      <c r="L628" s="84">
        <f t="shared" ca="1" si="125"/>
        <v>1.0416394551553254</v>
      </c>
      <c r="M628" s="84">
        <f t="shared" ca="1" si="126"/>
        <v>1.0177829061583084</v>
      </c>
      <c r="N628" s="84">
        <f t="shared" ca="1" si="127"/>
        <v>0.9478252837103418</v>
      </c>
      <c r="O628" s="84">
        <f t="shared" ca="1" si="128"/>
        <v>1.003885186583938</v>
      </c>
      <c r="P628" s="84">
        <f t="shared" ca="1" si="129"/>
        <v>0.92311254390955633</v>
      </c>
      <c r="Q628" s="84">
        <f t="shared" ca="1" si="130"/>
        <v>0.97737649589109221</v>
      </c>
    </row>
    <row r="629" spans="1:17" ht="15" customHeight="1" x14ac:dyDescent="0.2">
      <c r="A629" s="15">
        <v>590</v>
      </c>
      <c r="B629" s="84">
        <f t="shared" ca="1" si="131"/>
        <v>0.3086207407155418</v>
      </c>
      <c r="C629" s="84">
        <f t="shared" ca="1" si="131"/>
        <v>0.48348386922871267</v>
      </c>
      <c r="D629" s="84">
        <f t="shared" ca="1" si="131"/>
        <v>0.820023438452404</v>
      </c>
      <c r="F629" s="84">
        <f t="shared" ca="1" si="132"/>
        <v>0.31052633540883767</v>
      </c>
      <c r="G629" s="84">
        <f t="shared" ca="1" si="132"/>
        <v>0.98485693361995374</v>
      </c>
      <c r="H629" s="84">
        <f t="shared" ca="1" si="132"/>
        <v>0.15603618124592655</v>
      </c>
      <c r="J629" s="85">
        <f t="shared" ca="1" si="124"/>
        <v>69456600.579070464</v>
      </c>
      <c r="K629" s="86">
        <f ca="1">IF(J629&gt;0,MIN(99,$B$12*Q629/(J629*12*(1-Inputs!$H$16))),99)</f>
        <v>6.3682181556166446</v>
      </c>
      <c r="L629" s="84">
        <f t="shared" ca="1" si="125"/>
        <v>0.96133258794558307</v>
      </c>
      <c r="M629" s="84">
        <f t="shared" ca="1" si="126"/>
        <v>0.98206421031469426</v>
      </c>
      <c r="N629" s="84">
        <f t="shared" ca="1" si="127"/>
        <v>1.0407505323836916</v>
      </c>
      <c r="O629" s="84">
        <f t="shared" ca="1" si="128"/>
        <v>1.0072149590009125</v>
      </c>
      <c r="P629" s="84">
        <f t="shared" ca="1" si="129"/>
        <v>1.7457487955711808</v>
      </c>
      <c r="Q629" s="84">
        <f t="shared" ca="1" si="130"/>
        <v>0.97042370740512629</v>
      </c>
    </row>
    <row r="630" spans="1:17" ht="15" customHeight="1" x14ac:dyDescent="0.2">
      <c r="A630" s="15">
        <v>591</v>
      </c>
      <c r="B630" s="84">
        <f t="shared" ca="1" si="131"/>
        <v>0.12425338060888147</v>
      </c>
      <c r="C630" s="84">
        <f t="shared" ca="1" si="131"/>
        <v>0.1551723463739908</v>
      </c>
      <c r="D630" s="84">
        <f t="shared" ca="1" si="131"/>
        <v>0.16315551836743125</v>
      </c>
      <c r="F630" s="84">
        <f t="shared" ca="1" si="132"/>
        <v>0.58676708922279741</v>
      </c>
      <c r="G630" s="84">
        <f t="shared" ca="1" si="132"/>
        <v>0.14713857194237123</v>
      </c>
      <c r="H630" s="84">
        <f t="shared" ca="1" si="132"/>
        <v>0.44540590980946138</v>
      </c>
      <c r="J630" s="85">
        <f t="shared" ca="1" si="124"/>
        <v>61325224.320163026</v>
      </c>
      <c r="K630" s="86">
        <f ca="1">IF(J630&gt;0,MIN(99,$B$12*Q630/(J630*12*(1-Inputs!$H$16))),99)</f>
        <v>7.9950060556328379</v>
      </c>
      <c r="L630" s="84">
        <f t="shared" ca="1" si="125"/>
        <v>0.89323072916335744</v>
      </c>
      <c r="M630" s="84">
        <f t="shared" ca="1" si="126"/>
        <v>0.95159620095363273</v>
      </c>
      <c r="N630" s="84">
        <f t="shared" ca="1" si="127"/>
        <v>0.97777883094641083</v>
      </c>
      <c r="O630" s="84">
        <f t="shared" ca="1" si="128"/>
        <v>1.0308407055933417</v>
      </c>
      <c r="P630" s="84">
        <f t="shared" ca="1" si="129"/>
        <v>0.98373677433317686</v>
      </c>
      <c r="Q630" s="84">
        <f t="shared" ca="1" si="130"/>
        <v>1.0756918641935365</v>
      </c>
    </row>
    <row r="631" spans="1:17" ht="15" customHeight="1" x14ac:dyDescent="0.2">
      <c r="A631" s="15">
        <v>592</v>
      </c>
      <c r="B631" s="84">
        <f t="shared" ca="1" si="131"/>
        <v>0.1019245221580295</v>
      </c>
      <c r="C631" s="84">
        <f t="shared" ca="1" si="131"/>
        <v>0.34190790063389909</v>
      </c>
      <c r="D631" s="84">
        <f t="shared" ca="1" si="131"/>
        <v>4.0392282932979695E-2</v>
      </c>
      <c r="F631" s="84">
        <f t="shared" ca="1" si="132"/>
        <v>0.7158472463410126</v>
      </c>
      <c r="G631" s="84">
        <f t="shared" ca="1" si="132"/>
        <v>0.89999410710524363</v>
      </c>
      <c r="H631" s="84">
        <f t="shared" ca="1" si="132"/>
        <v>0.95739298409178231</v>
      </c>
      <c r="J631" s="85">
        <f t="shared" ca="1" si="124"/>
        <v>33599064.49173522</v>
      </c>
      <c r="K631" s="86">
        <f ca="1">IF(J631&gt;0,MIN(99,$B$12*Q631/(J631*12*(1-Inputs!$H$16))),99)</f>
        <v>18.86715884108937</v>
      </c>
      <c r="L631" s="84">
        <f t="shared" ca="1" si="125"/>
        <v>0.8820817852988001</v>
      </c>
      <c r="M631" s="84">
        <f t="shared" ca="1" si="126"/>
        <v>0.94660828825777643</v>
      </c>
      <c r="N631" s="84">
        <f t="shared" ca="1" si="127"/>
        <v>0.95826123521495377</v>
      </c>
      <c r="O631" s="84">
        <f t="shared" ca="1" si="128"/>
        <v>1.0446714322200521</v>
      </c>
      <c r="P631" s="84">
        <f t="shared" ca="1" si="129"/>
        <v>1.5620504148277781</v>
      </c>
      <c r="Q631" s="84">
        <f t="shared" ca="1" si="130"/>
        <v>1.3907966391699822</v>
      </c>
    </row>
    <row r="632" spans="1:17" ht="15" customHeight="1" x14ac:dyDescent="0.2">
      <c r="A632" s="15">
        <v>593</v>
      </c>
      <c r="B632" s="84">
        <f t="shared" ca="1" si="131"/>
        <v>5.4786510610311145E-2</v>
      </c>
      <c r="C632" s="84">
        <f t="shared" ca="1" si="131"/>
        <v>5.8491399982550485E-2</v>
      </c>
      <c r="D632" s="84">
        <f t="shared" ca="1" si="131"/>
        <v>0.92214978214066712</v>
      </c>
      <c r="F632" s="84">
        <f t="shared" ca="1" si="132"/>
        <v>0.70418128794895596</v>
      </c>
      <c r="G632" s="84">
        <f t="shared" ca="1" si="132"/>
        <v>0.48741008681537645</v>
      </c>
      <c r="H632" s="84">
        <f t="shared" ca="1" si="132"/>
        <v>0.76046182775240423</v>
      </c>
      <c r="J632" s="85">
        <f t="shared" ca="1" si="124"/>
        <v>11468317.697696313</v>
      </c>
      <c r="K632" s="86">
        <f ca="1">IF(J632&gt;0,MIN(99,$B$12*Q632/(J632*12*(1-Inputs!$H$16))),99)</f>
        <v>48.691381677703461</v>
      </c>
      <c r="L632" s="84">
        <f t="shared" ca="1" si="125"/>
        <v>0.85350784956716119</v>
      </c>
      <c r="M632" s="84">
        <f t="shared" ca="1" si="126"/>
        <v>0.93382462923698673</v>
      </c>
      <c r="N632" s="84">
        <f t="shared" ca="1" si="127"/>
        <v>1.0577415760997377</v>
      </c>
      <c r="O632" s="84">
        <f t="shared" ca="1" si="128"/>
        <v>1.0433066073281516</v>
      </c>
      <c r="P632" s="84">
        <f t="shared" ca="1" si="129"/>
        <v>1.1819522972802221</v>
      </c>
      <c r="Q632" s="84">
        <f t="shared" ca="1" si="130"/>
        <v>1.2251288165714582</v>
      </c>
    </row>
    <row r="633" spans="1:17" ht="15" customHeight="1" x14ac:dyDescent="0.2">
      <c r="A633" s="15">
        <v>594</v>
      </c>
      <c r="B633" s="84">
        <f t="shared" ca="1" si="131"/>
        <v>0.71857313082631091</v>
      </c>
      <c r="C633" s="84">
        <f t="shared" ca="1" si="131"/>
        <v>0.28123220595441856</v>
      </c>
      <c r="D633" s="84">
        <f t="shared" ca="1" si="131"/>
        <v>0.43665867928955437</v>
      </c>
      <c r="F633" s="84">
        <f t="shared" ca="1" si="132"/>
        <v>2.1817269881865609E-2</v>
      </c>
      <c r="G633" s="84">
        <f t="shared" ca="1" si="132"/>
        <v>0.71013915165545738</v>
      </c>
      <c r="H633" s="84">
        <f t="shared" ca="1" si="132"/>
        <v>0.62157102262533825</v>
      </c>
      <c r="J633" s="85">
        <f t="shared" ca="1" si="124"/>
        <v>181198445.51077968</v>
      </c>
      <c r="K633" s="86">
        <f ca="1">IF(J633&gt;0,MIN(99,$B$12*Q633/(J633*12*(1-Inputs!$H$16))),99)</f>
        <v>2.8966007881660532</v>
      </c>
      <c r="L633" s="84">
        <f t="shared" ca="1" si="125"/>
        <v>1.0782865167016193</v>
      </c>
      <c r="M633" s="84">
        <f t="shared" ca="1" si="126"/>
        <v>1.0339906197079176</v>
      </c>
      <c r="N633" s="84">
        <f t="shared" ca="1" si="127"/>
        <v>1.0025698961491691</v>
      </c>
      <c r="O633" s="84">
        <f t="shared" ca="1" si="128"/>
        <v>0.97954290560359614</v>
      </c>
      <c r="P633" s="84">
        <f t="shared" ca="1" si="129"/>
        <v>1.3508036680023525</v>
      </c>
      <c r="Q633" s="84">
        <f t="shared" ca="1" si="130"/>
        <v>1.1515241579608511</v>
      </c>
    </row>
    <row r="634" spans="1:17" ht="15" customHeight="1" x14ac:dyDescent="0.2">
      <c r="A634" s="15">
        <v>595</v>
      </c>
      <c r="B634" s="84">
        <f t="shared" ca="1" si="131"/>
        <v>0.36755924949919516</v>
      </c>
      <c r="C634" s="84">
        <f t="shared" ca="1" si="131"/>
        <v>0.63685059849941117</v>
      </c>
      <c r="D634" s="84">
        <f t="shared" ca="1" si="131"/>
        <v>0.43327456377250362</v>
      </c>
      <c r="F634" s="84">
        <f t="shared" ca="1" si="132"/>
        <v>0.66407035922823887</v>
      </c>
      <c r="G634" s="84">
        <f t="shared" ca="1" si="132"/>
        <v>7.7115576070507785E-2</v>
      </c>
      <c r="H634" s="84">
        <f t="shared" ca="1" si="132"/>
        <v>0.73355152531922874</v>
      </c>
      <c r="J634" s="85">
        <f t="shared" ca="1" si="124"/>
        <v>114502250.78977446</v>
      </c>
      <c r="K634" s="86">
        <f ca="1">IF(J634&gt;0,MIN(99,$B$12*Q634/(J634*12*(1-Inputs!$H$16))),99)</f>
        <v>4.8144760398802102</v>
      </c>
      <c r="L634" s="84">
        <f t="shared" ca="1" si="125"/>
        <v>0.97834801589555642</v>
      </c>
      <c r="M634" s="84">
        <f t="shared" ca="1" si="126"/>
        <v>0.98967672232732617</v>
      </c>
      <c r="N634" s="84">
        <f t="shared" ca="1" si="127"/>
        <v>1.0023065224135941</v>
      </c>
      <c r="O634" s="84">
        <f t="shared" ca="1" si="128"/>
        <v>1.038808314850806</v>
      </c>
      <c r="P634" s="84">
        <f t="shared" ca="1" si="129"/>
        <v>0.9370706739022896</v>
      </c>
      <c r="Q634" s="84">
        <f t="shared" ca="1" si="130"/>
        <v>1.2094641361132625</v>
      </c>
    </row>
    <row r="635" spans="1:17" ht="15" customHeight="1" x14ac:dyDescent="0.2">
      <c r="A635" s="15">
        <v>596</v>
      </c>
      <c r="B635" s="84">
        <f t="shared" ca="1" si="131"/>
        <v>0.88735718308302558</v>
      </c>
      <c r="C635" s="84">
        <f t="shared" ca="1" si="131"/>
        <v>0.68251418459555635</v>
      </c>
      <c r="D635" s="84">
        <f t="shared" ca="1" si="131"/>
        <v>0.82774429730530819</v>
      </c>
      <c r="F635" s="84">
        <f t="shared" ca="1" si="132"/>
        <v>0.52774060036464598</v>
      </c>
      <c r="G635" s="84">
        <f t="shared" ca="1" si="132"/>
        <v>0.85649914589017384</v>
      </c>
      <c r="H635" s="84">
        <f t="shared" ca="1" si="132"/>
        <v>5.0867012902861886E-2</v>
      </c>
      <c r="J635" s="85">
        <f t="shared" ca="1" si="124"/>
        <v>214007801.44976497</v>
      </c>
      <c r="K635" s="86">
        <f ca="1">IF(J635&gt;0,MIN(99,$B$12*Q635/(J635*12*(1-Inputs!$H$16))),99)</f>
        <v>1.9493506537964598</v>
      </c>
      <c r="L635" s="84">
        <f t="shared" ca="1" si="125"/>
        <v>1.1505476503794163</v>
      </c>
      <c r="M635" s="84">
        <f t="shared" ca="1" si="126"/>
        <v>1.0659491917189443</v>
      </c>
      <c r="N635" s="84">
        <f t="shared" ca="1" si="127"/>
        <v>1.0418268884958886</v>
      </c>
      <c r="O635" s="84">
        <f t="shared" ca="1" si="128"/>
        <v>1.0252491321146999</v>
      </c>
      <c r="P635" s="84">
        <f t="shared" ca="1" si="129"/>
        <v>1.5025438456399964</v>
      </c>
      <c r="Q635" s="84">
        <f t="shared" ca="1" si="130"/>
        <v>0.91527060543497063</v>
      </c>
    </row>
    <row r="636" spans="1:17" ht="15" customHeight="1" x14ac:dyDescent="0.2">
      <c r="A636" s="15">
        <v>597</v>
      </c>
      <c r="B636" s="84">
        <f t="shared" ca="1" si="131"/>
        <v>0.92747348856202594</v>
      </c>
      <c r="C636" s="84">
        <f t="shared" ca="1" si="131"/>
        <v>0.4817693578716542</v>
      </c>
      <c r="D636" s="84">
        <f t="shared" ca="1" si="131"/>
        <v>0.52842288555773476</v>
      </c>
      <c r="F636" s="84">
        <f t="shared" ca="1" si="132"/>
        <v>0.92566606795333506</v>
      </c>
      <c r="G636" s="84">
        <f t="shared" ca="1" si="132"/>
        <v>0.48244781315482155</v>
      </c>
      <c r="H636" s="84">
        <f t="shared" ca="1" si="132"/>
        <v>0.32599322865728342</v>
      </c>
      <c r="J636" s="85">
        <f t="shared" ca="1" si="124"/>
        <v>245048942.47628456</v>
      </c>
      <c r="K636" s="86">
        <f ca="1">IF(J636&gt;0,MIN(99,$B$12*Q636/(J636*12*(1-Inputs!$H$16))),99)</f>
        <v>1.9177649950710527</v>
      </c>
      <c r="L636" s="84">
        <f t="shared" ca="1" si="125"/>
        <v>1.1751381187703664</v>
      </c>
      <c r="M636" s="84">
        <f t="shared" ca="1" si="126"/>
        <v>1.0768246958088907</v>
      </c>
      <c r="N636" s="84">
        <f t="shared" ca="1" si="127"/>
        <v>1.0100400090593487</v>
      </c>
      <c r="O636" s="84">
        <f t="shared" ca="1" si="128"/>
        <v>1.077482676054107</v>
      </c>
      <c r="P636" s="84">
        <f t="shared" ca="1" si="129"/>
        <v>1.1786648275739222</v>
      </c>
      <c r="Q636" s="84">
        <f t="shared" ca="1" si="130"/>
        <v>1.0310462837727414</v>
      </c>
    </row>
    <row r="637" spans="1:17" ht="15" customHeight="1" x14ac:dyDescent="0.2">
      <c r="A637" s="15">
        <v>598</v>
      </c>
      <c r="B637" s="84">
        <f t="shared" ca="1" si="131"/>
        <v>0.78442577452759588</v>
      </c>
      <c r="C637" s="84">
        <f t="shared" ca="1" si="131"/>
        <v>0.33704046869437188</v>
      </c>
      <c r="D637" s="84">
        <f t="shared" ca="1" si="131"/>
        <v>0.18086091325179277</v>
      </c>
      <c r="F637" s="84">
        <f t="shared" ca="1" si="132"/>
        <v>0.70173622273145242</v>
      </c>
      <c r="G637" s="84">
        <f t="shared" ca="1" si="132"/>
        <v>0.66964967346421322</v>
      </c>
      <c r="H637" s="84">
        <f t="shared" ca="1" si="132"/>
        <v>0.12303735417991069</v>
      </c>
      <c r="J637" s="85">
        <f t="shared" ca="1" si="124"/>
        <v>195958735.12924069</v>
      </c>
      <c r="K637" s="86">
        <f ca="1">IF(J637&gt;0,MIN(99,$B$12*Q637/(J637*12*(1-Inputs!$H$16))),99)</f>
        <v>2.2236904718695474</v>
      </c>
      <c r="L637" s="84">
        <f t="shared" ca="1" si="125"/>
        <v>1.1028330577536571</v>
      </c>
      <c r="M637" s="84">
        <f t="shared" ca="1" si="126"/>
        <v>1.0448466962722716</v>
      </c>
      <c r="N637" s="84">
        <f t="shared" ca="1" si="127"/>
        <v>0.97983230406561406</v>
      </c>
      <c r="O637" s="84">
        <f t="shared" ca="1" si="128"/>
        <v>1.043023985404232</v>
      </c>
      <c r="P637" s="84">
        <f t="shared" ca="1" si="129"/>
        <v>1.316215108155488</v>
      </c>
      <c r="Q637" s="84">
        <f t="shared" ca="1" si="130"/>
        <v>0.95602424039823308</v>
      </c>
    </row>
    <row r="638" spans="1:17" ht="15" customHeight="1" x14ac:dyDescent="0.2">
      <c r="A638" s="15">
        <v>599</v>
      </c>
      <c r="B638" s="84">
        <f t="shared" ca="1" si="131"/>
        <v>0.36449220836676455</v>
      </c>
      <c r="C638" s="84">
        <f t="shared" ca="1" si="131"/>
        <v>0.84072154771409646</v>
      </c>
      <c r="D638" s="84">
        <f t="shared" ca="1" si="131"/>
        <v>0.67363083013382064</v>
      </c>
      <c r="F638" s="84">
        <f t="shared" ca="1" si="132"/>
        <v>0.70549534890759813</v>
      </c>
      <c r="G638" s="84">
        <f t="shared" ca="1" si="132"/>
        <v>0.38247784379195049</v>
      </c>
      <c r="H638" s="84">
        <f t="shared" ca="1" si="132"/>
        <v>0.5897664863651102</v>
      </c>
      <c r="J638" s="85">
        <f t="shared" ca="1" si="124"/>
        <v>101923609.89238076</v>
      </c>
      <c r="K638" s="86">
        <f ca="1">IF(J638&gt;0,MIN(99,$B$12*Q638/(J638*12*(1-Inputs!$H$16))),99)</f>
        <v>5.0832336329563779</v>
      </c>
      <c r="L638" s="84">
        <f t="shared" ca="1" si="125"/>
        <v>0.97749783564586812</v>
      </c>
      <c r="M638" s="84">
        <f t="shared" ca="1" si="126"/>
        <v>0.98929636119960829</v>
      </c>
      <c r="N638" s="84">
        <f t="shared" ca="1" si="127"/>
        <v>1.0235452670674199</v>
      </c>
      <c r="O638" s="84">
        <f t="shared" ca="1" si="128"/>
        <v>1.0434589805507679</v>
      </c>
      <c r="P638" s="84">
        <f t="shared" ca="1" si="129"/>
        <v>1.1155097762889934</v>
      </c>
      <c r="Q638" s="84">
        <f t="shared" ca="1" si="130"/>
        <v>1.1366972500868306</v>
      </c>
    </row>
    <row r="639" spans="1:17" ht="15" customHeight="1" x14ac:dyDescent="0.2">
      <c r="A639" s="15">
        <v>600</v>
      </c>
      <c r="B639" s="84">
        <f t="shared" ca="1" si="131"/>
        <v>0.97759878304518966</v>
      </c>
      <c r="C639" s="84">
        <f t="shared" ca="1" si="131"/>
        <v>4.2333466727277891E-3</v>
      </c>
      <c r="D639" s="84">
        <f t="shared" ca="1" si="131"/>
        <v>8.9940389120971576E-3</v>
      </c>
      <c r="F639" s="84">
        <f t="shared" ca="1" si="132"/>
        <v>1.9229251838876693E-2</v>
      </c>
      <c r="G639" s="84">
        <f t="shared" ca="1" si="132"/>
        <v>3.4239561814551012E-2</v>
      </c>
      <c r="H639" s="84">
        <f t="shared" ca="1" si="132"/>
        <v>0.98628955726185785</v>
      </c>
      <c r="J639" s="85">
        <f t="shared" ca="1" si="124"/>
        <v>324755920.2849043</v>
      </c>
      <c r="K639" s="86">
        <f ca="1">IF(J639&gt;0,MIN(99,$B$12*Q639/(J639*12*(1-Inputs!$H$16))),99)</f>
        <v>2.0253711442008853</v>
      </c>
      <c r="L639" s="84">
        <f t="shared" ca="1" si="125"/>
        <v>1.2195007447681825</v>
      </c>
      <c r="M639" s="84">
        <f t="shared" ca="1" si="126"/>
        <v>1.0964447336548384</v>
      </c>
      <c r="N639" s="84">
        <f t="shared" ca="1" si="127"/>
        <v>0.94805351166164753</v>
      </c>
      <c r="O639" s="84">
        <f t="shared" ca="1" si="128"/>
        <v>0.97895204881400155</v>
      </c>
      <c r="P639" s="84">
        <f t="shared" ca="1" si="129"/>
        <v>0.89623598080156841</v>
      </c>
      <c r="Q639" s="84">
        <f t="shared" ca="1" si="130"/>
        <v>1.443084083385658</v>
      </c>
    </row>
    <row r="640" spans="1:17" ht="15" customHeight="1" x14ac:dyDescent="0.2">
      <c r="A640" s="15">
        <v>601</v>
      </c>
      <c r="B640" s="84">
        <f t="shared" ref="B640:D659" ca="1" si="133">RAND()</f>
        <v>0.94212702627440448</v>
      </c>
      <c r="C640" s="84">
        <f t="shared" ca="1" si="133"/>
        <v>0.97324838641737588</v>
      </c>
      <c r="D640" s="84">
        <f t="shared" ca="1" si="133"/>
        <v>0.59416644548130015</v>
      </c>
      <c r="F640" s="84">
        <f t="shared" ref="F640:H659" ca="1" si="134">RAND()</f>
        <v>0.94967663546956982</v>
      </c>
      <c r="G640" s="84">
        <f t="shared" ca="1" si="134"/>
        <v>0.72306681105611303</v>
      </c>
      <c r="H640" s="84">
        <f t="shared" ca="1" si="134"/>
        <v>0.43572020383440335</v>
      </c>
      <c r="J640" s="85">
        <f t="shared" ca="1" si="124"/>
        <v>244236059.86327899</v>
      </c>
      <c r="K640" s="86">
        <f ca="1">IF(J640&gt;0,MIN(99,$B$12*Q640/(J640*12*(1-Inputs!$H$16))),99)</f>
        <v>2.0003924817210326</v>
      </c>
      <c r="L640" s="84">
        <f t="shared" ca="1" si="125"/>
        <v>1.1857949895618558</v>
      </c>
      <c r="M640" s="84">
        <f t="shared" ca="1" si="126"/>
        <v>1.0815378570238894</v>
      </c>
      <c r="N640" s="84">
        <f t="shared" ca="1" si="127"/>
        <v>1.0158508105365245</v>
      </c>
      <c r="O640" s="84">
        <f t="shared" ca="1" si="128"/>
        <v>1.0835699670322179</v>
      </c>
      <c r="P640" s="84">
        <f t="shared" ca="1" si="129"/>
        <v>1.362350527161575</v>
      </c>
      <c r="Q640" s="84">
        <f t="shared" ca="1" si="130"/>
        <v>1.071901651727879</v>
      </c>
    </row>
    <row r="641" spans="1:17" ht="15" customHeight="1" x14ac:dyDescent="0.2">
      <c r="A641" s="15">
        <v>602</v>
      </c>
      <c r="B641" s="84">
        <f t="shared" ca="1" si="133"/>
        <v>0.96277534709219925</v>
      </c>
      <c r="C641" s="84">
        <f t="shared" ca="1" si="133"/>
        <v>0.33448348309956744</v>
      </c>
      <c r="D641" s="84">
        <f t="shared" ca="1" si="133"/>
        <v>0.71900259444307635</v>
      </c>
      <c r="F641" s="84">
        <f t="shared" ca="1" si="134"/>
        <v>0.36305868127782126</v>
      </c>
      <c r="G641" s="84">
        <f t="shared" ca="1" si="134"/>
        <v>0.28462509449994378</v>
      </c>
      <c r="H641" s="84">
        <f t="shared" ca="1" si="134"/>
        <v>4.1757647017891641E-2</v>
      </c>
      <c r="J641" s="85">
        <f t="shared" ca="1" si="124"/>
        <v>278952865.73245174</v>
      </c>
      <c r="K641" s="86">
        <f ca="1">IF(J641&gt;0,MIN(99,$B$12*Q641/(J641*12*(1-Inputs!$H$16))),99)</f>
        <v>1.4842403196287286</v>
      </c>
      <c r="L641" s="84">
        <f t="shared" ca="1" si="125"/>
        <v>1.2034570773952964</v>
      </c>
      <c r="M641" s="84">
        <f t="shared" ca="1" si="126"/>
        <v>1.0893491807211748</v>
      </c>
      <c r="N641" s="84">
        <f t="shared" ca="1" si="127"/>
        <v>1.0283652183825405</v>
      </c>
      <c r="O641" s="84">
        <f t="shared" ca="1" si="128"/>
        <v>1.01127948722434</v>
      </c>
      <c r="P641" s="84">
        <f t="shared" ca="1" si="129"/>
        <v>1.0584807103362897</v>
      </c>
      <c r="Q641" s="84">
        <f t="shared" ca="1" si="130"/>
        <v>0.90837462490540688</v>
      </c>
    </row>
    <row r="642" spans="1:17" ht="15" customHeight="1" x14ac:dyDescent="0.2">
      <c r="A642" s="15">
        <v>603</v>
      </c>
      <c r="B642" s="84">
        <f t="shared" ca="1" si="133"/>
        <v>0.22154844827895614</v>
      </c>
      <c r="C642" s="84">
        <f t="shared" ca="1" si="133"/>
        <v>0.93333251225309288</v>
      </c>
      <c r="D642" s="84">
        <f t="shared" ca="1" si="133"/>
        <v>5.5006611270562944E-2</v>
      </c>
      <c r="F642" s="84">
        <f t="shared" ca="1" si="134"/>
        <v>0.10000767999416849</v>
      </c>
      <c r="G642" s="84">
        <f t="shared" ca="1" si="134"/>
        <v>0.14117952675442169</v>
      </c>
      <c r="H642" s="84">
        <f t="shared" ca="1" si="134"/>
        <v>0.25562251995226104</v>
      </c>
      <c r="J642" s="85">
        <f t="shared" ca="1" si="124"/>
        <v>97902422.366778716</v>
      </c>
      <c r="K642" s="86">
        <f ca="1">IF(J642&gt;0,MIN(99,$B$12*Q642/(J642*12*(1-Inputs!$H$16))),99)</f>
        <v>4.6862496023529827</v>
      </c>
      <c r="L642" s="84">
        <f t="shared" ca="1" si="125"/>
        <v>0.93287400175894242</v>
      </c>
      <c r="M642" s="84">
        <f t="shared" ca="1" si="126"/>
        <v>0.9693321573892395</v>
      </c>
      <c r="N642" s="84">
        <f t="shared" ca="1" si="127"/>
        <v>0.96148840338333474</v>
      </c>
      <c r="O642" s="84">
        <f t="shared" ca="1" si="128"/>
        <v>0.99056178572908082</v>
      </c>
      <c r="P642" s="84">
        <f t="shared" ca="1" si="129"/>
        <v>0.98027819812779682</v>
      </c>
      <c r="Q642" s="84">
        <f t="shared" ca="1" si="130"/>
        <v>1.0065811553952875</v>
      </c>
    </row>
    <row r="643" spans="1:17" ht="15" customHeight="1" x14ac:dyDescent="0.2">
      <c r="A643" s="15">
        <v>604</v>
      </c>
      <c r="B643" s="84">
        <f t="shared" ca="1" si="133"/>
        <v>0.5124426584791858</v>
      </c>
      <c r="C643" s="84">
        <f t="shared" ca="1" si="133"/>
        <v>0.96456345345137851</v>
      </c>
      <c r="D643" s="84">
        <f t="shared" ca="1" si="133"/>
        <v>0.27427910966995772</v>
      </c>
      <c r="F643" s="84">
        <f t="shared" ca="1" si="134"/>
        <v>0.71800043538842495</v>
      </c>
      <c r="G643" s="84">
        <f t="shared" ca="1" si="134"/>
        <v>0.9117959280532123</v>
      </c>
      <c r="H643" s="84">
        <f t="shared" ca="1" si="134"/>
        <v>0.99251967793807461</v>
      </c>
      <c r="J643" s="85">
        <f t="shared" ca="1" si="124"/>
        <v>118775742.92413254</v>
      </c>
      <c r="K643" s="86">
        <f ca="1">IF(J643&gt;0,MIN(99,$B$12*Q643/(J643*12*(1-Inputs!$H$16))),99)</f>
        <v>5.6065018349604347</v>
      </c>
      <c r="L643" s="84">
        <f t="shared" ca="1" si="125"/>
        <v>1.0160808341217051</v>
      </c>
      <c r="M643" s="84">
        <f t="shared" ca="1" si="126"/>
        <v>1.0064792220167396</v>
      </c>
      <c r="N643" s="84">
        <f t="shared" ca="1" si="127"/>
        <v>0.98929929648647352</v>
      </c>
      <c r="O643" s="84">
        <f t="shared" ca="1" si="128"/>
        <v>1.0449263817170145</v>
      </c>
      <c r="P643" s="84">
        <f t="shared" ca="1" si="129"/>
        <v>1.5803512050287021</v>
      </c>
      <c r="Q643" s="84">
        <f t="shared" ca="1" si="130"/>
        <v>1.4609981486216139</v>
      </c>
    </row>
    <row r="644" spans="1:17" ht="15" customHeight="1" x14ac:dyDescent="0.2">
      <c r="A644" s="15">
        <v>605</v>
      </c>
      <c r="B644" s="84">
        <f t="shared" ca="1" si="133"/>
        <v>0.40799605179046616</v>
      </c>
      <c r="C644" s="84">
        <f t="shared" ca="1" si="133"/>
        <v>0.99363353720187153</v>
      </c>
      <c r="D644" s="84">
        <f t="shared" ca="1" si="133"/>
        <v>0.27516964552197354</v>
      </c>
      <c r="F644" s="84">
        <f t="shared" ca="1" si="134"/>
        <v>0.91606693710609666</v>
      </c>
      <c r="G644" s="84">
        <f t="shared" ca="1" si="134"/>
        <v>0.89164146437264569</v>
      </c>
      <c r="H644" s="84">
        <f t="shared" ca="1" si="134"/>
        <v>0.96333291912710106</v>
      </c>
      <c r="J644" s="85">
        <f t="shared" ca="1" si="124"/>
        <v>95668364.496540532</v>
      </c>
      <c r="K644" s="86">
        <f ca="1">IF(J644&gt;0,MIN(99,$B$12*Q644/(J644*12*(1-Inputs!$H$16))),99)</f>
        <v>6.6678456357351807</v>
      </c>
      <c r="L644" s="84">
        <f t="shared" ca="1" si="125"/>
        <v>0.98924181624143182</v>
      </c>
      <c r="M644" s="84">
        <f t="shared" ca="1" si="126"/>
        <v>0.99455048666872325</v>
      </c>
      <c r="N644" s="84">
        <f t="shared" ca="1" si="127"/>
        <v>0.98938099553770686</v>
      </c>
      <c r="O644" s="84">
        <f t="shared" ca="1" si="128"/>
        <v>1.0753320021456412</v>
      </c>
      <c r="P644" s="84">
        <f t="shared" ca="1" si="129"/>
        <v>1.5497441073632032</v>
      </c>
      <c r="Q644" s="84">
        <f t="shared" ca="1" si="130"/>
        <v>1.3995352067410114</v>
      </c>
    </row>
    <row r="645" spans="1:17" ht="15" customHeight="1" x14ac:dyDescent="0.2">
      <c r="A645" s="15">
        <v>606</v>
      </c>
      <c r="B645" s="84">
        <f t="shared" ca="1" si="133"/>
        <v>0.7556058333971386</v>
      </c>
      <c r="C645" s="84">
        <f t="shared" ca="1" si="133"/>
        <v>0.6627208641343274</v>
      </c>
      <c r="D645" s="84">
        <f t="shared" ca="1" si="133"/>
        <v>0.25993481440859356</v>
      </c>
      <c r="F645" s="84">
        <f t="shared" ca="1" si="134"/>
        <v>0.46738829980127106</v>
      </c>
      <c r="G645" s="84">
        <f t="shared" ca="1" si="134"/>
        <v>0.10982140257917294</v>
      </c>
      <c r="H645" s="84">
        <f t="shared" ca="1" si="134"/>
        <v>0.79765090342609424</v>
      </c>
      <c r="J645" s="85">
        <f t="shared" ca="1" si="124"/>
        <v>202770706.58120811</v>
      </c>
      <c r="K645" s="86">
        <f ca="1">IF(J645&gt;0,MIN(99,$B$12*Q645/(J645*12*(1-Inputs!$H$16))),99)</f>
        <v>2.8059889926966299</v>
      </c>
      <c r="L645" s="84">
        <f t="shared" ca="1" si="125"/>
        <v>1.0916855218268522</v>
      </c>
      <c r="M645" s="84">
        <f t="shared" ca="1" si="126"/>
        <v>1.0399165310294896</v>
      </c>
      <c r="N645" s="84">
        <f t="shared" ca="1" si="127"/>
        <v>0.98796457754389033</v>
      </c>
      <c r="O645" s="84">
        <f t="shared" ca="1" si="128"/>
        <v>1.019882861176685</v>
      </c>
      <c r="P645" s="84">
        <f t="shared" ca="1" si="129"/>
        <v>0.96073488655799455</v>
      </c>
      <c r="Q645" s="84">
        <f t="shared" ca="1" si="130"/>
        <v>1.248306175430314</v>
      </c>
    </row>
    <row r="646" spans="1:17" ht="15" customHeight="1" x14ac:dyDescent="0.2">
      <c r="A646" s="15">
        <v>607</v>
      </c>
      <c r="B646" s="84">
        <f t="shared" ca="1" si="133"/>
        <v>0.14018624679231939</v>
      </c>
      <c r="C646" s="84">
        <f t="shared" ca="1" si="133"/>
        <v>0.48201568426859875</v>
      </c>
      <c r="D646" s="84">
        <f t="shared" ca="1" si="133"/>
        <v>0.83404037615470972</v>
      </c>
      <c r="F646" s="84">
        <f t="shared" ca="1" si="134"/>
        <v>0.79905866425410277</v>
      </c>
      <c r="G646" s="84">
        <f t="shared" ca="1" si="134"/>
        <v>0.13929045094988102</v>
      </c>
      <c r="H646" s="84">
        <f t="shared" ca="1" si="134"/>
        <v>0.16924237062432901</v>
      </c>
      <c r="J646" s="85">
        <f t="shared" ca="1" si="124"/>
        <v>49657901.622294798</v>
      </c>
      <c r="K646" s="86">
        <f ca="1">IF(J646&gt;0,MIN(99,$B$12*Q646/(J646*12*(1-Inputs!$H$16))),99)</f>
        <v>8.9561563471576164</v>
      </c>
      <c r="L646" s="84">
        <f t="shared" ca="1" si="125"/>
        <v>0.90058245404568238</v>
      </c>
      <c r="M646" s="84">
        <f t="shared" ca="1" si="126"/>
        <v>0.95488528037877596</v>
      </c>
      <c r="N646" s="84">
        <f t="shared" ca="1" si="127"/>
        <v>1.0427226062417425</v>
      </c>
      <c r="O646" s="84">
        <f t="shared" ca="1" si="128"/>
        <v>1.055355166739651</v>
      </c>
      <c r="P646" s="84">
        <f t="shared" ca="1" si="129"/>
        <v>0.97916661463782573</v>
      </c>
      <c r="Q646" s="84">
        <f t="shared" ca="1" si="130"/>
        <v>0.97575317165766573</v>
      </c>
    </row>
    <row r="647" spans="1:17" ht="15" customHeight="1" x14ac:dyDescent="0.2">
      <c r="A647" s="15">
        <v>608</v>
      </c>
      <c r="B647" s="84">
        <f t="shared" ca="1" si="133"/>
        <v>0.14654639156574711</v>
      </c>
      <c r="C647" s="84">
        <f t="shared" ca="1" si="133"/>
        <v>0.62657398367307426</v>
      </c>
      <c r="D647" s="84">
        <f t="shared" ca="1" si="133"/>
        <v>0.59881206421489741</v>
      </c>
      <c r="F647" s="84">
        <f t="shared" ca="1" si="134"/>
        <v>0.18336469969570413</v>
      </c>
      <c r="G647" s="84">
        <f t="shared" ca="1" si="134"/>
        <v>0.27009916160256175</v>
      </c>
      <c r="H647" s="84">
        <f t="shared" ca="1" si="134"/>
        <v>0.43816810244265147</v>
      </c>
      <c r="J647" s="85">
        <f t="shared" ca="1" si="124"/>
        <v>63524800.08459197</v>
      </c>
      <c r="K647" s="86">
        <f ca="1">IF(J647&gt;0,MIN(99,$B$12*Q647/(J647*12*(1-Inputs!$H$16))),99)</f>
        <v>7.6978310858960564</v>
      </c>
      <c r="L647" s="84">
        <f t="shared" ca="1" si="125"/>
        <v>0.90339964583730969</v>
      </c>
      <c r="M647" s="84">
        <f t="shared" ca="1" si="126"/>
        <v>0.95614566045377047</v>
      </c>
      <c r="N647" s="84">
        <f t="shared" ca="1" si="127"/>
        <v>1.0162786508074984</v>
      </c>
      <c r="O647" s="84">
        <f t="shared" ca="1" si="128"/>
        <v>0.99788257762720967</v>
      </c>
      <c r="P647" s="84">
        <f t="shared" ca="1" si="129"/>
        <v>1.0503561004398541</v>
      </c>
      <c r="Q647" s="84">
        <f t="shared" ca="1" si="130"/>
        <v>1.0728564722018485</v>
      </c>
    </row>
    <row r="648" spans="1:17" ht="15" customHeight="1" x14ac:dyDescent="0.2">
      <c r="A648" s="15">
        <v>609</v>
      </c>
      <c r="B648" s="84">
        <f t="shared" ca="1" si="133"/>
        <v>0.66660221045345891</v>
      </c>
      <c r="C648" s="84">
        <f t="shared" ca="1" si="133"/>
        <v>0.4276490009688888</v>
      </c>
      <c r="D648" s="84">
        <f t="shared" ca="1" si="133"/>
        <v>0.28999803666117563</v>
      </c>
      <c r="F648" s="84">
        <f t="shared" ca="1" si="134"/>
        <v>2.2149069245214759E-2</v>
      </c>
      <c r="G648" s="84">
        <f t="shared" ca="1" si="134"/>
        <v>0.25392973739978875</v>
      </c>
      <c r="H648" s="84">
        <f t="shared" ca="1" si="134"/>
        <v>0.20468643259068386</v>
      </c>
      <c r="J648" s="85">
        <f t="shared" ca="1" si="124"/>
        <v>182566878.18139321</v>
      </c>
      <c r="K648" s="86">
        <f ca="1">IF(J648&gt;0,MIN(99,$B$12*Q648/(J648*12*(1-Inputs!$H$16))),99)</f>
        <v>2.4693976593819755</v>
      </c>
      <c r="L648" s="84">
        <f t="shared" ca="1" si="125"/>
        <v>1.0608920924798679</v>
      </c>
      <c r="M648" s="84">
        <f t="shared" ca="1" si="126"/>
        <v>1.0262976742642456</v>
      </c>
      <c r="N648" s="84">
        <f t="shared" ca="1" si="127"/>
        <v>0.99072243726780651</v>
      </c>
      <c r="O648" s="84">
        <f t="shared" ca="1" si="128"/>
        <v>0.97961606253218303</v>
      </c>
      <c r="P648" s="84">
        <f t="shared" ca="1" si="129"/>
        <v>1.0414067709053358</v>
      </c>
      <c r="Q648" s="84">
        <f t="shared" ca="1" si="130"/>
        <v>0.9891062883608519</v>
      </c>
    </row>
    <row r="649" spans="1:17" ht="15" customHeight="1" x14ac:dyDescent="0.2">
      <c r="A649" s="15">
        <v>610</v>
      </c>
      <c r="B649" s="84">
        <f t="shared" ca="1" si="133"/>
        <v>0.63143208134762152</v>
      </c>
      <c r="C649" s="84">
        <f t="shared" ca="1" si="133"/>
        <v>0.46554094728213857</v>
      </c>
      <c r="D649" s="84">
        <f t="shared" ca="1" si="133"/>
        <v>0.28790982789164776</v>
      </c>
      <c r="F649" s="84">
        <f t="shared" ca="1" si="134"/>
        <v>5.6787129400235448E-2</v>
      </c>
      <c r="G649" s="84">
        <f t="shared" ca="1" si="134"/>
        <v>0.91120062833157456</v>
      </c>
      <c r="H649" s="84">
        <f t="shared" ca="1" si="134"/>
        <v>0.15988464709264327</v>
      </c>
      <c r="J649" s="85">
        <f t="shared" ca="1" si="124"/>
        <v>153135346.6115725</v>
      </c>
      <c r="K649" s="86">
        <f ca="1">IF(J649&gt;0,MIN(99,$B$12*Q649/(J649*12*(1-Inputs!$H$16))),99)</f>
        <v>2.893080885681135</v>
      </c>
      <c r="L649" s="84">
        <f t="shared" ca="1" si="125"/>
        <v>1.049882055769199</v>
      </c>
      <c r="M649" s="84">
        <f t="shared" ca="1" si="126"/>
        <v>1.0214283201155703</v>
      </c>
      <c r="N649" s="84">
        <f t="shared" ca="1" si="127"/>
        <v>0.99053563833929092</v>
      </c>
      <c r="O649" s="84">
        <f t="shared" ca="1" si="128"/>
        <v>0.98546602451175547</v>
      </c>
      <c r="P649" s="84">
        <f t="shared" ca="1" si="129"/>
        <v>1.5793997817076224</v>
      </c>
      <c r="Q649" s="84">
        <f t="shared" ca="1" si="130"/>
        <v>0.97199932481903861</v>
      </c>
    </row>
    <row r="650" spans="1:17" ht="15" customHeight="1" x14ac:dyDescent="0.2">
      <c r="A650" s="15">
        <v>611</v>
      </c>
      <c r="B650" s="84">
        <f t="shared" ca="1" si="133"/>
        <v>0.29866234783282086</v>
      </c>
      <c r="C650" s="84">
        <f t="shared" ca="1" si="133"/>
        <v>0.56393756283023777</v>
      </c>
      <c r="D650" s="84">
        <f t="shared" ca="1" si="133"/>
        <v>0.26489937116240181</v>
      </c>
      <c r="F650" s="84">
        <f t="shared" ca="1" si="134"/>
        <v>0.70414086511029972</v>
      </c>
      <c r="G650" s="84">
        <f t="shared" ca="1" si="134"/>
        <v>6.1307032789583271E-2</v>
      </c>
      <c r="H650" s="84">
        <f t="shared" ca="1" si="134"/>
        <v>0.58029722853987664</v>
      </c>
      <c r="J650" s="85">
        <f t="shared" ca="1" si="124"/>
        <v>103208196.32580541</v>
      </c>
      <c r="K650" s="86">
        <f ca="1">IF(J650&gt;0,MIN(99,$B$12*Q650/(J650*12*(1-Inputs!$H$16))),99)</f>
        <v>5.000963940477841</v>
      </c>
      <c r="L650" s="84">
        <f t="shared" ca="1" si="125"/>
        <v>0.9583017024776157</v>
      </c>
      <c r="M650" s="84">
        <f t="shared" ca="1" si="126"/>
        <v>0.9807082260807598</v>
      </c>
      <c r="N650" s="84">
        <f t="shared" ca="1" si="127"/>
        <v>0.98843059623823937</v>
      </c>
      <c r="O650" s="84">
        <f t="shared" ca="1" si="128"/>
        <v>1.0433019254294713</v>
      </c>
      <c r="P650" s="84">
        <f t="shared" ca="1" si="129"/>
        <v>0.92380793239299452</v>
      </c>
      <c r="Q650" s="84">
        <f t="shared" ca="1" si="130"/>
        <v>1.1323947646623247</v>
      </c>
    </row>
    <row r="651" spans="1:17" ht="15" customHeight="1" x14ac:dyDescent="0.2">
      <c r="A651" s="15">
        <v>612</v>
      </c>
      <c r="B651" s="84">
        <f t="shared" ca="1" si="133"/>
        <v>0.91666103409422561</v>
      </c>
      <c r="C651" s="84">
        <f t="shared" ca="1" si="133"/>
        <v>0.98060701898827396</v>
      </c>
      <c r="D651" s="84">
        <f t="shared" ca="1" si="133"/>
        <v>0.25516186931665674</v>
      </c>
      <c r="F651" s="84">
        <f t="shared" ca="1" si="134"/>
        <v>0.31387921609024283</v>
      </c>
      <c r="G651" s="84">
        <f t="shared" ca="1" si="134"/>
        <v>0.43185274196290424</v>
      </c>
      <c r="H651" s="84">
        <f t="shared" ca="1" si="134"/>
        <v>0.69848729287576938</v>
      </c>
      <c r="J651" s="85">
        <f t="shared" ca="1" si="124"/>
        <v>257851586.57811308</v>
      </c>
      <c r="K651" s="86">
        <f ca="1">IF(J651&gt;0,MIN(99,$B$12*Q651/(J651*12*(1-Inputs!$H$16))),99)</f>
        <v>2.1038698891674685</v>
      </c>
      <c r="L651" s="84">
        <f t="shared" ca="1" si="125"/>
        <v>1.1679527776537664</v>
      </c>
      <c r="M651" s="84">
        <f t="shared" ca="1" si="126"/>
        <v>1.0736468707484295</v>
      </c>
      <c r="N651" s="84">
        <f t="shared" ca="1" si="127"/>
        <v>0.98751233045327769</v>
      </c>
      <c r="O651" s="84">
        <f t="shared" ca="1" si="128"/>
        <v>1.0074696485185777</v>
      </c>
      <c r="P651" s="84">
        <f t="shared" ca="1" si="129"/>
        <v>1.1460060631277227</v>
      </c>
      <c r="Q651" s="84">
        <f t="shared" ca="1" si="130"/>
        <v>1.1901963865422367</v>
      </c>
    </row>
    <row r="652" spans="1:17" ht="15" customHeight="1" x14ac:dyDescent="0.2">
      <c r="A652" s="15">
        <v>613</v>
      </c>
      <c r="B652" s="84">
        <f t="shared" ca="1" si="133"/>
        <v>0.58338659005959126</v>
      </c>
      <c r="C652" s="84">
        <f t="shared" ca="1" si="133"/>
        <v>0.90607626777563288</v>
      </c>
      <c r="D652" s="84">
        <f t="shared" ca="1" si="133"/>
        <v>9.9859758292284995E-2</v>
      </c>
      <c r="F652" s="84">
        <f t="shared" ca="1" si="134"/>
        <v>0.6770376951306033</v>
      </c>
      <c r="G652" s="84">
        <f t="shared" ca="1" si="134"/>
        <v>0.92647508714446536</v>
      </c>
      <c r="H652" s="84">
        <f t="shared" ca="1" si="134"/>
        <v>0.71543261262520941</v>
      </c>
      <c r="J652" s="85">
        <f t="shared" ca="1" si="124"/>
        <v>137298055.07752079</v>
      </c>
      <c r="K652" s="86">
        <f ca="1">IF(J652&gt;0,MIN(99,$B$12*Q652/(J652*12*(1-Inputs!$H$16))),99)</f>
        <v>3.9815758606573217</v>
      </c>
      <c r="L652" s="84">
        <f t="shared" ca="1" si="125"/>
        <v>1.035658520379759</v>
      </c>
      <c r="M652" s="84">
        <f t="shared" ca="1" si="126"/>
        <v>1.0151377478970158</v>
      </c>
      <c r="N652" s="84">
        <f t="shared" ca="1" si="127"/>
        <v>0.96932355570256834</v>
      </c>
      <c r="O652" s="84">
        <f t="shared" ca="1" si="128"/>
        <v>1.0402316348384952</v>
      </c>
      <c r="P652" s="84">
        <f t="shared" ca="1" si="129"/>
        <v>1.60492002011479</v>
      </c>
      <c r="Q652" s="84">
        <f t="shared" ca="1" si="130"/>
        <v>1.199359339426789</v>
      </c>
    </row>
    <row r="653" spans="1:17" ht="15" customHeight="1" x14ac:dyDescent="0.2">
      <c r="A653" s="15">
        <v>614</v>
      </c>
      <c r="B653" s="84">
        <f t="shared" ca="1" si="133"/>
        <v>0.25962782487299407</v>
      </c>
      <c r="C653" s="84">
        <f t="shared" ca="1" si="133"/>
        <v>0.49327277746976272</v>
      </c>
      <c r="D653" s="84">
        <f t="shared" ca="1" si="133"/>
        <v>0.11521980435007362</v>
      </c>
      <c r="F653" s="84">
        <f t="shared" ca="1" si="134"/>
        <v>0.37569443738043051</v>
      </c>
      <c r="G653" s="84">
        <f t="shared" ca="1" si="134"/>
        <v>0.49557847760803631</v>
      </c>
      <c r="H653" s="84">
        <f t="shared" ca="1" si="134"/>
        <v>0.42878407891439885</v>
      </c>
      <c r="J653" s="85">
        <f t="shared" ca="1" si="124"/>
        <v>93336980.228367433</v>
      </c>
      <c r="K653" s="86">
        <f ca="1">IF(J653&gt;0,MIN(99,$B$12*Q653/(J653*12*(1-Inputs!$H$16))),99)</f>
        <v>5.2212952427601023</v>
      </c>
      <c r="L653" s="84">
        <f t="shared" ca="1" si="125"/>
        <v>0.94590386273636951</v>
      </c>
      <c r="M653" s="84">
        <f t="shared" ca="1" si="126"/>
        <v>0.97516157134845427</v>
      </c>
      <c r="N653" s="84">
        <f t="shared" ca="1" si="127"/>
        <v>0.97157727284972095</v>
      </c>
      <c r="O653" s="84">
        <f t="shared" ca="1" si="128"/>
        <v>1.0122818951409938</v>
      </c>
      <c r="P653" s="84">
        <f t="shared" ca="1" si="129"/>
        <v>1.1873986460368284</v>
      </c>
      <c r="Q653" s="84">
        <f t="shared" ca="1" si="130"/>
        <v>1.0692073578970367</v>
      </c>
    </row>
    <row r="654" spans="1:17" ht="15" customHeight="1" x14ac:dyDescent="0.2">
      <c r="A654" s="15">
        <v>615</v>
      </c>
      <c r="B654" s="84">
        <f t="shared" ca="1" si="133"/>
        <v>0.53944674479140475</v>
      </c>
      <c r="C654" s="84">
        <f t="shared" ca="1" si="133"/>
        <v>6.1069336111165828E-2</v>
      </c>
      <c r="D654" s="84">
        <f t="shared" ca="1" si="133"/>
        <v>0.1145174227647594</v>
      </c>
      <c r="F654" s="84">
        <f t="shared" ca="1" si="134"/>
        <v>0.93408674810654724</v>
      </c>
      <c r="G654" s="84">
        <f t="shared" ca="1" si="134"/>
        <v>0.76649260816709686</v>
      </c>
      <c r="H654" s="84">
        <f t="shared" ca="1" si="134"/>
        <v>1.8431847417661462E-3</v>
      </c>
      <c r="J654" s="85">
        <f t="shared" ca="1" si="124"/>
        <v>128876531.74622266</v>
      </c>
      <c r="K654" s="86">
        <f ca="1">IF(J654&gt;0,MIN(99,$B$12*Q654/(J654*12*(1-Inputs!$H$16))),99)</f>
        <v>3.0268540754869142</v>
      </c>
      <c r="L654" s="84">
        <f t="shared" ca="1" si="125"/>
        <v>1.0233532782029897</v>
      </c>
      <c r="M654" s="84">
        <f t="shared" ca="1" si="126"/>
        <v>1.0096955696719565</v>
      </c>
      <c r="N654" s="84">
        <f t="shared" ca="1" si="127"/>
        <v>0.97147762062563225</v>
      </c>
      <c r="O654" s="84">
        <f t="shared" ca="1" si="128"/>
        <v>1.079486843130004</v>
      </c>
      <c r="P654" s="84">
        <f t="shared" ca="1" si="129"/>
        <v>1.4032575191147556</v>
      </c>
      <c r="Q654" s="84">
        <f t="shared" ca="1" si="130"/>
        <v>0.8558452913707717</v>
      </c>
    </row>
    <row r="655" spans="1:17" ht="15" customHeight="1" x14ac:dyDescent="0.2">
      <c r="A655" s="15">
        <v>616</v>
      </c>
      <c r="B655" s="84">
        <f t="shared" ca="1" si="133"/>
        <v>0.23198346434018013</v>
      </c>
      <c r="C655" s="84">
        <f t="shared" ca="1" si="133"/>
        <v>0.25730876413735004</v>
      </c>
      <c r="D655" s="84">
        <f t="shared" ca="1" si="133"/>
        <v>0.38614016854935029</v>
      </c>
      <c r="F655" s="84">
        <f t="shared" ca="1" si="134"/>
        <v>0.83482624414671502</v>
      </c>
      <c r="G655" s="84">
        <f t="shared" ca="1" si="134"/>
        <v>0.62553656718444794</v>
      </c>
      <c r="H655" s="84">
        <f t="shared" ca="1" si="134"/>
        <v>0.50309661703281217</v>
      </c>
      <c r="J655" s="85">
        <f t="shared" ca="1" si="124"/>
        <v>69866071.640599474</v>
      </c>
      <c r="K655" s="86">
        <f ca="1">IF(J655&gt;0,MIN(99,$B$12*Q655/(J655*12*(1-Inputs!$H$16))),99)</f>
        <v>7.1696290942829188</v>
      </c>
      <c r="L655" s="84">
        <f t="shared" ca="1" si="125"/>
        <v>0.93654918674592658</v>
      </c>
      <c r="M655" s="84">
        <f t="shared" ca="1" si="126"/>
        <v>0.97097639401639446</v>
      </c>
      <c r="N655" s="84">
        <f t="shared" ca="1" si="127"/>
        <v>0.99869377303811235</v>
      </c>
      <c r="O655" s="84">
        <f t="shared" ca="1" si="128"/>
        <v>1.060627933867005</v>
      </c>
      <c r="P655" s="84">
        <f t="shared" ca="1" si="129"/>
        <v>1.2808665437360323</v>
      </c>
      <c r="Q655" s="84">
        <f t="shared" ca="1" si="130"/>
        <v>1.0989880123850742</v>
      </c>
    </row>
    <row r="656" spans="1:17" ht="15" customHeight="1" x14ac:dyDescent="0.2">
      <c r="A656" s="15">
        <v>617</v>
      </c>
      <c r="B656" s="84">
        <f t="shared" ca="1" si="133"/>
        <v>0.97881164918814267</v>
      </c>
      <c r="C656" s="84">
        <f t="shared" ca="1" si="133"/>
        <v>0.60805922025117021</v>
      </c>
      <c r="D656" s="84">
        <f t="shared" ca="1" si="133"/>
        <v>0.82956837748256962</v>
      </c>
      <c r="F656" s="84">
        <f t="shared" ca="1" si="134"/>
        <v>0.46556665679255571</v>
      </c>
      <c r="G656" s="84">
        <f t="shared" ca="1" si="134"/>
        <v>3.7099776940222373E-2</v>
      </c>
      <c r="H656" s="84">
        <f t="shared" ca="1" si="134"/>
        <v>0.14824950707617057</v>
      </c>
      <c r="J656" s="85">
        <f t="shared" ca="1" si="124"/>
        <v>294404911.76123869</v>
      </c>
      <c r="K656" s="86">
        <f ca="1">IF(J656&gt;0,MIN(99,$B$12*Q656/(J656*12*(1-Inputs!$H$16))),99)</f>
        <v>1.4973734734734494</v>
      </c>
      <c r="L656" s="84">
        <f t="shared" ca="1" si="125"/>
        <v>1.2210240957775564</v>
      </c>
      <c r="M656" s="84">
        <f t="shared" ca="1" si="126"/>
        <v>1.0971184585253646</v>
      </c>
      <c r="N656" s="84">
        <f t="shared" ca="1" si="127"/>
        <v>1.0420846839698483</v>
      </c>
      <c r="O656" s="84">
        <f t="shared" ca="1" si="128"/>
        <v>1.019725748976557</v>
      </c>
      <c r="P656" s="84">
        <f t="shared" ca="1" si="129"/>
        <v>0.89957373925797979</v>
      </c>
      <c r="Q656" s="84">
        <f t="shared" ca="1" si="130"/>
        <v>0.96717514655545556</v>
      </c>
    </row>
    <row r="657" spans="1:17" ht="15" customHeight="1" x14ac:dyDescent="0.2">
      <c r="A657" s="15">
        <v>618</v>
      </c>
      <c r="B657" s="84">
        <f t="shared" ca="1" si="133"/>
        <v>0.8797848419433939</v>
      </c>
      <c r="C657" s="84">
        <f t="shared" ca="1" si="133"/>
        <v>0.7796622814953118</v>
      </c>
      <c r="D657" s="84">
        <f t="shared" ca="1" si="133"/>
        <v>0.76421532196102382</v>
      </c>
      <c r="F657" s="84">
        <f t="shared" ca="1" si="134"/>
        <v>0.74109655175167899</v>
      </c>
      <c r="G657" s="84">
        <f t="shared" ca="1" si="134"/>
        <v>0.37223041503563692</v>
      </c>
      <c r="H657" s="84">
        <f t="shared" ca="1" si="134"/>
        <v>5.0873250298928085E-2</v>
      </c>
      <c r="J657" s="85">
        <f t="shared" ca="1" si="124"/>
        <v>223918188.68190569</v>
      </c>
      <c r="K657" s="86">
        <f ca="1">IF(J657&gt;0,MIN(99,$B$12*Q657/(J657*12*(1-Inputs!$H$16))),99)</f>
        <v>1.8630835715282443</v>
      </c>
      <c r="L657" s="84">
        <f t="shared" ca="1" si="125"/>
        <v>1.1464325693156181</v>
      </c>
      <c r="M657" s="84">
        <f t="shared" ca="1" si="126"/>
        <v>1.0641292352940284</v>
      </c>
      <c r="N657" s="84">
        <f t="shared" ca="1" si="127"/>
        <v>1.0335735971106765</v>
      </c>
      <c r="O657" s="84">
        <f t="shared" ca="1" si="128"/>
        <v>1.0477248227515317</v>
      </c>
      <c r="P657" s="84">
        <f t="shared" ca="1" si="129"/>
        <v>1.1093351399185791</v>
      </c>
      <c r="Q657" s="84">
        <f t="shared" ca="1" si="130"/>
        <v>0.91527510531673284</v>
      </c>
    </row>
    <row r="658" spans="1:17" ht="15" customHeight="1" x14ac:dyDescent="0.2">
      <c r="A658" s="15">
        <v>619</v>
      </c>
      <c r="B658" s="84">
        <f t="shared" ca="1" si="133"/>
        <v>0.83769627037178107</v>
      </c>
      <c r="C658" s="84">
        <f t="shared" ca="1" si="133"/>
        <v>0.93534218381652068</v>
      </c>
      <c r="D658" s="84">
        <f t="shared" ca="1" si="133"/>
        <v>2.6957059898719438E-2</v>
      </c>
      <c r="F658" s="84">
        <f t="shared" ca="1" si="134"/>
        <v>0.69062179767585863</v>
      </c>
      <c r="G658" s="84">
        <f t="shared" ca="1" si="134"/>
        <v>0.4738075416055163</v>
      </c>
      <c r="H658" s="84">
        <f t="shared" ca="1" si="134"/>
        <v>0.86852267772862746</v>
      </c>
      <c r="J658" s="85">
        <f t="shared" ca="1" si="124"/>
        <v>225390539.03558636</v>
      </c>
      <c r="K658" s="86">
        <f ca="1">IF(J658&gt;0,MIN(99,$B$12*Q658/(J658*12*(1-Inputs!$H$16))),99)</f>
        <v>2.627649964147015</v>
      </c>
      <c r="L658" s="84">
        <f t="shared" ca="1" si="125"/>
        <v>1.1256120392271181</v>
      </c>
      <c r="M658" s="84">
        <f t="shared" ca="1" si="126"/>
        <v>1.054921043057411</v>
      </c>
      <c r="N658" s="84">
        <f t="shared" ca="1" si="127"/>
        <v>0.95472288720811527</v>
      </c>
      <c r="O658" s="84">
        <f t="shared" ca="1" si="128"/>
        <v>1.0417536478455383</v>
      </c>
      <c r="P658" s="84">
        <f t="shared" ca="1" si="129"/>
        <v>1.1729781011113956</v>
      </c>
      <c r="Q658" s="84">
        <f t="shared" ca="1" si="130"/>
        <v>1.2993708957808237</v>
      </c>
    </row>
    <row r="659" spans="1:17" ht="15" customHeight="1" x14ac:dyDescent="0.2">
      <c r="A659" s="15">
        <v>620</v>
      </c>
      <c r="B659" s="84">
        <f t="shared" ca="1" si="133"/>
        <v>3.0043282270496352E-2</v>
      </c>
      <c r="C659" s="84">
        <f t="shared" ca="1" si="133"/>
        <v>0.41507503671322776</v>
      </c>
      <c r="D659" s="84">
        <f t="shared" ca="1" si="133"/>
        <v>0.37347222818511949</v>
      </c>
      <c r="F659" s="84">
        <f t="shared" ca="1" si="134"/>
        <v>0.50787105370409213</v>
      </c>
      <c r="G659" s="84">
        <f t="shared" ca="1" si="134"/>
        <v>0.43418309155973189</v>
      </c>
      <c r="H659" s="84">
        <f t="shared" ca="1" si="134"/>
        <v>0.99870571296979305</v>
      </c>
      <c r="J659" s="85">
        <f t="shared" ca="1" si="124"/>
        <v>14420887.253507689</v>
      </c>
      <c r="K659" s="86">
        <f ca="1">IF(J659&gt;0,MIN(99,$B$12*Q659/(J659*12*(1-Inputs!$H$16))),99)</f>
        <v>47.111786094324906</v>
      </c>
      <c r="L659" s="84">
        <f t="shared" ca="1" si="125"/>
        <v>0.83313664296664236</v>
      </c>
      <c r="M659" s="84">
        <f t="shared" ca="1" si="126"/>
        <v>0.92471077941703561</v>
      </c>
      <c r="N659" s="84">
        <f t="shared" ca="1" si="127"/>
        <v>0.9977053243096754</v>
      </c>
      <c r="O659" s="84">
        <f t="shared" ca="1" si="128"/>
        <v>1.0234464344881302</v>
      </c>
      <c r="P659" s="84">
        <f t="shared" ca="1" si="129"/>
        <v>1.1474775283394392</v>
      </c>
      <c r="Q659" s="84">
        <f t="shared" ca="1" si="130"/>
        <v>1.4905669665132388</v>
      </c>
    </row>
    <row r="660" spans="1:17" ht="15" customHeight="1" x14ac:dyDescent="0.2">
      <c r="A660" s="15">
        <v>621</v>
      </c>
      <c r="B660" s="84">
        <f t="shared" ref="B660:D679" ca="1" si="135">RAND()</f>
        <v>0.10166145093629642</v>
      </c>
      <c r="C660" s="84">
        <f t="shared" ca="1" si="135"/>
        <v>0.36286704156882865</v>
      </c>
      <c r="D660" s="84">
        <f t="shared" ca="1" si="135"/>
        <v>0.17131356607230919</v>
      </c>
      <c r="F660" s="84">
        <f t="shared" ref="F660:H679" ca="1" si="136">RAND()</f>
        <v>0.30408003212784196</v>
      </c>
      <c r="G660" s="84">
        <f t="shared" ca="1" si="136"/>
        <v>0.22847782817478357</v>
      </c>
      <c r="H660" s="84">
        <f t="shared" ca="1" si="136"/>
        <v>0.34455441954716326</v>
      </c>
      <c r="J660" s="85">
        <f t="shared" ca="1" si="124"/>
        <v>56147322.441507414</v>
      </c>
      <c r="K660" s="86">
        <f ca="1">IF(J660&gt;0,MIN(99,$B$12*Q660/(J660*12*(1-Inputs!$H$16))),99)</f>
        <v>8.4239716471025048</v>
      </c>
      <c r="L660" s="84">
        <f t="shared" ca="1" si="125"/>
        <v>0.88194350485341944</v>
      </c>
      <c r="M660" s="84">
        <f t="shared" ca="1" si="126"/>
        <v>0.94654642313427395</v>
      </c>
      <c r="N660" s="84">
        <f t="shared" ca="1" si="127"/>
        <v>0.97873816445137485</v>
      </c>
      <c r="O660" s="84">
        <f t="shared" ca="1" si="128"/>
        <v>1.006727022651138</v>
      </c>
      <c r="P660" s="84">
        <f t="shared" ca="1" si="129"/>
        <v>1.0275140785964543</v>
      </c>
      <c r="Q660" s="84">
        <f t="shared" ca="1" si="130"/>
        <v>1.0377097286068708</v>
      </c>
    </row>
    <row r="661" spans="1:17" ht="15" customHeight="1" x14ac:dyDescent="0.2">
      <c r="A661" s="15">
        <v>622</v>
      </c>
      <c r="B661" s="84">
        <f t="shared" ca="1" si="135"/>
        <v>0.19257837761967278</v>
      </c>
      <c r="C661" s="84">
        <f t="shared" ca="1" si="135"/>
        <v>0.5363458803476171</v>
      </c>
      <c r="D661" s="84">
        <f t="shared" ca="1" si="135"/>
        <v>0.801199316855295</v>
      </c>
      <c r="F661" s="84">
        <f t="shared" ca="1" si="136"/>
        <v>0.76986142857384365</v>
      </c>
      <c r="G661" s="84">
        <f t="shared" ca="1" si="136"/>
        <v>0.91064033931877142</v>
      </c>
      <c r="H661" s="84">
        <f t="shared" ca="1" si="136"/>
        <v>0.9796881251435533</v>
      </c>
      <c r="J661" s="85">
        <f t="shared" ca="1" si="124"/>
        <v>42669802.541489914</v>
      </c>
      <c r="K661" s="86">
        <f ca="1">IF(J661&gt;0,MIN(99,$B$12*Q661/(J661*12*(1-Inputs!$H$16))),99)</f>
        <v>15.255912221849988</v>
      </c>
      <c r="L661" s="84">
        <f t="shared" ca="1" si="125"/>
        <v>0.9221905821790688</v>
      </c>
      <c r="M661" s="84">
        <f t="shared" ca="1" si="126"/>
        <v>0.96455251504777828</v>
      </c>
      <c r="N661" s="84">
        <f t="shared" ca="1" si="127"/>
        <v>1.0382192777917292</v>
      </c>
      <c r="O661" s="84">
        <f t="shared" ca="1" si="128"/>
        <v>1.0513910159325002</v>
      </c>
      <c r="P661" s="84">
        <f t="shared" ca="1" si="129"/>
        <v>1.578507222412173</v>
      </c>
      <c r="Q661" s="84">
        <f t="shared" ca="1" si="130"/>
        <v>1.4281991023811584</v>
      </c>
    </row>
    <row r="662" spans="1:17" ht="15" customHeight="1" x14ac:dyDescent="0.2">
      <c r="A662" s="15">
        <v>623</v>
      </c>
      <c r="B662" s="84">
        <f t="shared" ca="1" si="135"/>
        <v>0.7947545158991719</v>
      </c>
      <c r="C662" s="84">
        <f t="shared" ca="1" si="135"/>
        <v>0.6798992454478936</v>
      </c>
      <c r="D662" s="84">
        <f t="shared" ca="1" si="135"/>
        <v>0.95685631725387599</v>
      </c>
      <c r="F662" s="84">
        <f t="shared" ca="1" si="136"/>
        <v>0.88797727551061489</v>
      </c>
      <c r="G662" s="84">
        <f t="shared" ca="1" si="136"/>
        <v>5.560019091928825E-3</v>
      </c>
      <c r="H662" s="84">
        <f t="shared" ca="1" si="136"/>
        <v>0.43862233824524932</v>
      </c>
      <c r="J662" s="85">
        <f t="shared" ca="1" si="124"/>
        <v>191896066.43653232</v>
      </c>
      <c r="K662" s="86">
        <f ca="1">IF(J662&gt;0,MIN(99,$B$12*Q662/(J662*12*(1-Inputs!$H$16))),99)</f>
        <v>2.5486923782714945</v>
      </c>
      <c r="L662" s="84">
        <f t="shared" ca="1" si="125"/>
        <v>1.1070081726277619</v>
      </c>
      <c r="M662" s="84">
        <f t="shared" ca="1" si="126"/>
        <v>1.0466932035517356</v>
      </c>
      <c r="N662" s="84">
        <f t="shared" ca="1" si="127"/>
        <v>1.0660845249680133</v>
      </c>
      <c r="O662" s="84">
        <f t="shared" ca="1" si="128"/>
        <v>1.0696640063918617</v>
      </c>
      <c r="P662" s="84">
        <f t="shared" ca="1" si="129"/>
        <v>0.84754956711804219</v>
      </c>
      <c r="Q662" s="84">
        <f t="shared" ca="1" si="130"/>
        <v>1.0730338787928084</v>
      </c>
    </row>
    <row r="663" spans="1:17" ht="15" customHeight="1" x14ac:dyDescent="0.2">
      <c r="A663" s="15">
        <v>624</v>
      </c>
      <c r="B663" s="84">
        <f t="shared" ca="1" si="135"/>
        <v>0.927527426262715</v>
      </c>
      <c r="C663" s="84">
        <f t="shared" ca="1" si="135"/>
        <v>0.40517819700235613</v>
      </c>
      <c r="D663" s="84">
        <f t="shared" ca="1" si="135"/>
        <v>7.4706890592484809E-2</v>
      </c>
      <c r="F663" s="84">
        <f t="shared" ca="1" si="136"/>
        <v>0.16123302493314873</v>
      </c>
      <c r="G663" s="84">
        <f t="shared" ca="1" si="136"/>
        <v>0.13024655628726634</v>
      </c>
      <c r="H663" s="84">
        <f t="shared" ca="1" si="136"/>
        <v>0.6553510151724441</v>
      </c>
      <c r="J663" s="85">
        <f t="shared" ca="1" si="124"/>
        <v>277731449.36117047</v>
      </c>
      <c r="K663" s="86">
        <f ca="1">IF(J663&gt;0,MIN(99,$B$12*Q663/(J663*12*(1-Inputs!$H$16))),99)</f>
        <v>1.9168024900709242</v>
      </c>
      <c r="L663" s="84">
        <f t="shared" ca="1" si="125"/>
        <v>1.1751752591344375</v>
      </c>
      <c r="M663" s="84">
        <f t="shared" ca="1" si="126"/>
        <v>1.0768411216928933</v>
      </c>
      <c r="N663" s="84">
        <f t="shared" ca="1" si="127"/>
        <v>0.96521894602568836</v>
      </c>
      <c r="O663" s="84">
        <f t="shared" ca="1" si="128"/>
        <v>0.99613868668151562</v>
      </c>
      <c r="P663" s="84">
        <f t="shared" ca="1" si="129"/>
        <v>0.97373735179405008</v>
      </c>
      <c r="Q663" s="84">
        <f t="shared" ca="1" si="130"/>
        <v>1.1679718262384502</v>
      </c>
    </row>
    <row r="664" spans="1:17" ht="15" customHeight="1" x14ac:dyDescent="0.2">
      <c r="A664" s="15">
        <v>625</v>
      </c>
      <c r="B664" s="84">
        <f t="shared" ca="1" si="135"/>
        <v>0.37701602386732824</v>
      </c>
      <c r="C664" s="84">
        <f t="shared" ca="1" si="135"/>
        <v>0.92567961685579692</v>
      </c>
      <c r="D664" s="84">
        <f t="shared" ca="1" si="135"/>
        <v>0.60723366281902291</v>
      </c>
      <c r="F664" s="84">
        <f t="shared" ca="1" si="136"/>
        <v>0.28897557524597028</v>
      </c>
      <c r="G664" s="84">
        <f t="shared" ca="1" si="136"/>
        <v>0.60108356061498347</v>
      </c>
      <c r="H664" s="84">
        <f t="shared" ca="1" si="136"/>
        <v>0.2282819236195186</v>
      </c>
      <c r="J664" s="85">
        <f t="shared" ca="1" si="124"/>
        <v>106471551.67042182</v>
      </c>
      <c r="K664" s="86">
        <f ca="1">IF(J664&gt;0,MIN(99,$B$12*Q664/(J664*12*(1-Inputs!$H$16))),99)</f>
        <v>4.2696167705007149</v>
      </c>
      <c r="L664" s="84">
        <f t="shared" ca="1" si="125"/>
        <v>0.98094732988090527</v>
      </c>
      <c r="M664" s="84">
        <f t="shared" ca="1" si="126"/>
        <v>0.99083962631047884</v>
      </c>
      <c r="N664" s="84">
        <f t="shared" ca="1" si="127"/>
        <v>1.0170606057844631</v>
      </c>
      <c r="O664" s="84">
        <f t="shared" ca="1" si="128"/>
        <v>1.0055925062948361</v>
      </c>
      <c r="P664" s="84">
        <f t="shared" ca="1" si="129"/>
        <v>1.2621675394614897</v>
      </c>
      <c r="Q664" s="84">
        <f t="shared" ca="1" si="130"/>
        <v>0.99736108839966142</v>
      </c>
    </row>
    <row r="665" spans="1:17" ht="15" customHeight="1" x14ac:dyDescent="0.2">
      <c r="A665" s="15">
        <v>626</v>
      </c>
      <c r="B665" s="84">
        <f t="shared" ca="1" si="135"/>
        <v>0.7537933869715765</v>
      </c>
      <c r="C665" s="84">
        <f t="shared" ca="1" si="135"/>
        <v>0.9329992702677633</v>
      </c>
      <c r="D665" s="84">
        <f t="shared" ca="1" si="135"/>
        <v>6.5755297808353097E-2</v>
      </c>
      <c r="F665" s="84">
        <f t="shared" ca="1" si="136"/>
        <v>0.73989922017993337</v>
      </c>
      <c r="G665" s="84">
        <f t="shared" ca="1" si="136"/>
        <v>0.89011327566962495</v>
      </c>
      <c r="H665" s="84">
        <f t="shared" ca="1" si="136"/>
        <v>0.12666631548302265</v>
      </c>
      <c r="J665" s="85">
        <f t="shared" ca="1" si="124"/>
        <v>181185729.35801035</v>
      </c>
      <c r="K665" s="86">
        <f ca="1">IF(J665&gt;0,MIN(99,$B$12*Q665/(J665*12*(1-Inputs!$H$16))),99)</f>
        <v>2.4092034961687512</v>
      </c>
      <c r="L665" s="84">
        <f t="shared" ca="1" si="125"/>
        <v>1.0910070401036815</v>
      </c>
      <c r="M665" s="84">
        <f t="shared" ca="1" si="126"/>
        <v>1.0396164622939947</v>
      </c>
      <c r="N665" s="84">
        <f t="shared" ca="1" si="127"/>
        <v>0.96359388198110474</v>
      </c>
      <c r="O665" s="84">
        <f t="shared" ca="1" si="128"/>
        <v>1.0475767527324134</v>
      </c>
      <c r="P665" s="84">
        <f t="shared" ca="1" si="129"/>
        <v>1.5475445484764161</v>
      </c>
      <c r="Q665" s="84">
        <f t="shared" ca="1" si="130"/>
        <v>0.95769542932855112</v>
      </c>
    </row>
    <row r="666" spans="1:17" ht="15" customHeight="1" x14ac:dyDescent="0.2">
      <c r="A666" s="15">
        <v>627</v>
      </c>
      <c r="B666" s="84">
        <f t="shared" ca="1" si="135"/>
        <v>0.86723287691972573</v>
      </c>
      <c r="C666" s="84">
        <f t="shared" ca="1" si="135"/>
        <v>0.4815628533828189</v>
      </c>
      <c r="D666" s="84">
        <f t="shared" ca="1" si="135"/>
        <v>0.40856096094876326</v>
      </c>
      <c r="F666" s="84">
        <f t="shared" ca="1" si="136"/>
        <v>1.1877445312527879E-2</v>
      </c>
      <c r="G666" s="84">
        <f t="shared" ca="1" si="136"/>
        <v>0.91524467039197255</v>
      </c>
      <c r="H666" s="84">
        <f t="shared" ca="1" si="136"/>
        <v>0.54433994432403698</v>
      </c>
      <c r="J666" s="85">
        <f t="shared" ca="1" si="124"/>
        <v>220728102.26054722</v>
      </c>
      <c r="K666" s="86">
        <f ca="1">IF(J666&gt;0,MIN(99,$B$12*Q666/(J666*12*(1-Inputs!$H$16))),99)</f>
        <v>2.3054980479270433</v>
      </c>
      <c r="L666" s="84">
        <f t="shared" ca="1" si="125"/>
        <v>1.1398871604045799</v>
      </c>
      <c r="M666" s="84">
        <f t="shared" ca="1" si="126"/>
        <v>1.0612344298657364</v>
      </c>
      <c r="N666" s="84">
        <f t="shared" ca="1" si="127"/>
        <v>1.0004065184225981</v>
      </c>
      <c r="O666" s="84">
        <f t="shared" ca="1" si="128"/>
        <v>0.97701115410794714</v>
      </c>
      <c r="P666" s="84">
        <f t="shared" ca="1" si="129"/>
        <v>1.5859274084121919</v>
      </c>
      <c r="Q666" s="84">
        <f t="shared" ca="1" si="130"/>
        <v>1.1164835525551153</v>
      </c>
    </row>
    <row r="667" spans="1:17" ht="15" customHeight="1" x14ac:dyDescent="0.2">
      <c r="A667" s="15">
        <v>628</v>
      </c>
      <c r="B667" s="84">
        <f t="shared" ca="1" si="135"/>
        <v>0.43941141338049516</v>
      </c>
      <c r="C667" s="84">
        <f t="shared" ca="1" si="135"/>
        <v>0.54030313293052179</v>
      </c>
      <c r="D667" s="84">
        <f t="shared" ca="1" si="135"/>
        <v>0.77971312112685476</v>
      </c>
      <c r="F667" s="84">
        <f t="shared" ca="1" si="136"/>
        <v>0.92362167954463592</v>
      </c>
      <c r="G667" s="84">
        <f t="shared" ca="1" si="136"/>
        <v>0.36580024583457493</v>
      </c>
      <c r="H667" s="84">
        <f t="shared" ca="1" si="136"/>
        <v>0.94715756584311195</v>
      </c>
      <c r="J667" s="85">
        <f t="shared" ca="1" si="124"/>
        <v>108031434.9726034</v>
      </c>
      <c r="K667" s="86">
        <f ca="1">IF(J667&gt;0,MIN(99,$B$12*Q667/(J667*12*(1-Inputs!$H$16))),99)</f>
        <v>5.8099705747646029</v>
      </c>
      <c r="L667" s="84">
        <f t="shared" ca="1" si="125"/>
        <v>0.99733709543237647</v>
      </c>
      <c r="M667" s="84">
        <f t="shared" ca="1" si="126"/>
        <v>0.99817222396900507</v>
      </c>
      <c r="N667" s="84">
        <f t="shared" ca="1" si="127"/>
        <v>1.0354724665050044</v>
      </c>
      <c r="O667" s="84">
        <f t="shared" ca="1" si="128"/>
        <v>1.0770134987705648</v>
      </c>
      <c r="P667" s="84">
        <f t="shared" ca="1" si="129"/>
        <v>1.1054863184574981</v>
      </c>
      <c r="Q667" s="84">
        <f t="shared" ca="1" si="130"/>
        <v>1.3770636646879248</v>
      </c>
    </row>
    <row r="668" spans="1:17" ht="15" customHeight="1" x14ac:dyDescent="0.2">
      <c r="A668" s="15">
        <v>629</v>
      </c>
      <c r="B668" s="84">
        <f t="shared" ca="1" si="135"/>
        <v>0.13058794279671937</v>
      </c>
      <c r="C668" s="84">
        <f t="shared" ca="1" si="135"/>
        <v>0.25045476019257518</v>
      </c>
      <c r="D668" s="84">
        <f t="shared" ca="1" si="135"/>
        <v>0.30161029365704239</v>
      </c>
      <c r="F668" s="84">
        <f t="shared" ca="1" si="136"/>
        <v>0.80250162708913864</v>
      </c>
      <c r="G668" s="84">
        <f t="shared" ca="1" si="136"/>
        <v>0.37072594187567098</v>
      </c>
      <c r="H668" s="84">
        <f t="shared" ca="1" si="136"/>
        <v>0.44670783030766603</v>
      </c>
      <c r="J668" s="85">
        <f t="shared" ca="1" si="124"/>
        <v>51702660.78369014</v>
      </c>
      <c r="K668" s="86">
        <f ca="1">IF(J668&gt;0,MIN(99,$B$12*Q668/(J668*12*(1-Inputs!$H$16))),99)</f>
        <v>9.4874981679583961</v>
      </c>
      <c r="L668" s="84">
        <f t="shared" ca="1" si="125"/>
        <v>0.89620702770314487</v>
      </c>
      <c r="M668" s="84">
        <f t="shared" ca="1" si="126"/>
        <v>0.95292776360688636</v>
      </c>
      <c r="N668" s="84">
        <f t="shared" ca="1" si="127"/>
        <v>0.99174915124809471</v>
      </c>
      <c r="O668" s="84">
        <f t="shared" ca="1" si="128"/>
        <v>1.0558411182526266</v>
      </c>
      <c r="P668" s="84">
        <f t="shared" ca="1" si="129"/>
        <v>1.1084328674602817</v>
      </c>
      <c r="Q668" s="84">
        <f t="shared" ca="1" si="130"/>
        <v>1.0762038474128115</v>
      </c>
    </row>
    <row r="669" spans="1:17" ht="15" customHeight="1" x14ac:dyDescent="0.2">
      <c r="A669" s="15">
        <v>630</v>
      </c>
      <c r="B669" s="84">
        <f t="shared" ca="1" si="135"/>
        <v>0.72955559138588011</v>
      </c>
      <c r="C669" s="84">
        <f t="shared" ca="1" si="135"/>
        <v>0.69360000357626661</v>
      </c>
      <c r="D669" s="84">
        <f t="shared" ca="1" si="135"/>
        <v>0.76440746754147126</v>
      </c>
      <c r="F669" s="84">
        <f t="shared" ca="1" si="136"/>
        <v>0.11164068783402625</v>
      </c>
      <c r="G669" s="84">
        <f t="shared" ca="1" si="136"/>
        <v>0.47659124204881997</v>
      </c>
      <c r="H669" s="84">
        <f t="shared" ca="1" si="136"/>
        <v>0.69492525635852953</v>
      </c>
      <c r="J669" s="85">
        <f t="shared" ca="1" si="124"/>
        <v>181510101.7952953</v>
      </c>
      <c r="K669" s="86">
        <f ca="1">IF(J669&gt;0,MIN(99,$B$12*Q669/(J669*12*(1-Inputs!$H$16))),99)</f>
        <v>2.9839844696996329</v>
      </c>
      <c r="L669" s="84">
        <f t="shared" ca="1" si="125"/>
        <v>1.0821630061828347</v>
      </c>
      <c r="M669" s="84">
        <f t="shared" ca="1" si="126"/>
        <v>1.0357050554208667</v>
      </c>
      <c r="N669" s="84">
        <f t="shared" ca="1" si="127"/>
        <v>1.0335967510539501</v>
      </c>
      <c r="O669" s="84">
        <f t="shared" ca="1" si="128"/>
        <v>0.99173124667502066</v>
      </c>
      <c r="P669" s="84">
        <f t="shared" ca="1" si="129"/>
        <v>1.1748051033296436</v>
      </c>
      <c r="Q669" s="84">
        <f t="shared" ca="1" si="130"/>
        <v>1.1883032919977492</v>
      </c>
    </row>
    <row r="670" spans="1:17" ht="15" customHeight="1" x14ac:dyDescent="0.2">
      <c r="A670" s="15">
        <v>631</v>
      </c>
      <c r="B670" s="84">
        <f t="shared" ca="1" si="135"/>
        <v>0.32422415201360266</v>
      </c>
      <c r="C670" s="84">
        <f t="shared" ca="1" si="135"/>
        <v>3.6593456109615063E-2</v>
      </c>
      <c r="D670" s="84">
        <f t="shared" ca="1" si="135"/>
        <v>0.2727073138711561</v>
      </c>
      <c r="F670" s="84">
        <f t="shared" ca="1" si="136"/>
        <v>0.28838607146656281</v>
      </c>
      <c r="G670" s="84">
        <f t="shared" ca="1" si="136"/>
        <v>4.2938073981874658E-2</v>
      </c>
      <c r="H670" s="84">
        <f t="shared" ca="1" si="136"/>
        <v>0.36074299705490198</v>
      </c>
      <c r="J670" s="85">
        <f t="shared" ca="1" si="124"/>
        <v>115356974.64230533</v>
      </c>
      <c r="K670" s="86">
        <f ca="1">IF(J670&gt;0,MIN(99,$B$12*Q670/(J670*12*(1-Inputs!$H$16))),99)</f>
        <v>4.1234410981849381</v>
      </c>
      <c r="L670" s="84">
        <f t="shared" ca="1" si="125"/>
        <v>0.96598486092235247</v>
      </c>
      <c r="M670" s="84">
        <f t="shared" ca="1" si="126"/>
        <v>0.98414558517201933</v>
      </c>
      <c r="N670" s="84">
        <f t="shared" ca="1" si="127"/>
        <v>0.98915477335690927</v>
      </c>
      <c r="O670" s="84">
        <f t="shared" ca="1" si="128"/>
        <v>1.0055484734034663</v>
      </c>
      <c r="P670" s="84">
        <f t="shared" ca="1" si="129"/>
        <v>0.90600892871688887</v>
      </c>
      <c r="Q670" s="84">
        <f t="shared" ca="1" si="130"/>
        <v>1.0435988559395506</v>
      </c>
    </row>
    <row r="671" spans="1:17" ht="15" customHeight="1" x14ac:dyDescent="0.2">
      <c r="A671" s="15">
        <v>632</v>
      </c>
      <c r="B671" s="84">
        <f t="shared" ca="1" si="135"/>
        <v>0.67426447428328684</v>
      </c>
      <c r="C671" s="84">
        <f t="shared" ca="1" si="135"/>
        <v>0.70899128919246257</v>
      </c>
      <c r="D671" s="84">
        <f t="shared" ca="1" si="135"/>
        <v>0.96365565704296108</v>
      </c>
      <c r="F671" s="84">
        <f t="shared" ca="1" si="136"/>
        <v>0.11416618931498324</v>
      </c>
      <c r="G671" s="84">
        <f t="shared" ca="1" si="136"/>
        <v>1.3564544644603549E-2</v>
      </c>
      <c r="H671" s="84">
        <f t="shared" ca="1" si="136"/>
        <v>0.62103807098218633</v>
      </c>
      <c r="J671" s="85">
        <f t="shared" ca="1" si="124"/>
        <v>171274058.6627602</v>
      </c>
      <c r="K671" s="86">
        <f ca="1">IF(J671&gt;0,MIN(99,$B$12*Q671/(J671*12*(1-Inputs!$H$16))),99)</f>
        <v>3.0637682575252487</v>
      </c>
      <c r="L671" s="84">
        <f t="shared" ca="1" si="125"/>
        <v>1.0633667446121757</v>
      </c>
      <c r="M671" s="84">
        <f t="shared" ca="1" si="126"/>
        <v>1.0273921263486154</v>
      </c>
      <c r="N671" s="84">
        <f t="shared" ca="1" si="127"/>
        <v>1.0680815938536696</v>
      </c>
      <c r="O671" s="84">
        <f t="shared" ca="1" si="128"/>
        <v>0.9919769566640777</v>
      </c>
      <c r="P671" s="84">
        <f t="shared" ca="1" si="129"/>
        <v>0.86601573811025301</v>
      </c>
      <c r="Q671" s="84">
        <f t="shared" ca="1" si="130"/>
        <v>1.151270676288173</v>
      </c>
    </row>
    <row r="672" spans="1:17" ht="15" customHeight="1" x14ac:dyDescent="0.2">
      <c r="A672" s="15">
        <v>633</v>
      </c>
      <c r="B672" s="84">
        <f t="shared" ca="1" si="135"/>
        <v>0.57677884960901515</v>
      </c>
      <c r="C672" s="84">
        <f t="shared" ca="1" si="135"/>
        <v>0.91085264433424495</v>
      </c>
      <c r="D672" s="84">
        <f t="shared" ca="1" si="135"/>
        <v>6.050448323387958E-2</v>
      </c>
      <c r="F672" s="84">
        <f t="shared" ca="1" si="136"/>
        <v>0.82533886124212286</v>
      </c>
      <c r="G672" s="84">
        <f t="shared" ca="1" si="136"/>
        <v>6.6494389763712358E-2</v>
      </c>
      <c r="H672" s="84">
        <f t="shared" ca="1" si="136"/>
        <v>0.88844950293273939</v>
      </c>
      <c r="J672" s="85">
        <f t="shared" ca="1" si="124"/>
        <v>159801315.45318168</v>
      </c>
      <c r="K672" s="86">
        <f ca="1">IF(J672&gt;0,MIN(99,$B$12*Q672/(J672*12*(1-Inputs!$H$16))),99)</f>
        <v>3.7539109457461701</v>
      </c>
      <c r="L672" s="84">
        <f t="shared" ca="1" si="125"/>
        <v>1.0337679370838933</v>
      </c>
      <c r="M672" s="84">
        <f t="shared" ca="1" si="126"/>
        <v>1.0143016090305377</v>
      </c>
      <c r="N672" s="84">
        <f t="shared" ca="1" si="127"/>
        <v>0.9625887636914181</v>
      </c>
      <c r="O672" s="84">
        <f t="shared" ca="1" si="128"/>
        <v>1.0591778516595647</v>
      </c>
      <c r="P672" s="84">
        <f t="shared" ca="1" si="129"/>
        <v>0.92833066813044962</v>
      </c>
      <c r="Q672" s="84">
        <f t="shared" ca="1" si="130"/>
        <v>1.3161162672497504</v>
      </c>
    </row>
    <row r="673" spans="1:17" ht="15" customHeight="1" x14ac:dyDescent="0.2">
      <c r="A673" s="15">
        <v>634</v>
      </c>
      <c r="B673" s="84">
        <f t="shared" ca="1" si="135"/>
        <v>6.621214240474671E-2</v>
      </c>
      <c r="C673" s="84">
        <f t="shared" ca="1" si="135"/>
        <v>0.16316713495496238</v>
      </c>
      <c r="D673" s="84">
        <f t="shared" ca="1" si="135"/>
        <v>7.7754306922369731E-2</v>
      </c>
      <c r="F673" s="84">
        <f t="shared" ca="1" si="136"/>
        <v>0.8832232129486135</v>
      </c>
      <c r="G673" s="84">
        <f t="shared" ca="1" si="136"/>
        <v>0.7236480331184677</v>
      </c>
      <c r="H673" s="84">
        <f t="shared" ca="1" si="136"/>
        <v>0.41102946483944447</v>
      </c>
      <c r="J673" s="85">
        <f t="shared" ca="1" si="124"/>
        <v>22253902.936208546</v>
      </c>
      <c r="K673" s="86">
        <f ca="1">IF(J673&gt;0,MIN(99,$B$12*Q673/(J673*12*(1-Inputs!$H$16))),99)</f>
        <v>21.759329793865472</v>
      </c>
      <c r="L673" s="84">
        <f t="shared" ca="1" si="125"/>
        <v>0.86130681329150094</v>
      </c>
      <c r="M673" s="84">
        <f t="shared" ca="1" si="126"/>
        <v>0.93731379831414241</v>
      </c>
      <c r="N673" s="84">
        <f t="shared" ca="1" si="127"/>
        <v>0.96574971176108693</v>
      </c>
      <c r="O673" s="84">
        <f t="shared" ca="1" si="128"/>
        <v>1.0687784858407696</v>
      </c>
      <c r="P673" s="84">
        <f t="shared" ca="1" si="129"/>
        <v>1.3628759343357788</v>
      </c>
      <c r="Q673" s="84">
        <f t="shared" ca="1" si="130"/>
        <v>1.0623843035487881</v>
      </c>
    </row>
    <row r="674" spans="1:17" ht="15" customHeight="1" x14ac:dyDescent="0.2">
      <c r="A674" s="15">
        <v>635</v>
      </c>
      <c r="B674" s="84">
        <f t="shared" ca="1" si="135"/>
        <v>0.90373488608858221</v>
      </c>
      <c r="C674" s="84">
        <f t="shared" ca="1" si="135"/>
        <v>0.26068411834645011</v>
      </c>
      <c r="D674" s="84">
        <f t="shared" ca="1" si="135"/>
        <v>0.17921485942110316</v>
      </c>
      <c r="F674" s="84">
        <f t="shared" ca="1" si="136"/>
        <v>0.94110093263427241</v>
      </c>
      <c r="G674" s="84">
        <f t="shared" ca="1" si="136"/>
        <v>0.6850541636002232</v>
      </c>
      <c r="H674" s="84">
        <f t="shared" ca="1" si="136"/>
        <v>0.53932039685206556</v>
      </c>
      <c r="J674" s="85">
        <f t="shared" ca="1" si="124"/>
        <v>234142787.35414821</v>
      </c>
      <c r="K674" s="86">
        <f ca="1">IF(J674&gt;0,MIN(99,$B$12*Q674/(J674*12*(1-Inputs!$H$16))),99)</f>
        <v>2.1691845279857955</v>
      </c>
      <c r="L674" s="84">
        <f t="shared" ca="1" si="125"/>
        <v>1.1599502144164537</v>
      </c>
      <c r="M674" s="84">
        <f t="shared" ca="1" si="126"/>
        <v>1.0701076169272423</v>
      </c>
      <c r="N674" s="84">
        <f t="shared" ca="1" si="127"/>
        <v>0.97964576178730511</v>
      </c>
      <c r="O674" s="84">
        <f t="shared" ca="1" si="128"/>
        <v>1.0812563732911369</v>
      </c>
      <c r="P674" s="84">
        <f t="shared" ca="1" si="129"/>
        <v>1.3291102786041824</v>
      </c>
      <c r="Q674" s="84">
        <f t="shared" ca="1" si="130"/>
        <v>1.1143130678568185</v>
      </c>
    </row>
    <row r="675" spans="1:17" ht="15" customHeight="1" x14ac:dyDescent="0.2">
      <c r="A675" s="15">
        <v>636</v>
      </c>
      <c r="B675" s="84">
        <f t="shared" ca="1" si="135"/>
        <v>0.36607825091400115</v>
      </c>
      <c r="C675" s="84">
        <f t="shared" ca="1" si="135"/>
        <v>0.1376704440435933</v>
      </c>
      <c r="D675" s="84">
        <f t="shared" ca="1" si="135"/>
        <v>0.66073019144973166</v>
      </c>
      <c r="F675" s="84">
        <f t="shared" ca="1" si="136"/>
        <v>0.54903440749931165</v>
      </c>
      <c r="G675" s="84">
        <f t="shared" ca="1" si="136"/>
        <v>0.38523815851386323</v>
      </c>
      <c r="H675" s="84">
        <f t="shared" ca="1" si="136"/>
        <v>0.13609822801143789</v>
      </c>
      <c r="J675" s="85">
        <f t="shared" ca="1" si="124"/>
        <v>105151218.03531767</v>
      </c>
      <c r="K675" s="86">
        <f ca="1">IF(J675&gt;0,MIN(99,$B$12*Q675/(J675*12*(1-Inputs!$H$16))),99)</f>
        <v>4.1696472313285211</v>
      </c>
      <c r="L675" s="84">
        <f t="shared" ca="1" si="125"/>
        <v>0.97793792949526492</v>
      </c>
      <c r="M675" s="84">
        <f t="shared" ca="1" si="126"/>
        <v>0.98949325426189683</v>
      </c>
      <c r="N675" s="84">
        <f t="shared" ca="1" si="127"/>
        <v>1.0222370160525243</v>
      </c>
      <c r="O675" s="84">
        <f t="shared" ca="1" si="128"/>
        <v>1.0272236736879667</v>
      </c>
      <c r="P675" s="84">
        <f t="shared" ca="1" si="129"/>
        <v>1.1171817591701609</v>
      </c>
      <c r="Q675" s="84">
        <f t="shared" ca="1" si="130"/>
        <v>0.96193020657740147</v>
      </c>
    </row>
    <row r="676" spans="1:17" ht="15" customHeight="1" x14ac:dyDescent="0.2">
      <c r="A676" s="15">
        <v>637</v>
      </c>
      <c r="B676" s="84">
        <f t="shared" ca="1" si="135"/>
        <v>0.80191864593214268</v>
      </c>
      <c r="C676" s="84">
        <f t="shared" ca="1" si="135"/>
        <v>0.67636085521258238</v>
      </c>
      <c r="D676" s="84">
        <f t="shared" ca="1" si="135"/>
        <v>0.99397861947779598</v>
      </c>
      <c r="F676" s="84">
        <f t="shared" ca="1" si="136"/>
        <v>0.61870954199687034</v>
      </c>
      <c r="G676" s="84">
        <f t="shared" ca="1" si="136"/>
        <v>0.45785795146907027</v>
      </c>
      <c r="H676" s="84">
        <f t="shared" ca="1" si="136"/>
        <v>0.98571869609900697</v>
      </c>
      <c r="J676" s="85">
        <f t="shared" ca="1" si="124"/>
        <v>184543309.06986183</v>
      </c>
      <c r="K676" s="86">
        <f ca="1">IF(J676&gt;0,MIN(99,$B$12*Q676/(J676*12*(1-Inputs!$H$16))),99)</f>
        <v>3.5607224603709775</v>
      </c>
      <c r="L676" s="84">
        <f t="shared" ca="1" si="125"/>
        <v>1.1099661059529577</v>
      </c>
      <c r="M676" s="84">
        <f t="shared" ca="1" si="126"/>
        <v>1.0480013940044151</v>
      </c>
      <c r="N676" s="84">
        <f t="shared" ca="1" si="127"/>
        <v>1.0813080281015459</v>
      </c>
      <c r="O676" s="84">
        <f t="shared" ca="1" si="128"/>
        <v>1.0340340118954889</v>
      </c>
      <c r="P676" s="84">
        <f t="shared" ca="1" si="129"/>
        <v>1.1626019483523857</v>
      </c>
      <c r="Q676" s="84">
        <f t="shared" ca="1" si="130"/>
        <v>1.4416716861603613</v>
      </c>
    </row>
    <row r="677" spans="1:17" ht="15" customHeight="1" x14ac:dyDescent="0.2">
      <c r="A677" s="15">
        <v>638</v>
      </c>
      <c r="B677" s="84">
        <f t="shared" ca="1" si="135"/>
        <v>0.72446217631099374</v>
      </c>
      <c r="C677" s="84">
        <f t="shared" ca="1" si="135"/>
        <v>0.76222855039013415</v>
      </c>
      <c r="D677" s="84">
        <f t="shared" ca="1" si="135"/>
        <v>0.64153864620454948</v>
      </c>
      <c r="F677" s="84">
        <f t="shared" ca="1" si="136"/>
        <v>0.61818935350182191</v>
      </c>
      <c r="G677" s="84">
        <f t="shared" ca="1" si="136"/>
        <v>0.60487589492433369</v>
      </c>
      <c r="H677" s="84">
        <f t="shared" ca="1" si="136"/>
        <v>0.65850676869110969</v>
      </c>
      <c r="J677" s="85">
        <f t="shared" ca="1" si="124"/>
        <v>172781192.27496547</v>
      </c>
      <c r="K677" s="86">
        <f ca="1">IF(J677&gt;0,MIN(99,$B$12*Q677/(J677*12*(1-Inputs!$H$16))),99)</f>
        <v>3.0852611336984075</v>
      </c>
      <c r="L677" s="84">
        <f t="shared" ca="1" si="125"/>
        <v>1.0803555786639689</v>
      </c>
      <c r="M677" s="84">
        <f t="shared" ca="1" si="126"/>
        <v>1.0349056934460887</v>
      </c>
      <c r="N677" s="84">
        <f t="shared" ca="1" si="127"/>
        <v>1.020335999867698</v>
      </c>
      <c r="O677" s="84">
        <f t="shared" ca="1" si="128"/>
        <v>1.0339809591841573</v>
      </c>
      <c r="P677" s="84">
        <f t="shared" ca="1" si="129"/>
        <v>1.2650291786266779</v>
      </c>
      <c r="Q677" s="84">
        <f t="shared" ca="1" si="130"/>
        <v>1.1695487689933173</v>
      </c>
    </row>
    <row r="678" spans="1:17" ht="15" customHeight="1" x14ac:dyDescent="0.2">
      <c r="A678" s="15">
        <v>639</v>
      </c>
      <c r="B678" s="84">
        <f t="shared" ca="1" si="135"/>
        <v>0.94360530391310837</v>
      </c>
      <c r="C678" s="84">
        <f t="shared" ca="1" si="135"/>
        <v>0.65902747195609035</v>
      </c>
      <c r="D678" s="84">
        <f t="shared" ca="1" si="135"/>
        <v>0.70787497065233329</v>
      </c>
      <c r="F678" s="84">
        <f t="shared" ca="1" si="136"/>
        <v>0.12421724504283815</v>
      </c>
      <c r="G678" s="84">
        <f t="shared" ca="1" si="136"/>
        <v>0.51651387462169507</v>
      </c>
      <c r="H678" s="84">
        <f t="shared" ca="1" si="136"/>
        <v>0.38830233746605536</v>
      </c>
      <c r="J678" s="85">
        <f t="shared" ca="1" si="124"/>
        <v>263482961.32174999</v>
      </c>
      <c r="K678" s="86">
        <f ca="1">IF(J678&gt;0,MIN(99,$B$12*Q678/(J678*12*(1-Inputs!$H$16))),99)</f>
        <v>1.8229517655419951</v>
      </c>
      <c r="L678" s="84">
        <f t="shared" ca="1" si="125"/>
        <v>1.1869416630184988</v>
      </c>
      <c r="M678" s="84">
        <f t="shared" ca="1" si="126"/>
        <v>1.0820449905875651</v>
      </c>
      <c r="N678" s="84">
        <f t="shared" ca="1" si="127"/>
        <v>1.0271490938638563</v>
      </c>
      <c r="O678" s="84">
        <f t="shared" ca="1" si="128"/>
        <v>0.99292889144291763</v>
      </c>
      <c r="P678" s="84">
        <f t="shared" ca="1" si="129"/>
        <v>1.2015623150023425</v>
      </c>
      <c r="Q678" s="84">
        <f t="shared" ca="1" si="130"/>
        <v>1.0537986912978694</v>
      </c>
    </row>
    <row r="679" spans="1:17" ht="15" customHeight="1" x14ac:dyDescent="0.2">
      <c r="A679" s="15">
        <v>640</v>
      </c>
      <c r="B679" s="84">
        <f t="shared" ca="1" si="135"/>
        <v>0.86541597876871634</v>
      </c>
      <c r="C679" s="84">
        <f t="shared" ca="1" si="135"/>
        <v>0.18332952157939209</v>
      </c>
      <c r="D679" s="84">
        <f t="shared" ca="1" si="135"/>
        <v>4.2216339429121508E-2</v>
      </c>
      <c r="F679" s="84">
        <f t="shared" ca="1" si="136"/>
        <v>0.19547000240812062</v>
      </c>
      <c r="G679" s="84">
        <f t="shared" ca="1" si="136"/>
        <v>0.36343829708768272</v>
      </c>
      <c r="H679" s="84">
        <f t="shared" ca="1" si="136"/>
        <v>0.67840153994391361</v>
      </c>
      <c r="J679" s="85">
        <f t="shared" ca="1" si="124"/>
        <v>244791953.17980075</v>
      </c>
      <c r="K679" s="86">
        <f ca="1">IF(J679&gt;0,MIN(99,$B$12*Q679/(J679*12*(1-Inputs!$H$16))),99)</f>
        <v>2.1964977724164232</v>
      </c>
      <c r="L679" s="84">
        <f t="shared" ca="1" si="125"/>
        <v>1.1389658023903493</v>
      </c>
      <c r="M679" s="84">
        <f t="shared" ca="1" si="126"/>
        <v>1.060826945441578</v>
      </c>
      <c r="N679" s="84">
        <f t="shared" ca="1" si="127"/>
        <v>0.95869283490837609</v>
      </c>
      <c r="O679" s="84">
        <f t="shared" ca="1" si="128"/>
        <v>0.99879195303334756</v>
      </c>
      <c r="P679" s="84">
        <f t="shared" ca="1" si="129"/>
        <v>1.1040774611892554</v>
      </c>
      <c r="Q679" s="84">
        <f t="shared" ca="1" si="130"/>
        <v>1.1796626960392698</v>
      </c>
    </row>
    <row r="680" spans="1:17" ht="15" customHeight="1" x14ac:dyDescent="0.2">
      <c r="A680" s="15">
        <v>641</v>
      </c>
      <c r="B680" s="84">
        <f t="shared" ref="B680:D699" ca="1" si="137">RAND()</f>
        <v>0.385522758173656</v>
      </c>
      <c r="C680" s="84">
        <f t="shared" ca="1" si="137"/>
        <v>0.65102423244245333</v>
      </c>
      <c r="D680" s="84">
        <f t="shared" ca="1" si="137"/>
        <v>0.9293898813886261</v>
      </c>
      <c r="F680" s="84">
        <f t="shared" ref="F680:H699" ca="1" si="138">RAND()</f>
        <v>3.7777754163210497E-2</v>
      </c>
      <c r="G680" s="84">
        <f t="shared" ca="1" si="138"/>
        <v>0.63173069918791358</v>
      </c>
      <c r="H680" s="84">
        <f t="shared" ca="1" si="138"/>
        <v>0.60120534605204046</v>
      </c>
      <c r="J680" s="85">
        <f t="shared" ref="J680:J743" ca="1" si="139">$B$5*L680*M680-$B$6*L680*N680-$B$7*L680*M680-$B$8*L680*M680-$B$9*O680-$B$10*P680-$B$11</f>
        <v>102098451.13911726</v>
      </c>
      <c r="K680" s="86">
        <f ca="1">IF(J680&gt;0,MIN(99,$B$12*Q680/(J680*12*(1-Inputs!$H$16))),99)</f>
        <v>5.098029447378015</v>
      </c>
      <c r="L680" s="84">
        <f t="shared" ref="L680:L743" ca="1" si="140">IF($D$16=$B$16,$C$16,IF(B680&lt;($C$16-$B$16)/($D$16-$B$16),$B$16+SQRT(B680*($D$16-$B$16)*($C$16-$B$16)),$D$16-SQRT((1-B680)*($D$16-$B$16)*($D$16-$C$16))))</f>
        <v>0.98325779768002997</v>
      </c>
      <c r="M680" s="84">
        <f t="shared" ref="M680:M743" ca="1" si="141">IF($D$17=$B$17,$C$17,IF(IF($B$33=1,B680,C680)&lt;($C$17-$B$17)/($D$17-$B$17),$B$17+SQRT(IF($B$33=1,B680,C680)*($D$17-$B$17)*($C$17-$B$17)),$D$17-SQRT((1-IF($B$33=1,B680,C680))*($D$17-$B$17)*($D$17-$C$17))))</f>
        <v>0.99187330374294469</v>
      </c>
      <c r="N680" s="84">
        <f t="shared" ref="N680:N743" ca="1" si="142">IF($D$18=$B$18,$C$18,IF(D680&lt;($C$18-$B$18)/($D$18-$B$18),$B$18+SQRT(D680*($D$18-$B$18)*($C$18-$B$18)),$D$18-SQRT((1-D680)*($D$18-$B$18)*($D$18-$C$18))))</f>
        <v>1.0592966368956602</v>
      </c>
      <c r="O680" s="84">
        <f t="shared" ref="O680:O743" ca="1" si="143">IF($D$19=$B$19,$C$19,IF(F680&lt;($C$19-$B$19)/($D$19-$B$19),$B$19+SQRT(F680*($D$19-$B$19)*($C$19-$B$19)),$D$19-SQRT((1-F680)*($D$19-$B$19)*($D$19-$C$19))))</f>
        <v>0.98259347484585335</v>
      </c>
      <c r="P680" s="84">
        <f t="shared" ref="P680:P743" ca="1" si="144">IF($D$20=$B$20,$C$20,IF(G680&lt;($C$20-$B$20)/($D$20-$B$20),$B$20+SQRT(G680*($D$20-$B$20)*($C$20-$B$20)),$D$20-SQRT((1-G680)*($D$20-$B$20)*($D$20-$C$20))))</f>
        <v>1.2856993157382974</v>
      </c>
      <c r="Q680" s="84">
        <f t="shared" ref="Q680:Q743" ca="1" si="145">IF($D$21=$B$21,$C$21,IF(H680&lt;($C$21-$B$21)/($D$21-$B$21),$B$21+SQRT(H680*($D$21-$B$21)*($C$21-$B$21)),$D$21-SQRT((1-H680)*($D$21-$B$21)*($D$21-$C$21))))</f>
        <v>1.1419614277741867</v>
      </c>
    </row>
    <row r="681" spans="1:17" ht="15" customHeight="1" x14ac:dyDescent="0.2">
      <c r="A681" s="15">
        <v>642</v>
      </c>
      <c r="B681" s="84">
        <f t="shared" ca="1" si="137"/>
        <v>0.62790873100155897</v>
      </c>
      <c r="C681" s="84">
        <f t="shared" ca="1" si="137"/>
        <v>0.79987866604818436</v>
      </c>
      <c r="D681" s="84">
        <f t="shared" ca="1" si="137"/>
        <v>0.61569429431333778</v>
      </c>
      <c r="F681" s="84">
        <f t="shared" ca="1" si="138"/>
        <v>2.8317584995796174E-2</v>
      </c>
      <c r="G681" s="84">
        <f t="shared" ca="1" si="138"/>
        <v>0.1733175393213976</v>
      </c>
      <c r="H681" s="84">
        <f t="shared" ca="1" si="138"/>
        <v>0.81979952621542429</v>
      </c>
      <c r="J681" s="85">
        <f t="shared" ca="1" si="139"/>
        <v>168896176.54854131</v>
      </c>
      <c r="K681" s="86">
        <f ca="1">IF(J681&gt;0,MIN(99,$B$12*Q681/(J681*12*(1-Inputs!$H$16))),99)</f>
        <v>3.4087878692862725</v>
      </c>
      <c r="L681" s="84">
        <f t="shared" ca="1" si="140"/>
        <v>1.0488085998821228</v>
      </c>
      <c r="M681" s="84">
        <f t="shared" ca="1" si="141"/>
        <v>1.020953568122047</v>
      </c>
      <c r="N681" s="84">
        <f t="shared" ca="1" si="142"/>
        <v>1.017854673282687</v>
      </c>
      <c r="O681" s="84">
        <f t="shared" ca="1" si="143"/>
        <v>0.98088789828032319</v>
      </c>
      <c r="P681" s="84">
        <f t="shared" ca="1" si="144"/>
        <v>0.99816008198331907</v>
      </c>
      <c r="Q681" s="84">
        <f t="shared" ca="1" si="145"/>
        <v>1.2631349016539029</v>
      </c>
    </row>
    <row r="682" spans="1:17" ht="15" customHeight="1" x14ac:dyDescent="0.2">
      <c r="A682" s="15">
        <v>643</v>
      </c>
      <c r="B682" s="84">
        <f t="shared" ca="1" si="137"/>
        <v>7.6452625565497923E-2</v>
      </c>
      <c r="C682" s="84">
        <f t="shared" ca="1" si="137"/>
        <v>0.11856077654674235</v>
      </c>
      <c r="D682" s="84">
        <f t="shared" ca="1" si="137"/>
        <v>0.28360519512811466</v>
      </c>
      <c r="F682" s="84">
        <f t="shared" ca="1" si="138"/>
        <v>0.60000229675162287</v>
      </c>
      <c r="G682" s="84">
        <f t="shared" ca="1" si="138"/>
        <v>0.88885733817415202</v>
      </c>
      <c r="H682" s="84">
        <f t="shared" ca="1" si="138"/>
        <v>0.23725661608517346</v>
      </c>
      <c r="J682" s="85">
        <f t="shared" ca="1" si="139"/>
        <v>21034987.993908957</v>
      </c>
      <c r="K682" s="86">
        <f ca="1">IF(J682&gt;0,MIN(99,$B$12*Q682/(J682*12*(1-Inputs!$H$16))),99)</f>
        <v>21.676869040672003</v>
      </c>
      <c r="L682" s="84">
        <f t="shared" ca="1" si="140"/>
        <v>0.86774114715765882</v>
      </c>
      <c r="M682" s="84">
        <f t="shared" ca="1" si="141"/>
        <v>0.94019244726692919</v>
      </c>
      <c r="N682" s="84">
        <f t="shared" ca="1" si="142"/>
        <v>0.99014842133540459</v>
      </c>
      <c r="O682" s="84">
        <f t="shared" ca="1" si="143"/>
        <v>1.0321483092710353</v>
      </c>
      <c r="P682" s="84">
        <f t="shared" ca="1" si="144"/>
        <v>1.545748272228832</v>
      </c>
      <c r="Q682" s="84">
        <f t="shared" ca="1" si="145"/>
        <v>1.0003886684042502</v>
      </c>
    </row>
    <row r="683" spans="1:17" ht="15" customHeight="1" x14ac:dyDescent="0.2">
      <c r="A683" s="15">
        <v>644</v>
      </c>
      <c r="B683" s="84">
        <f t="shared" ca="1" si="137"/>
        <v>0.87390938996203216</v>
      </c>
      <c r="C683" s="84">
        <f t="shared" ca="1" si="137"/>
        <v>0.91123615815153014</v>
      </c>
      <c r="D683" s="84">
        <f t="shared" ca="1" si="137"/>
        <v>0.67162321005632342</v>
      </c>
      <c r="F683" s="84">
        <f t="shared" ca="1" si="138"/>
        <v>0.66963708642185227</v>
      </c>
      <c r="G683" s="84">
        <f t="shared" ca="1" si="138"/>
        <v>0.1397879666231826</v>
      </c>
      <c r="H683" s="84">
        <f t="shared" ca="1" si="138"/>
        <v>0.87960141581264384</v>
      </c>
      <c r="J683" s="85">
        <f t="shared" ca="1" si="139"/>
        <v>230294807.63508952</v>
      </c>
      <c r="K683" s="86">
        <f ca="1">IF(J683&gt;0,MIN(99,$B$12*Q683/(J683*12*(1-Inputs!$H$16))),99)</f>
        <v>2.5897812288245334</v>
      </c>
      <c r="L683" s="84">
        <f t="shared" ca="1" si="140"/>
        <v>1.1433282153222621</v>
      </c>
      <c r="M683" s="84">
        <f t="shared" ca="1" si="141"/>
        <v>1.0627562881010497</v>
      </c>
      <c r="N683" s="84">
        <f t="shared" ca="1" si="142"/>
        <v>1.0233399975438608</v>
      </c>
      <c r="O683" s="84">
        <f t="shared" ca="1" si="143"/>
        <v>1.0394159027349346</v>
      </c>
      <c r="P683" s="84">
        <f t="shared" ca="1" si="144"/>
        <v>0.97946009378129206</v>
      </c>
      <c r="Q683" s="84">
        <f t="shared" ca="1" si="145"/>
        <v>1.3085103626013366</v>
      </c>
    </row>
    <row r="684" spans="1:17" ht="15" customHeight="1" x14ac:dyDescent="0.2">
      <c r="A684" s="15">
        <v>645</v>
      </c>
      <c r="B684" s="84">
        <f t="shared" ca="1" si="137"/>
        <v>9.7536794836626028E-2</v>
      </c>
      <c r="C684" s="84">
        <f t="shared" ca="1" si="137"/>
        <v>0.39913965817088404</v>
      </c>
      <c r="D684" s="84">
        <f t="shared" ca="1" si="137"/>
        <v>0.97551391030119983</v>
      </c>
      <c r="F684" s="84">
        <f t="shared" ca="1" si="138"/>
        <v>0.7469443480331055</v>
      </c>
      <c r="G684" s="84">
        <f t="shared" ca="1" si="138"/>
        <v>0.93066923631055232</v>
      </c>
      <c r="H684" s="84">
        <f t="shared" ca="1" si="138"/>
        <v>0.13868976882176953</v>
      </c>
      <c r="J684" s="85">
        <f t="shared" ca="1" si="139"/>
        <v>7997592.3915422708</v>
      </c>
      <c r="K684" s="86">
        <f ca="1">IF(J684&gt;0,MIN(99,$B$12*Q684/(J684*12*(1-Inputs!$H$16))),99)</f>
        <v>54.886770779545088</v>
      </c>
      <c r="L684" s="84">
        <f t="shared" ca="1" si="140"/>
        <v>0.87975156046150538</v>
      </c>
      <c r="M684" s="84">
        <f t="shared" ca="1" si="141"/>
        <v>0.94556577174757206</v>
      </c>
      <c r="N684" s="84">
        <f t="shared" ca="1" si="142"/>
        <v>1.0720785752416224</v>
      </c>
      <c r="O684" s="84">
        <f t="shared" ca="1" si="143"/>
        <v>1.0484529705513306</v>
      </c>
      <c r="P684" s="84">
        <f t="shared" ca="1" si="144"/>
        <v>1.6123822785695467</v>
      </c>
      <c r="Q684" s="84">
        <f t="shared" ca="1" si="145"/>
        <v>0.96306785537090578</v>
      </c>
    </row>
    <row r="685" spans="1:17" ht="15" customHeight="1" x14ac:dyDescent="0.2">
      <c r="A685" s="15">
        <v>646</v>
      </c>
      <c r="B685" s="84">
        <f t="shared" ca="1" si="137"/>
        <v>0.74619150221747543</v>
      </c>
      <c r="C685" s="84">
        <f t="shared" ca="1" si="137"/>
        <v>0.8032697864390459</v>
      </c>
      <c r="D685" s="84">
        <f t="shared" ca="1" si="137"/>
        <v>0.426466263195866</v>
      </c>
      <c r="F685" s="84">
        <f t="shared" ca="1" si="138"/>
        <v>0.44725812564152689</v>
      </c>
      <c r="G685" s="84">
        <f t="shared" ca="1" si="138"/>
        <v>0.56664371964150362</v>
      </c>
      <c r="H685" s="84">
        <f t="shared" ca="1" si="138"/>
        <v>0.68890748407458569</v>
      </c>
      <c r="J685" s="85">
        <f t="shared" ca="1" si="139"/>
        <v>186728373.32105803</v>
      </c>
      <c r="K685" s="86">
        <f ca="1">IF(J685&gt;0,MIN(99,$B$12*Q685/(J685*12*(1-Inputs!$H$16))),99)</f>
        <v>2.8928488036134623</v>
      </c>
      <c r="L685" s="84">
        <f t="shared" ca="1" si="140"/>
        <v>1.0881881469362902</v>
      </c>
      <c r="M685" s="84">
        <f t="shared" ca="1" si="141"/>
        <v>1.0383697644400258</v>
      </c>
      <c r="N685" s="84">
        <f t="shared" ca="1" si="142"/>
        <v>1.0017790281801682</v>
      </c>
      <c r="O685" s="84">
        <f t="shared" ca="1" si="143"/>
        <v>1.0181613159133238</v>
      </c>
      <c r="P685" s="84">
        <f t="shared" ca="1" si="144"/>
        <v>1.2367783005715651</v>
      </c>
      <c r="Q685" s="84">
        <f t="shared" ca="1" si="145"/>
        <v>1.1851299973874789</v>
      </c>
    </row>
    <row r="686" spans="1:17" ht="15" customHeight="1" x14ac:dyDescent="0.2">
      <c r="A686" s="15">
        <v>647</v>
      </c>
      <c r="B686" s="84">
        <f t="shared" ca="1" si="137"/>
        <v>0.51271330898267187</v>
      </c>
      <c r="C686" s="84">
        <f t="shared" ca="1" si="137"/>
        <v>0.67791309742005468</v>
      </c>
      <c r="D686" s="84">
        <f t="shared" ca="1" si="137"/>
        <v>0.34185213118529489</v>
      </c>
      <c r="F686" s="84">
        <f t="shared" ca="1" si="138"/>
        <v>1.7454055694209214E-2</v>
      </c>
      <c r="G686" s="84">
        <f t="shared" ca="1" si="138"/>
        <v>0.54724517303710274</v>
      </c>
      <c r="H686" s="84">
        <f t="shared" ca="1" si="138"/>
        <v>0.46922775961777097</v>
      </c>
      <c r="J686" s="85">
        <f t="shared" ca="1" si="139"/>
        <v>142130269.72587836</v>
      </c>
      <c r="K686" s="86">
        <f ca="1">IF(J686&gt;0,MIN(99,$B$12*Q686/(J686*12*(1-Inputs!$H$16))),99)</f>
        <v>3.4799748207820045</v>
      </c>
      <c r="L686" s="84">
        <f t="shared" ca="1" si="140"/>
        <v>1.016152709083362</v>
      </c>
      <c r="M686" s="84">
        <f t="shared" ca="1" si="141"/>
        <v>1.0065110097983725</v>
      </c>
      <c r="N686" s="84">
        <f t="shared" ca="1" si="142"/>
        <v>0.9951623211322107</v>
      </c>
      <c r="O686" s="84">
        <f t="shared" ca="1" si="143"/>
        <v>0.97852342497537337</v>
      </c>
      <c r="P686" s="84">
        <f t="shared" ca="1" si="144"/>
        <v>1.2229209730801098</v>
      </c>
      <c r="Q686" s="84">
        <f t="shared" ca="1" si="145"/>
        <v>1.085157117495908</v>
      </c>
    </row>
    <row r="687" spans="1:17" ht="15" customHeight="1" x14ac:dyDescent="0.2">
      <c r="A687" s="15">
        <v>648</v>
      </c>
      <c r="B687" s="84">
        <f t="shared" ca="1" si="137"/>
        <v>0.27292049841367039</v>
      </c>
      <c r="C687" s="84">
        <f t="shared" ca="1" si="137"/>
        <v>0.68755663256185651</v>
      </c>
      <c r="D687" s="84">
        <f t="shared" ca="1" si="137"/>
        <v>0.73604138463788815</v>
      </c>
      <c r="F687" s="84">
        <f t="shared" ca="1" si="138"/>
        <v>0.63783094768640991</v>
      </c>
      <c r="G687" s="84">
        <f t="shared" ca="1" si="138"/>
        <v>0.32419529138576719</v>
      </c>
      <c r="H687" s="84">
        <f t="shared" ca="1" si="138"/>
        <v>0.88560986376642015</v>
      </c>
      <c r="J687" s="85">
        <f t="shared" ca="1" si="139"/>
        <v>84367180.451757535</v>
      </c>
      <c r="K687" s="86">
        <f ca="1">IF(J687&gt;0,MIN(99,$B$12*Q687/(J687*12*(1-Inputs!$H$16))),99)</f>
        <v>7.0969872592958474</v>
      </c>
      <c r="L687" s="84">
        <f t="shared" ca="1" si="140"/>
        <v>0.95022430217163922</v>
      </c>
      <c r="M687" s="84">
        <f t="shared" ca="1" si="141"/>
        <v>0.97709448759349593</v>
      </c>
      <c r="N687" s="84">
        <f t="shared" ca="1" si="142"/>
        <v>1.0302750275090826</v>
      </c>
      <c r="O687" s="84">
        <f t="shared" ca="1" si="143"/>
        <v>1.0360099117603521</v>
      </c>
      <c r="P687" s="84">
        <f t="shared" ca="1" si="144"/>
        <v>1.0810412196088772</v>
      </c>
      <c r="Q687" s="84">
        <f t="shared" ca="1" si="145"/>
        <v>1.3136434425082077</v>
      </c>
    </row>
    <row r="688" spans="1:17" ht="15" customHeight="1" x14ac:dyDescent="0.2">
      <c r="A688" s="15">
        <v>649</v>
      </c>
      <c r="B688" s="84">
        <f t="shared" ca="1" si="137"/>
        <v>0.73745145468876849</v>
      </c>
      <c r="C688" s="84">
        <f t="shared" ca="1" si="137"/>
        <v>0.71952187775980314</v>
      </c>
      <c r="D688" s="84">
        <f t="shared" ca="1" si="137"/>
        <v>0.64820761834379237</v>
      </c>
      <c r="F688" s="84">
        <f t="shared" ca="1" si="138"/>
        <v>0.43282614099657746</v>
      </c>
      <c r="G688" s="84">
        <f t="shared" ca="1" si="138"/>
        <v>0.94462178575287647</v>
      </c>
      <c r="H688" s="84">
        <f t="shared" ca="1" si="138"/>
        <v>0.51381115284687928</v>
      </c>
      <c r="J688" s="85">
        <f t="shared" ca="1" si="139"/>
        <v>164835419.23465776</v>
      </c>
      <c r="K688" s="86">
        <f ca="1">IF(J688&gt;0,MIN(99,$B$12*Q688/(J688*12*(1-Inputs!$H$16))),99)</f>
        <v>3.0512410964618244</v>
      </c>
      <c r="L688" s="84">
        <f t="shared" ca="1" si="140"/>
        <v>1.0849988816340959</v>
      </c>
      <c r="M688" s="84">
        <f t="shared" ca="1" si="141"/>
        <v>1.0369592639450167</v>
      </c>
      <c r="N688" s="84">
        <f t="shared" ca="1" si="142"/>
        <v>1.0209906899671979</v>
      </c>
      <c r="O688" s="84">
        <f t="shared" ca="1" si="143"/>
        <v>1.0169463047783145</v>
      </c>
      <c r="P688" s="84">
        <f t="shared" ca="1" si="144"/>
        <v>1.6389904974870084</v>
      </c>
      <c r="Q688" s="84">
        <f t="shared" ca="1" si="145"/>
        <v>1.103461038696639</v>
      </c>
    </row>
    <row r="689" spans="1:17" ht="15" customHeight="1" x14ac:dyDescent="0.2">
      <c r="A689" s="15">
        <v>650</v>
      </c>
      <c r="B689" s="84">
        <f t="shared" ca="1" si="137"/>
        <v>0.28458207121736678</v>
      </c>
      <c r="C689" s="84">
        <f t="shared" ca="1" si="137"/>
        <v>0.83202516373172841</v>
      </c>
      <c r="D689" s="84">
        <f t="shared" ca="1" si="137"/>
        <v>0.85618851588364064</v>
      </c>
      <c r="F689" s="84">
        <f t="shared" ca="1" si="138"/>
        <v>0.40831338899950864</v>
      </c>
      <c r="G689" s="84">
        <f t="shared" ca="1" si="138"/>
        <v>0.45631305103966213</v>
      </c>
      <c r="H689" s="84">
        <f t="shared" ca="1" si="138"/>
        <v>0.51665425479095317</v>
      </c>
      <c r="J689" s="85">
        <f t="shared" ca="1" si="139"/>
        <v>84125948.551260278</v>
      </c>
      <c r="K689" s="86">
        <f ca="1">IF(J689&gt;0,MIN(99,$B$12*Q689/(J689*12*(1-Inputs!$H$16))),99)</f>
        <v>5.9850422795061995</v>
      </c>
      <c r="L689" s="84">
        <f t="shared" ca="1" si="140"/>
        <v>0.95392870930053053</v>
      </c>
      <c r="M689" s="84">
        <f t="shared" ca="1" si="141"/>
        <v>0.97875179787985922</v>
      </c>
      <c r="N689" s="84">
        <f t="shared" ca="1" si="142"/>
        <v>1.0460169862691153</v>
      </c>
      <c r="O689" s="84">
        <f t="shared" ca="1" si="143"/>
        <v>1.0149175075283823</v>
      </c>
      <c r="P689" s="84">
        <f t="shared" ca="1" si="144"/>
        <v>1.1616050560492162</v>
      </c>
      <c r="Q689" s="84">
        <f t="shared" ca="1" si="145"/>
        <v>1.104656209622302</v>
      </c>
    </row>
    <row r="690" spans="1:17" ht="15" customHeight="1" x14ac:dyDescent="0.2">
      <c r="A690" s="15">
        <v>651</v>
      </c>
      <c r="B690" s="84">
        <f t="shared" ca="1" si="137"/>
        <v>0.64358908197433085</v>
      </c>
      <c r="C690" s="84">
        <f t="shared" ca="1" si="137"/>
        <v>6.5304542844734081E-3</v>
      </c>
      <c r="D690" s="84">
        <f t="shared" ca="1" si="137"/>
        <v>0.34055421204360814</v>
      </c>
      <c r="F690" s="84">
        <f t="shared" ca="1" si="138"/>
        <v>0.75408129440078808</v>
      </c>
      <c r="G690" s="84">
        <f t="shared" ca="1" si="138"/>
        <v>0.69761527979273574</v>
      </c>
      <c r="H690" s="84">
        <f t="shared" ca="1" si="138"/>
        <v>0.62715723406451962</v>
      </c>
      <c r="J690" s="85">
        <f t="shared" ca="1" si="139"/>
        <v>153268003.89225781</v>
      </c>
      <c r="K690" s="86">
        <f ca="1">IF(J690&gt;0,MIN(99,$B$12*Q690/(J690*12*(1-Inputs!$H$16))),99)</f>
        <v>3.4323895569339129</v>
      </c>
      <c r="L690" s="84">
        <f t="shared" ca="1" si="140"/>
        <v>1.0536258794968809</v>
      </c>
      <c r="M690" s="84">
        <f t="shared" ca="1" si="141"/>
        <v>1.023084082405866</v>
      </c>
      <c r="N690" s="84">
        <f t="shared" ca="1" si="142"/>
        <v>0.99505547584635767</v>
      </c>
      <c r="O690" s="84">
        <f t="shared" ca="1" si="143"/>
        <v>1.0493531358843042</v>
      </c>
      <c r="P690" s="84">
        <f t="shared" ca="1" si="144"/>
        <v>1.3398605686546716</v>
      </c>
      <c r="Q690" s="84">
        <f t="shared" ca="1" si="145"/>
        <v>1.1541918802610629</v>
      </c>
    </row>
    <row r="691" spans="1:17" ht="15" customHeight="1" x14ac:dyDescent="0.2">
      <c r="A691" s="15">
        <v>652</v>
      </c>
      <c r="B691" s="84">
        <f t="shared" ca="1" si="137"/>
        <v>0.41933821345726818</v>
      </c>
      <c r="C691" s="84">
        <f t="shared" ca="1" si="137"/>
        <v>0.65610375917972497</v>
      </c>
      <c r="D691" s="84">
        <f t="shared" ca="1" si="137"/>
        <v>0.35439991345345923</v>
      </c>
      <c r="F691" s="84">
        <f t="shared" ca="1" si="138"/>
        <v>0.35374040542244234</v>
      </c>
      <c r="G691" s="84">
        <f t="shared" ca="1" si="138"/>
        <v>0.74220484102572326</v>
      </c>
      <c r="H691" s="84">
        <f t="shared" ca="1" si="138"/>
        <v>0.93678280343993869</v>
      </c>
      <c r="J691" s="85">
        <f t="shared" ca="1" si="139"/>
        <v>113540486.3881398</v>
      </c>
      <c r="K691" s="86">
        <f ca="1">IF(J691&gt;0,MIN(99,$B$12*Q691/(J691*12*(1-Inputs!$H$16))),99)</f>
        <v>5.4774137220490458</v>
      </c>
      <c r="L691" s="84">
        <f t="shared" ca="1" si="140"/>
        <v>0.9921993301415607</v>
      </c>
      <c r="M691" s="84">
        <f t="shared" ca="1" si="141"/>
        <v>0.99587364528444833</v>
      </c>
      <c r="N691" s="84">
        <f t="shared" ca="1" si="142"/>
        <v>0.99618497914444271</v>
      </c>
      <c r="O691" s="84">
        <f t="shared" ca="1" si="143"/>
        <v>1.0105466138347072</v>
      </c>
      <c r="P691" s="84">
        <f t="shared" ca="1" si="144"/>
        <v>1.3799511709900407</v>
      </c>
      <c r="Q691" s="84">
        <f t="shared" ca="1" si="145"/>
        <v>1.3644456378468306</v>
      </c>
    </row>
    <row r="692" spans="1:17" ht="15" customHeight="1" x14ac:dyDescent="0.2">
      <c r="A692" s="15">
        <v>653</v>
      </c>
      <c r="B692" s="84">
        <f t="shared" ca="1" si="137"/>
        <v>0.44642629433331071</v>
      </c>
      <c r="C692" s="84">
        <f t="shared" ca="1" si="137"/>
        <v>0.66949277985859201</v>
      </c>
      <c r="D692" s="84">
        <f t="shared" ca="1" si="137"/>
        <v>0.97838221343463405</v>
      </c>
      <c r="F692" s="84">
        <f t="shared" ca="1" si="138"/>
        <v>0.91066473571762652</v>
      </c>
      <c r="G692" s="84">
        <f t="shared" ca="1" si="138"/>
        <v>3.6236695092196181E-2</v>
      </c>
      <c r="H692" s="84">
        <f t="shared" ca="1" si="138"/>
        <v>0.36175312662128833</v>
      </c>
      <c r="J692" s="85">
        <f t="shared" ca="1" si="139"/>
        <v>109456800.0111724</v>
      </c>
      <c r="K692" s="86">
        <f ca="1">IF(J692&gt;0,MIN(99,$B$12*Q692/(J692*12*(1-Inputs!$H$16))),99)</f>
        <v>4.3472520733261231</v>
      </c>
      <c r="L692" s="84">
        <f t="shared" ca="1" si="140"/>
        <v>0.9991047927030956</v>
      </c>
      <c r="M692" s="84">
        <f t="shared" ca="1" si="141"/>
        <v>0.99896307194224487</v>
      </c>
      <c r="N692" s="84">
        <f t="shared" ca="1" si="142"/>
        <v>1.0731842963509475</v>
      </c>
      <c r="O692" s="84">
        <f t="shared" ca="1" si="143"/>
        <v>1.0741756188044844</v>
      </c>
      <c r="P692" s="84">
        <f t="shared" ca="1" si="144"/>
        <v>0.89858054791679953</v>
      </c>
      <c r="Q692" s="84">
        <f t="shared" ca="1" si="145"/>
        <v>1.0439687818733892</v>
      </c>
    </row>
    <row r="693" spans="1:17" ht="15" customHeight="1" x14ac:dyDescent="0.2">
      <c r="A693" s="15">
        <v>654</v>
      </c>
      <c r="B693" s="84">
        <f t="shared" ca="1" si="137"/>
        <v>0.89704020232224513</v>
      </c>
      <c r="C693" s="84">
        <f t="shared" ca="1" si="137"/>
        <v>0.29162067779175349</v>
      </c>
      <c r="D693" s="84">
        <f t="shared" ca="1" si="137"/>
        <v>0.33553668179988172</v>
      </c>
      <c r="F693" s="84">
        <f t="shared" ca="1" si="138"/>
        <v>5.903694546577809E-2</v>
      </c>
      <c r="G693" s="84">
        <f t="shared" ca="1" si="138"/>
        <v>1.1611653264486099E-2</v>
      </c>
      <c r="H693" s="84">
        <f t="shared" ca="1" si="138"/>
        <v>0.75585567082450422</v>
      </c>
      <c r="J693" s="85">
        <f t="shared" ca="1" si="139"/>
        <v>260829012.63815874</v>
      </c>
      <c r="K693" s="86">
        <f ca="1">IF(J693&gt;0,MIN(99,$B$12*Q693/(J693*12*(1-Inputs!$H$16))),99)</f>
        <v>2.1361070321088467</v>
      </c>
      <c r="L693" s="84">
        <f t="shared" ca="1" si="140"/>
        <v>1.1560169248141094</v>
      </c>
      <c r="M693" s="84">
        <f t="shared" ca="1" si="141"/>
        <v>1.0683680605073662</v>
      </c>
      <c r="N693" s="84">
        <f t="shared" ca="1" si="142"/>
        <v>0.99464050316719976</v>
      </c>
      <c r="O693" s="84">
        <f t="shared" ca="1" si="143"/>
        <v>0.985771660897792</v>
      </c>
      <c r="P693" s="84">
        <f t="shared" ca="1" si="144"/>
        <v>0.86217739471550747</v>
      </c>
      <c r="Q693" s="84">
        <f t="shared" ca="1" si="145"/>
        <v>1.2223873545075978</v>
      </c>
    </row>
    <row r="694" spans="1:17" ht="15" customHeight="1" x14ac:dyDescent="0.2">
      <c r="A694" s="15">
        <v>655</v>
      </c>
      <c r="B694" s="84">
        <f t="shared" ca="1" si="137"/>
        <v>0.71881786028594796</v>
      </c>
      <c r="C694" s="84">
        <f t="shared" ca="1" si="137"/>
        <v>0.10179059025373205</v>
      </c>
      <c r="D694" s="84">
        <f t="shared" ca="1" si="137"/>
        <v>0.31170133079899009</v>
      </c>
      <c r="F694" s="84">
        <f t="shared" ca="1" si="138"/>
        <v>0.73731965391486032</v>
      </c>
      <c r="G694" s="84">
        <f t="shared" ca="1" si="138"/>
        <v>0.38145103318458295</v>
      </c>
      <c r="H694" s="84">
        <f t="shared" ca="1" si="138"/>
        <v>0.17741459098194512</v>
      </c>
      <c r="J694" s="85">
        <f t="shared" ca="1" si="139"/>
        <v>181179743.12106061</v>
      </c>
      <c r="K694" s="86">
        <f ca="1">IF(J694&gt;0,MIN(99,$B$12*Q694/(J694*12*(1-Inputs!$H$16))),99)</f>
        <v>2.4627468456540744</v>
      </c>
      <c r="L694" s="84">
        <f t="shared" ca="1" si="140"/>
        <v>1.0783720665554302</v>
      </c>
      <c r="M694" s="84">
        <f t="shared" ca="1" si="141"/>
        <v>1.0340284554160555</v>
      </c>
      <c r="N694" s="84">
        <f t="shared" ca="1" si="142"/>
        <v>0.99262542330577797</v>
      </c>
      <c r="O694" s="84">
        <f t="shared" ca="1" si="143"/>
        <v>1.0472589000230188</v>
      </c>
      <c r="P694" s="84">
        <f t="shared" ca="1" si="144"/>
        <v>1.1148887685527238</v>
      </c>
      <c r="Q694" s="84">
        <f t="shared" ca="1" si="145"/>
        <v>0.97894738919928348</v>
      </c>
    </row>
    <row r="695" spans="1:17" ht="15" customHeight="1" x14ac:dyDescent="0.2">
      <c r="A695" s="15">
        <v>656</v>
      </c>
      <c r="B695" s="84">
        <f t="shared" ca="1" si="137"/>
        <v>0.22983776002280187</v>
      </c>
      <c r="C695" s="84">
        <f t="shared" ca="1" si="137"/>
        <v>0.14411958872305897</v>
      </c>
      <c r="D695" s="84">
        <f t="shared" ca="1" si="137"/>
        <v>0.34563674558368973</v>
      </c>
      <c r="F695" s="84">
        <f t="shared" ca="1" si="138"/>
        <v>0.99046538800714168</v>
      </c>
      <c r="G695" s="84">
        <f t="shared" ca="1" si="138"/>
        <v>0.49271407559494385</v>
      </c>
      <c r="H695" s="84">
        <f t="shared" ca="1" si="138"/>
        <v>9.2420819910344565E-2</v>
      </c>
      <c r="J695" s="85">
        <f t="shared" ca="1" si="139"/>
        <v>67118184.173827961</v>
      </c>
      <c r="K695" s="86">
        <f ca="1">IF(J695&gt;0,MIN(99,$B$12*Q695/(J695*12*(1-Inputs!$H$16))),99)</f>
        <v>6.3889663925381974</v>
      </c>
      <c r="L695" s="84">
        <f t="shared" ca="1" si="140"/>
        <v>0.93580033582852118</v>
      </c>
      <c r="M695" s="84">
        <f t="shared" ca="1" si="141"/>
        <v>0.97064136649776966</v>
      </c>
      <c r="N695" s="84">
        <f t="shared" ca="1" si="142"/>
        <v>0.99547271955336902</v>
      </c>
      <c r="O695" s="84">
        <f t="shared" ca="1" si="143"/>
        <v>1.0995314201855471</v>
      </c>
      <c r="P695" s="84">
        <f t="shared" ca="1" si="144"/>
        <v>1.1854837937007621</v>
      </c>
      <c r="Q695" s="84">
        <f t="shared" ca="1" si="145"/>
        <v>0.94080744083462065</v>
      </c>
    </row>
    <row r="696" spans="1:17" ht="15" customHeight="1" x14ac:dyDescent="0.2">
      <c r="A696" s="15">
        <v>657</v>
      </c>
      <c r="B696" s="84">
        <f t="shared" ca="1" si="137"/>
        <v>1.3360616036250605E-2</v>
      </c>
      <c r="C696" s="84">
        <f t="shared" ca="1" si="137"/>
        <v>0.85822334641697151</v>
      </c>
      <c r="D696" s="84">
        <f t="shared" ca="1" si="137"/>
        <v>1.3143345270869689E-2</v>
      </c>
      <c r="F696" s="84">
        <f t="shared" ca="1" si="138"/>
        <v>0.87405423994266551</v>
      </c>
      <c r="G696" s="84">
        <f t="shared" ca="1" si="138"/>
        <v>0.64005931923908421</v>
      </c>
      <c r="H696" s="84">
        <f t="shared" ca="1" si="138"/>
        <v>0.83653347541966439</v>
      </c>
      <c r="J696" s="85">
        <f t="shared" ca="1" si="139"/>
        <v>-1821390.3621698767</v>
      </c>
      <c r="K696" s="86">
        <f ca="1">IF(J696&gt;0,MIN(99,$B$12*Q696/(J696*12*(1-Inputs!$H$16))),99)</f>
        <v>99</v>
      </c>
      <c r="L696" s="84">
        <f t="shared" ca="1" si="140"/>
        <v>0.81376943775808719</v>
      </c>
      <c r="M696" s="84">
        <f t="shared" ca="1" si="141"/>
        <v>0.91604610858214985</v>
      </c>
      <c r="N696" s="84">
        <f t="shared" ca="1" si="142"/>
        <v>0.94995842061078339</v>
      </c>
      <c r="O696" s="84">
        <f t="shared" ca="1" si="143"/>
        <v>1.0671201174967109</v>
      </c>
      <c r="P696" s="84">
        <f t="shared" ca="1" si="144"/>
        <v>1.2922619801196933</v>
      </c>
      <c r="Q696" s="84">
        <f t="shared" ca="1" si="145"/>
        <v>1.2749538036696615</v>
      </c>
    </row>
    <row r="697" spans="1:17" ht="15" customHeight="1" x14ac:dyDescent="0.2">
      <c r="A697" s="15">
        <v>658</v>
      </c>
      <c r="B697" s="84">
        <f t="shared" ca="1" si="137"/>
        <v>0.17213732353813449</v>
      </c>
      <c r="C697" s="84">
        <f t="shared" ca="1" si="137"/>
        <v>0.51397681055617128</v>
      </c>
      <c r="D697" s="84">
        <f t="shared" ca="1" si="137"/>
        <v>0.62499583960510341</v>
      </c>
      <c r="F697" s="84">
        <f t="shared" ca="1" si="138"/>
        <v>0.38084266045820159</v>
      </c>
      <c r="G697" s="84">
        <f t="shared" ca="1" si="138"/>
        <v>0.74767361424160694</v>
      </c>
      <c r="H697" s="84">
        <f t="shared" ca="1" si="138"/>
        <v>0.72311693889631612</v>
      </c>
      <c r="J697" s="85">
        <f t="shared" ca="1" si="139"/>
        <v>54988945.165975437</v>
      </c>
      <c r="K697" s="86">
        <f ca="1">IF(J697&gt;0,MIN(99,$B$12*Q697/(J697*12*(1-Inputs!$H$16))),99)</f>
        <v>9.9765048791767317</v>
      </c>
      <c r="L697" s="84">
        <f t="shared" ca="1" si="140"/>
        <v>0.91415979627047506</v>
      </c>
      <c r="M697" s="84">
        <f t="shared" ca="1" si="141"/>
        <v>0.96095963132015272</v>
      </c>
      <c r="N697" s="84">
        <f t="shared" ca="1" si="142"/>
        <v>1.0187378194281547</v>
      </c>
      <c r="O697" s="84">
        <f t="shared" ca="1" si="143"/>
        <v>1.0126932150473964</v>
      </c>
      <c r="P697" s="84">
        <f t="shared" ca="1" si="144"/>
        <v>1.3850997535026228</v>
      </c>
      <c r="Q697" s="84">
        <f t="shared" ca="1" si="145"/>
        <v>1.2036043524292304</v>
      </c>
    </row>
    <row r="698" spans="1:17" ht="15" customHeight="1" x14ac:dyDescent="0.2">
      <c r="A698" s="15">
        <v>659</v>
      </c>
      <c r="B698" s="84">
        <f t="shared" ca="1" si="137"/>
        <v>0.13823159423373821</v>
      </c>
      <c r="C698" s="84">
        <f t="shared" ca="1" si="137"/>
        <v>0.18883241417082941</v>
      </c>
      <c r="D698" s="84">
        <f t="shared" ca="1" si="137"/>
        <v>0.29674683581481265</v>
      </c>
      <c r="F698" s="84">
        <f t="shared" ca="1" si="138"/>
        <v>0.80067195206954467</v>
      </c>
      <c r="G698" s="84">
        <f t="shared" ca="1" si="138"/>
        <v>0.52195856074965719</v>
      </c>
      <c r="H698" s="84">
        <f t="shared" ca="1" si="138"/>
        <v>1.7839512860961304E-2</v>
      </c>
      <c r="J698" s="85">
        <f t="shared" ca="1" si="139"/>
        <v>50462305.670237139</v>
      </c>
      <c r="K698" s="86">
        <f ca="1">IF(J698&gt;0,MIN(99,$B$12*Q698/(J698*12*(1-Inputs!$H$16))),99)</f>
        <v>7.9967403214391135</v>
      </c>
      <c r="L698" s="84">
        <f t="shared" ca="1" si="140"/>
        <v>0.89970386662527968</v>
      </c>
      <c r="M698" s="84">
        <f t="shared" ca="1" si="141"/>
        <v>0.95449221020083941</v>
      </c>
      <c r="N698" s="84">
        <f t="shared" ca="1" si="142"/>
        <v>0.99132159075802484</v>
      </c>
      <c r="O698" s="84">
        <f t="shared" ca="1" si="143"/>
        <v>1.0555823489949274</v>
      </c>
      <c r="P698" s="84">
        <f t="shared" ca="1" si="144"/>
        <v>1.2052958659062805</v>
      </c>
      <c r="Q698" s="84">
        <f t="shared" ca="1" si="145"/>
        <v>0.88533987463872743</v>
      </c>
    </row>
    <row r="699" spans="1:17" ht="15" customHeight="1" x14ac:dyDescent="0.2">
      <c r="A699" s="15">
        <v>660</v>
      </c>
      <c r="B699" s="84">
        <f t="shared" ca="1" si="137"/>
        <v>0.1097194521649657</v>
      </c>
      <c r="C699" s="84">
        <f t="shared" ca="1" si="137"/>
        <v>0.58657213454751889</v>
      </c>
      <c r="D699" s="84">
        <f t="shared" ca="1" si="137"/>
        <v>0.42043098970010673</v>
      </c>
      <c r="F699" s="84">
        <f t="shared" ca="1" si="138"/>
        <v>0.22814326569665655</v>
      </c>
      <c r="G699" s="84">
        <f t="shared" ca="1" si="138"/>
        <v>0.46830526103164716</v>
      </c>
      <c r="H699" s="84">
        <f t="shared" ca="1" si="138"/>
        <v>0.74817411512021248</v>
      </c>
      <c r="J699" s="85">
        <f t="shared" ca="1" si="139"/>
        <v>50120137.60810791</v>
      </c>
      <c r="K699" s="86">
        <f ca="1">IF(J699&gt;0,MIN(99,$B$12*Q699/(J699*12*(1-Inputs!$H$16))),99)</f>
        <v>11.075404406607044</v>
      </c>
      <c r="L699" s="84">
        <f t="shared" ca="1" si="140"/>
        <v>0.88610102775653621</v>
      </c>
      <c r="M699" s="84">
        <f t="shared" ca="1" si="141"/>
        <v>0.9484064523463408</v>
      </c>
      <c r="N699" s="84">
        <f t="shared" ca="1" si="142"/>
        <v>1.0013140385298962</v>
      </c>
      <c r="O699" s="84">
        <f t="shared" ca="1" si="143"/>
        <v>1.0011409650137293</v>
      </c>
      <c r="P699" s="84">
        <f t="shared" ca="1" si="144"/>
        <v>1.1693809980828092</v>
      </c>
      <c r="Q699" s="84">
        <f t="shared" ca="1" si="145"/>
        <v>1.2178724020140848</v>
      </c>
    </row>
    <row r="700" spans="1:17" ht="15" customHeight="1" x14ac:dyDescent="0.2">
      <c r="A700" s="15">
        <v>661</v>
      </c>
      <c r="B700" s="84">
        <f t="shared" ref="B700:D719" ca="1" si="146">RAND()</f>
        <v>0.32484790530192464</v>
      </c>
      <c r="C700" s="84">
        <f t="shared" ca="1" si="146"/>
        <v>0.15547450892946613</v>
      </c>
      <c r="D700" s="84">
        <f t="shared" ca="1" si="146"/>
        <v>0.98684531726333058</v>
      </c>
      <c r="F700" s="84">
        <f t="shared" ref="F700:H719" ca="1" si="147">RAND()</f>
        <v>0.38710359890694812</v>
      </c>
      <c r="G700" s="84">
        <f t="shared" ca="1" si="147"/>
        <v>0.60543677619202529</v>
      </c>
      <c r="H700" s="84">
        <f t="shared" ca="1" si="147"/>
        <v>0.10428503715753912</v>
      </c>
      <c r="J700" s="85">
        <f t="shared" ca="1" si="139"/>
        <v>82373252.775130913</v>
      </c>
      <c r="K700" s="86">
        <f ca="1">IF(J700&gt;0,MIN(99,$B$12*Q700/(J700*12*(1-Inputs!$H$16))),99)</f>
        <v>5.239841924844586</v>
      </c>
      <c r="L700" s="84">
        <f t="shared" ca="1" si="140"/>
        <v>0.96616848418729095</v>
      </c>
      <c r="M700" s="84">
        <f t="shared" ca="1" si="141"/>
        <v>0.98422773616547377</v>
      </c>
      <c r="N700" s="84">
        <f t="shared" ca="1" si="142"/>
        <v>1.0769676799969898</v>
      </c>
      <c r="O700" s="84">
        <f t="shared" ca="1" si="143"/>
        <v>1.0131957472160127</v>
      </c>
      <c r="P700" s="84">
        <f t="shared" ca="1" si="144"/>
        <v>1.2654535750695783</v>
      </c>
      <c r="Q700" s="84">
        <f t="shared" ca="1" si="145"/>
        <v>0.94696590487774723</v>
      </c>
    </row>
    <row r="701" spans="1:17" ht="15" customHeight="1" x14ac:dyDescent="0.2">
      <c r="A701" s="15">
        <v>662</v>
      </c>
      <c r="B701" s="84">
        <f t="shared" ca="1" si="146"/>
        <v>0.74455665386971526</v>
      </c>
      <c r="C701" s="84">
        <f t="shared" ca="1" si="146"/>
        <v>3.758780099672554E-2</v>
      </c>
      <c r="D701" s="84">
        <f t="shared" ca="1" si="146"/>
        <v>7.7086475166415647E-2</v>
      </c>
      <c r="F701" s="84">
        <f t="shared" ca="1" si="147"/>
        <v>0.90838366931497716</v>
      </c>
      <c r="G701" s="84">
        <f t="shared" ca="1" si="147"/>
        <v>0.17492574209396339</v>
      </c>
      <c r="H701" s="84">
        <f t="shared" ca="1" si="147"/>
        <v>0.23629296140132816</v>
      </c>
      <c r="J701" s="85">
        <f t="shared" ca="1" si="139"/>
        <v>194444077.85575914</v>
      </c>
      <c r="K701" s="86">
        <f ca="1">IF(J701&gt;0,MIN(99,$B$12*Q701/(J701*12*(1-Inputs!$H$16))),99)</f>
        <v>2.3442499874708114</v>
      </c>
      <c r="L701" s="84">
        <f t="shared" ca="1" si="140"/>
        <v>1.0875874601503033</v>
      </c>
      <c r="M701" s="84">
        <f t="shared" ca="1" si="141"/>
        <v>1.0381041016842816</v>
      </c>
      <c r="N701" s="84">
        <f t="shared" ca="1" si="142"/>
        <v>0.96563429883363761</v>
      </c>
      <c r="O701" s="84">
        <f t="shared" ca="1" si="143"/>
        <v>1.0736978660446104</v>
      </c>
      <c r="P701" s="84">
        <f t="shared" ca="1" si="144"/>
        <v>0.99900932898134531</v>
      </c>
      <c r="Q701" s="84">
        <f t="shared" ca="1" si="145"/>
        <v>1.0000658198234356</v>
      </c>
    </row>
    <row r="702" spans="1:17" ht="15" customHeight="1" x14ac:dyDescent="0.2">
      <c r="A702" s="15">
        <v>663</v>
      </c>
      <c r="B702" s="84">
        <f t="shared" ca="1" si="146"/>
        <v>0.74087962005447916</v>
      </c>
      <c r="C702" s="84">
        <f t="shared" ca="1" si="146"/>
        <v>0.89987133365046068</v>
      </c>
      <c r="D702" s="84">
        <f t="shared" ca="1" si="146"/>
        <v>0.85113168482317281</v>
      </c>
      <c r="F702" s="84">
        <f t="shared" ca="1" si="147"/>
        <v>0.87850399805386836</v>
      </c>
      <c r="G702" s="84">
        <f t="shared" ca="1" si="147"/>
        <v>0.37870415479769659</v>
      </c>
      <c r="H702" s="84">
        <f t="shared" ca="1" si="147"/>
        <v>0.57064280156339142</v>
      </c>
      <c r="J702" s="85">
        <f t="shared" ca="1" si="139"/>
        <v>171456388.79915243</v>
      </c>
      <c r="K702" s="86">
        <f ca="1">IF(J702&gt;0,MIN(99,$B$12*Q702/(J702*12*(1-Inputs!$H$16))),99)</f>
        <v>2.9988017087278687</v>
      </c>
      <c r="L702" s="84">
        <f t="shared" ca="1" si="140"/>
        <v>1.0862434047708289</v>
      </c>
      <c r="M702" s="84">
        <f t="shared" ca="1" si="141"/>
        <v>1.0375096729997932</v>
      </c>
      <c r="N702" s="84">
        <f t="shared" ca="1" si="142"/>
        <v>1.0452436344252964</v>
      </c>
      <c r="O702" s="84">
        <f t="shared" ca="1" si="143"/>
        <v>1.0679171119862845</v>
      </c>
      <c r="P702" s="84">
        <f t="shared" ca="1" si="144"/>
        <v>1.1132300053561028</v>
      </c>
      <c r="Q702" s="84">
        <f t="shared" ca="1" si="145"/>
        <v>1.1280578276628956</v>
      </c>
    </row>
    <row r="703" spans="1:17" ht="15" customHeight="1" x14ac:dyDescent="0.2">
      <c r="A703" s="15">
        <v>664</v>
      </c>
      <c r="B703" s="84">
        <f t="shared" ca="1" si="146"/>
        <v>0.20984248057224475</v>
      </c>
      <c r="C703" s="84">
        <f t="shared" ca="1" si="146"/>
        <v>0.32806249748352578</v>
      </c>
      <c r="D703" s="84">
        <f t="shared" ca="1" si="146"/>
        <v>0.35325348231099007</v>
      </c>
      <c r="F703" s="84">
        <f t="shared" ca="1" si="147"/>
        <v>0.46456480095483987</v>
      </c>
      <c r="G703" s="84">
        <f t="shared" ca="1" si="147"/>
        <v>8.9017100672788452E-2</v>
      </c>
      <c r="H703" s="84">
        <f t="shared" ca="1" si="147"/>
        <v>0.96865238728881409</v>
      </c>
      <c r="J703" s="85">
        <f t="shared" ca="1" si="139"/>
        <v>84543558.969993219</v>
      </c>
      <c r="K703" s="86">
        <f ca="1">IF(J703&gt;0,MIN(99,$B$12*Q703/(J703*12*(1-Inputs!$H$16))),99)</f>
        <v>7.5907973049685289</v>
      </c>
      <c r="L703" s="84">
        <f t="shared" ca="1" si="140"/>
        <v>0.92864660446745162</v>
      </c>
      <c r="M703" s="84">
        <f t="shared" ca="1" si="141"/>
        <v>0.967440867157912</v>
      </c>
      <c r="N703" s="84">
        <f t="shared" ca="1" si="142"/>
        <v>0.9960923032301956</v>
      </c>
      <c r="O703" s="84">
        <f t="shared" ca="1" si="143"/>
        <v>1.0196394555073811</v>
      </c>
      <c r="P703" s="84">
        <f t="shared" ca="1" si="144"/>
        <v>0.94617583511796133</v>
      </c>
      <c r="Q703" s="84">
        <f t="shared" ca="1" si="145"/>
        <v>1.407984462317537</v>
      </c>
    </row>
    <row r="704" spans="1:17" ht="15" customHeight="1" x14ac:dyDescent="0.2">
      <c r="A704" s="15">
        <v>665</v>
      </c>
      <c r="B704" s="84">
        <f t="shared" ca="1" si="146"/>
        <v>0.4683230385714896</v>
      </c>
      <c r="C704" s="84">
        <f t="shared" ca="1" si="146"/>
        <v>0.80116477278078602</v>
      </c>
      <c r="D704" s="84">
        <f t="shared" ca="1" si="146"/>
        <v>0.31440506232738819</v>
      </c>
      <c r="F704" s="84">
        <f t="shared" ca="1" si="147"/>
        <v>0.59413653913723818</v>
      </c>
      <c r="G704" s="84">
        <f t="shared" ca="1" si="147"/>
        <v>8.4392528646198284E-2</v>
      </c>
      <c r="H704" s="84">
        <f t="shared" ca="1" si="147"/>
        <v>0.20392209403252015</v>
      </c>
      <c r="J704" s="85">
        <f t="shared" ca="1" si="139"/>
        <v>136101692.39120603</v>
      </c>
      <c r="K704" s="86">
        <f ca="1">IF(J704&gt;0,MIN(99,$B$12*Q704/(J704*12*(1-Inputs!$H$16))),99)</f>
        <v>3.3115297804211634</v>
      </c>
      <c r="L704" s="84">
        <f t="shared" ca="1" si="140"/>
        <v>1.0046195602555166</v>
      </c>
      <c r="M704" s="84">
        <f t="shared" ca="1" si="141"/>
        <v>1.0014103014567064</v>
      </c>
      <c r="N704" s="84">
        <f t="shared" ca="1" si="142"/>
        <v>0.99285778769294875</v>
      </c>
      <c r="O704" s="84">
        <f t="shared" ca="1" si="143"/>
        <v>1.0315661594972474</v>
      </c>
      <c r="P704" s="84">
        <f t="shared" ca="1" si="144"/>
        <v>0.94271479214374432</v>
      </c>
      <c r="Q704" s="84">
        <f t="shared" ca="1" si="145"/>
        <v>0.98883113396537881</v>
      </c>
    </row>
    <row r="705" spans="1:17" ht="15" customHeight="1" x14ac:dyDescent="0.2">
      <c r="A705" s="15">
        <v>666</v>
      </c>
      <c r="B705" s="84">
        <f t="shared" ca="1" si="146"/>
        <v>8.8996551266274038E-2</v>
      </c>
      <c r="C705" s="84">
        <f t="shared" ca="1" si="146"/>
        <v>0.12466772638972934</v>
      </c>
      <c r="D705" s="84">
        <f t="shared" ca="1" si="146"/>
        <v>0.22493586744792105</v>
      </c>
      <c r="F705" s="84">
        <f t="shared" ca="1" si="147"/>
        <v>0.67765148726974822</v>
      </c>
      <c r="G705" s="84">
        <f t="shared" ca="1" si="147"/>
        <v>0.51944252008307434</v>
      </c>
      <c r="H705" s="84">
        <f t="shared" ca="1" si="147"/>
        <v>0.38737407022743142</v>
      </c>
      <c r="J705" s="85">
        <f t="shared" ca="1" si="139"/>
        <v>38345093.877285376</v>
      </c>
      <c r="K705" s="86">
        <f ca="1">IF(J705&gt;0,MIN(99,$B$12*Q705/(J705*12*(1-Inputs!$H$16))),99)</f>
        <v>12.522030994042304</v>
      </c>
      <c r="L705" s="84">
        <f t="shared" ca="1" si="140"/>
        <v>0.87506054176075521</v>
      </c>
      <c r="M705" s="84">
        <f t="shared" ca="1" si="141"/>
        <v>0.94346706248701551</v>
      </c>
      <c r="N705" s="84">
        <f t="shared" ca="1" si="142"/>
        <v>0.98454435412786157</v>
      </c>
      <c r="O705" s="84">
        <f t="shared" ca="1" si="143"/>
        <v>1.0402997078173548</v>
      </c>
      <c r="P705" s="84">
        <f t="shared" ca="1" si="144"/>
        <v>1.2035679288448025</v>
      </c>
      <c r="Q705" s="84">
        <f t="shared" ca="1" si="145"/>
        <v>1.0534514401257582</v>
      </c>
    </row>
    <row r="706" spans="1:17" ht="15" customHeight="1" x14ac:dyDescent="0.2">
      <c r="A706" s="15">
        <v>667</v>
      </c>
      <c r="B706" s="84">
        <f t="shared" ca="1" si="146"/>
        <v>0.94459002865066855</v>
      </c>
      <c r="C706" s="84">
        <f t="shared" ca="1" si="146"/>
        <v>0.12405492245575434</v>
      </c>
      <c r="D706" s="84">
        <f t="shared" ca="1" si="146"/>
        <v>0.17715019514612973</v>
      </c>
      <c r="F706" s="84">
        <f t="shared" ca="1" si="147"/>
        <v>0.84632481720490293</v>
      </c>
      <c r="G706" s="84">
        <f t="shared" ca="1" si="147"/>
        <v>6.8833351186852521E-2</v>
      </c>
      <c r="H706" s="84">
        <f t="shared" ca="1" si="147"/>
        <v>0.18797318853145184</v>
      </c>
      <c r="J706" s="85">
        <f t="shared" ca="1" si="139"/>
        <v>274953267.82972318</v>
      </c>
      <c r="K706" s="86">
        <f ca="1">IF(J706&gt;0,MIN(99,$B$12*Q706/(J706*12*(1-Inputs!$H$16))),99)</f>
        <v>1.6294845729391552</v>
      </c>
      <c r="L706" s="84">
        <f t="shared" ca="1" si="140"/>
        <v>1.1877138552774091</v>
      </c>
      <c r="M706" s="84">
        <f t="shared" ca="1" si="141"/>
        <v>1.0823865042153857</v>
      </c>
      <c r="N706" s="84">
        <f t="shared" ca="1" si="142"/>
        <v>0.97941056425034256</v>
      </c>
      <c r="O706" s="84">
        <f t="shared" ca="1" si="143"/>
        <v>1.0624424463233599</v>
      </c>
      <c r="P706" s="84">
        <f t="shared" ca="1" si="144"/>
        <v>0.93031210067055004</v>
      </c>
      <c r="Q706" s="84">
        <f t="shared" ca="1" si="145"/>
        <v>0.9829673218941386</v>
      </c>
    </row>
    <row r="707" spans="1:17" ht="15" customHeight="1" x14ac:dyDescent="0.2">
      <c r="A707" s="15">
        <v>668</v>
      </c>
      <c r="B707" s="84">
        <f t="shared" ca="1" si="146"/>
        <v>0.20458629810152384</v>
      </c>
      <c r="C707" s="84">
        <f t="shared" ca="1" si="146"/>
        <v>0.60906748358868656</v>
      </c>
      <c r="D707" s="84">
        <f t="shared" ca="1" si="146"/>
        <v>0.33347764784906764</v>
      </c>
      <c r="F707" s="84">
        <f t="shared" ca="1" si="147"/>
        <v>0.37659416605663276</v>
      </c>
      <c r="G707" s="84">
        <f t="shared" ca="1" si="147"/>
        <v>0.6416853570284875</v>
      </c>
      <c r="H707" s="84">
        <f t="shared" ca="1" si="147"/>
        <v>0.98321457925936884</v>
      </c>
      <c r="J707" s="85">
        <f t="shared" ca="1" si="139"/>
        <v>71660589.098788843</v>
      </c>
      <c r="K707" s="86">
        <f ca="1">IF(J707&gt;0,MIN(99,$B$12*Q707/(J707*12*(1-Inputs!$H$16))),99)</f>
        <v>9.1322853315419312</v>
      </c>
      <c r="L707" s="84">
        <f t="shared" ca="1" si="140"/>
        <v>0.92671011349419463</v>
      </c>
      <c r="M707" s="84">
        <f t="shared" ca="1" si="141"/>
        <v>0.96657450277144974</v>
      </c>
      <c r="N707" s="84">
        <f t="shared" ca="1" si="142"/>
        <v>0.99446931435803543</v>
      </c>
      <c r="O707" s="84">
        <f t="shared" ca="1" si="143"/>
        <v>1.0123536567845781</v>
      </c>
      <c r="P707" s="84">
        <f t="shared" ca="1" si="144"/>
        <v>1.2935520696261114</v>
      </c>
      <c r="Q707" s="84">
        <f t="shared" ca="1" si="145"/>
        <v>1.4357862426169321</v>
      </c>
    </row>
    <row r="708" spans="1:17" ht="15" customHeight="1" x14ac:dyDescent="0.2">
      <c r="A708" s="15">
        <v>669</v>
      </c>
      <c r="B708" s="84">
        <f t="shared" ca="1" si="146"/>
        <v>0.29315558251061824</v>
      </c>
      <c r="C708" s="84">
        <f t="shared" ca="1" si="146"/>
        <v>0.3057945451345504</v>
      </c>
      <c r="D708" s="84">
        <f t="shared" ca="1" si="146"/>
        <v>0.49412585918474705</v>
      </c>
      <c r="F708" s="84">
        <f t="shared" ca="1" si="147"/>
        <v>9.6403722220321009E-2</v>
      </c>
      <c r="G708" s="84">
        <f t="shared" ca="1" si="147"/>
        <v>0.33444745964340561</v>
      </c>
      <c r="H708" s="84">
        <f t="shared" ca="1" si="147"/>
        <v>0.94209930099698991</v>
      </c>
      <c r="J708" s="85">
        <f t="shared" ca="1" si="139"/>
        <v>100879774.83769272</v>
      </c>
      <c r="K708" s="86">
        <f ca="1">IF(J708&gt;0,MIN(99,$B$12*Q708/(J708*12*(1-Inputs!$H$16))),99)</f>
        <v>6.1934220430340607</v>
      </c>
      <c r="L708" s="84">
        <f t="shared" ca="1" si="140"/>
        <v>0.95660397306348932</v>
      </c>
      <c r="M708" s="84">
        <f t="shared" ca="1" si="141"/>
        <v>0.97994868094341536</v>
      </c>
      <c r="N708" s="84">
        <f t="shared" ca="1" si="142"/>
        <v>1.0071695283790332</v>
      </c>
      <c r="O708" s="84">
        <f t="shared" ca="1" si="143"/>
        <v>0.99018581710579778</v>
      </c>
      <c r="P708" s="84">
        <f t="shared" ca="1" si="144"/>
        <v>1.0869933854490119</v>
      </c>
      <c r="Q708" s="84">
        <f t="shared" ca="1" si="145"/>
        <v>1.3707704103746692</v>
      </c>
    </row>
    <row r="709" spans="1:17" ht="15" customHeight="1" x14ac:dyDescent="0.2">
      <c r="A709" s="15">
        <v>670</v>
      </c>
      <c r="B709" s="84">
        <f t="shared" ca="1" si="146"/>
        <v>0.72073885587365871</v>
      </c>
      <c r="C709" s="84">
        <f t="shared" ca="1" si="146"/>
        <v>0.25879447166290226</v>
      </c>
      <c r="D709" s="84">
        <f t="shared" ca="1" si="146"/>
        <v>0.11673273065599465</v>
      </c>
      <c r="F709" s="84">
        <f t="shared" ca="1" si="147"/>
        <v>0.14148336575651033</v>
      </c>
      <c r="G709" s="84">
        <f t="shared" ca="1" si="147"/>
        <v>0.87813087809363677</v>
      </c>
      <c r="H709" s="84">
        <f t="shared" ca="1" si="147"/>
        <v>0.96613818156365006</v>
      </c>
      <c r="J709" s="85">
        <f t="shared" ca="1" si="139"/>
        <v>179624380.08701718</v>
      </c>
      <c r="K709" s="86">
        <f ca="1">IF(J709&gt;0,MIN(99,$B$12*Q709/(J709*12*(1-Inputs!$H$16))),99)</f>
        <v>3.5624070065628204</v>
      </c>
      <c r="L709" s="84">
        <f t="shared" ca="1" si="140"/>
        <v>1.0790448844317353</v>
      </c>
      <c r="M709" s="84">
        <f t="shared" ca="1" si="141"/>
        <v>1.0343260192301811</v>
      </c>
      <c r="N709" s="84">
        <f t="shared" ca="1" si="142"/>
        <v>0.97179089662270202</v>
      </c>
      <c r="O709" s="84">
        <f t="shared" ca="1" si="143"/>
        <v>0.99447829689963818</v>
      </c>
      <c r="P709" s="84">
        <f t="shared" ca="1" si="144"/>
        <v>1.5308027543764045</v>
      </c>
      <c r="Q709" s="84">
        <f t="shared" ca="1" si="145"/>
        <v>1.4039083595443342</v>
      </c>
    </row>
    <row r="710" spans="1:17" ht="15" customHeight="1" x14ac:dyDescent="0.2">
      <c r="A710" s="15">
        <v>671</v>
      </c>
      <c r="B710" s="84">
        <f t="shared" ca="1" si="146"/>
        <v>0.33266197217165128</v>
      </c>
      <c r="C710" s="84">
        <f t="shared" ca="1" si="146"/>
        <v>0.59659335300577354</v>
      </c>
      <c r="D710" s="84">
        <f t="shared" ca="1" si="146"/>
        <v>0.29456138580937608</v>
      </c>
      <c r="F710" s="84">
        <f t="shared" ca="1" si="147"/>
        <v>0.90217609722398917</v>
      </c>
      <c r="G710" s="84">
        <f t="shared" ca="1" si="147"/>
        <v>0.15302734345890012</v>
      </c>
      <c r="H710" s="84">
        <f t="shared" ca="1" si="147"/>
        <v>8.4331146649136546E-2</v>
      </c>
      <c r="J710" s="85">
        <f t="shared" ca="1" si="139"/>
        <v>102438866.31635119</v>
      </c>
      <c r="K710" s="86">
        <f ca="1">IF(J710&gt;0,MIN(99,$B$12*Q710/(J710*12*(1-Inputs!$H$16))),99)</f>
        <v>4.1663590631840481</v>
      </c>
      <c r="L710" s="84">
        <f t="shared" ca="1" si="140"/>
        <v>0.96845405622346292</v>
      </c>
      <c r="M710" s="84">
        <f t="shared" ca="1" si="141"/>
        <v>0.98525027551225064</v>
      </c>
      <c r="N710" s="84">
        <f t="shared" ca="1" si="142"/>
        <v>0.99112832108237159</v>
      </c>
      <c r="O710" s="84">
        <f t="shared" ca="1" si="143"/>
        <v>1.0724270525078425</v>
      </c>
      <c r="P710" s="84">
        <f t="shared" ca="1" si="144"/>
        <v>0.98708641594195701</v>
      </c>
      <c r="Q710" s="84">
        <f t="shared" ca="1" si="145"/>
        <v>0.9363784287072302</v>
      </c>
    </row>
    <row r="711" spans="1:17" ht="15" customHeight="1" x14ac:dyDescent="0.2">
      <c r="A711" s="15">
        <v>672</v>
      </c>
      <c r="B711" s="84">
        <f t="shared" ca="1" si="146"/>
        <v>7.2125788572356964E-3</v>
      </c>
      <c r="C711" s="84">
        <f t="shared" ca="1" si="146"/>
        <v>0.68041714706109113</v>
      </c>
      <c r="D711" s="84">
        <f t="shared" ca="1" si="146"/>
        <v>0.10688550929190677</v>
      </c>
      <c r="F711" s="84">
        <f t="shared" ca="1" si="147"/>
        <v>0.86365078475986112</v>
      </c>
      <c r="G711" s="84">
        <f t="shared" ca="1" si="147"/>
        <v>0.47406297782495166</v>
      </c>
      <c r="H711" s="84">
        <f t="shared" ca="1" si="147"/>
        <v>0.92794057261344298</v>
      </c>
      <c r="J711" s="85">
        <f t="shared" ca="1" si="139"/>
        <v>-6857660.3166378289</v>
      </c>
      <c r="K711" s="86">
        <f ca="1">IF(J711&gt;0,MIN(99,$B$12*Q711/(J711*12*(1-Inputs!$H$16))),99)</f>
        <v>99</v>
      </c>
      <c r="L711" s="84">
        <f t="shared" ca="1" si="140"/>
        <v>0.80348534924200543</v>
      </c>
      <c r="M711" s="84">
        <f t="shared" ca="1" si="141"/>
        <v>0.91144512248895171</v>
      </c>
      <c r="N711" s="84">
        <f t="shared" ca="1" si="142"/>
        <v>0.97037446865060928</v>
      </c>
      <c r="O711" s="84">
        <f t="shared" ca="1" si="143"/>
        <v>1.0653100035066894</v>
      </c>
      <c r="P711" s="84">
        <f t="shared" ca="1" si="144"/>
        <v>1.1731455476764783</v>
      </c>
      <c r="Q711" s="84">
        <f t="shared" ca="1" si="145"/>
        <v>1.3544892557361794</v>
      </c>
    </row>
    <row r="712" spans="1:17" ht="15" customHeight="1" x14ac:dyDescent="0.2">
      <c r="A712" s="15">
        <v>673</v>
      </c>
      <c r="B712" s="84">
        <f t="shared" ca="1" si="146"/>
        <v>0.17527004698896254</v>
      </c>
      <c r="C712" s="84">
        <f t="shared" ca="1" si="146"/>
        <v>0.81420911060402512</v>
      </c>
      <c r="D712" s="84">
        <f t="shared" ca="1" si="146"/>
        <v>0.41085904988331912</v>
      </c>
      <c r="F712" s="84">
        <f t="shared" ca="1" si="147"/>
        <v>0.82542852941033396</v>
      </c>
      <c r="G712" s="84">
        <f t="shared" ca="1" si="147"/>
        <v>0.20054884250083227</v>
      </c>
      <c r="H712" s="84">
        <f t="shared" ca="1" si="147"/>
        <v>0.97385560369889823</v>
      </c>
      <c r="J712" s="85">
        <f t="shared" ca="1" si="139"/>
        <v>65709506.247597858</v>
      </c>
      <c r="K712" s="86">
        <f ca="1">IF(J712&gt;0,MIN(99,$B$12*Q712/(J712*12*(1-Inputs!$H$16))),99)</f>
        <v>9.8288870133705135</v>
      </c>
      <c r="L712" s="84">
        <f t="shared" ca="1" si="140"/>
        <v>0.91542036991212594</v>
      </c>
      <c r="M712" s="84">
        <f t="shared" ca="1" si="141"/>
        <v>0.96152359785793762</v>
      </c>
      <c r="N712" s="84">
        <f t="shared" ca="1" si="142"/>
        <v>1.0005815023564295</v>
      </c>
      <c r="O712" s="84">
        <f t="shared" ca="1" si="143"/>
        <v>1.0591913698563478</v>
      </c>
      <c r="P712" s="84">
        <f t="shared" ca="1" si="144"/>
        <v>1.0125304750255371</v>
      </c>
      <c r="Q712" s="84">
        <f t="shared" ca="1" si="145"/>
        <v>1.4169759788860266</v>
      </c>
    </row>
    <row r="713" spans="1:17" ht="15" customHeight="1" x14ac:dyDescent="0.2">
      <c r="A713" s="15">
        <v>674</v>
      </c>
      <c r="B713" s="84">
        <f t="shared" ca="1" si="146"/>
        <v>0.3668386183632284</v>
      </c>
      <c r="C713" s="84">
        <f t="shared" ca="1" si="146"/>
        <v>0.14709173503445871</v>
      </c>
      <c r="D713" s="84">
        <f t="shared" ca="1" si="146"/>
        <v>0.82817721451978232</v>
      </c>
      <c r="F713" s="84">
        <f t="shared" ca="1" si="147"/>
        <v>0.28097747536958717</v>
      </c>
      <c r="G713" s="84">
        <f t="shared" ca="1" si="147"/>
        <v>0.61606188159543118</v>
      </c>
      <c r="H713" s="84">
        <f t="shared" ca="1" si="147"/>
        <v>0.11009846757162967</v>
      </c>
      <c r="J713" s="85">
        <f t="shared" ca="1" si="139"/>
        <v>98964448.992796645</v>
      </c>
      <c r="K713" s="86">
        <f ca="1">IF(J713&gt;0,MIN(99,$B$12*Q713/(J713*12*(1-Inputs!$H$16))),99)</f>
        <v>4.3747006486103084</v>
      </c>
      <c r="L713" s="84">
        <f t="shared" ca="1" si="140"/>
        <v>0.97814857756298268</v>
      </c>
      <c r="M713" s="84">
        <f t="shared" ca="1" si="141"/>
        <v>0.98958749584962846</v>
      </c>
      <c r="N713" s="84">
        <f t="shared" ca="1" si="142"/>
        <v>1.041887948246748</v>
      </c>
      <c r="O713" s="84">
        <f t="shared" ca="1" si="143"/>
        <v>1.0049966366931566</v>
      </c>
      <c r="P713" s="84">
        <f t="shared" ca="1" si="144"/>
        <v>1.2735509087041303</v>
      </c>
      <c r="Q713" s="84">
        <f t="shared" ca="1" si="145"/>
        <v>0.94985539313302791</v>
      </c>
    </row>
    <row r="714" spans="1:17" ht="15" customHeight="1" x14ac:dyDescent="0.2">
      <c r="A714" s="15">
        <v>675</v>
      </c>
      <c r="B714" s="84">
        <f t="shared" ca="1" si="146"/>
        <v>0.32542319346767523</v>
      </c>
      <c r="C714" s="84">
        <f t="shared" ca="1" si="146"/>
        <v>0.18938289969757327</v>
      </c>
      <c r="D714" s="84">
        <f t="shared" ca="1" si="146"/>
        <v>0.50610357265152039</v>
      </c>
      <c r="F714" s="84">
        <f t="shared" ca="1" si="147"/>
        <v>0.54391758885133945</v>
      </c>
      <c r="G714" s="84">
        <f t="shared" ca="1" si="147"/>
        <v>0.14518849312654802</v>
      </c>
      <c r="H714" s="84">
        <f t="shared" ca="1" si="147"/>
        <v>0.60611808390457067</v>
      </c>
      <c r="J714" s="85">
        <f t="shared" ca="1" si="139"/>
        <v>105218571.72715409</v>
      </c>
      <c r="K714" s="86">
        <f ca="1">IF(J714&gt;0,MIN(99,$B$12*Q714/(J714*12*(1-Inputs!$H$16))),99)</f>
        <v>4.9567480310463248</v>
      </c>
      <c r="L714" s="84">
        <f t="shared" ca="1" si="140"/>
        <v>0.96633768386053354</v>
      </c>
      <c r="M714" s="84">
        <f t="shared" ca="1" si="141"/>
        <v>0.98430343420544542</v>
      </c>
      <c r="N714" s="84">
        <f t="shared" ca="1" si="142"/>
        <v>1.0081606121973163</v>
      </c>
      <c r="O714" s="84">
        <f t="shared" ca="1" si="143"/>
        <v>1.0267450166227998</v>
      </c>
      <c r="P714" s="84">
        <f t="shared" ca="1" si="144"/>
        <v>0.98261280749861035</v>
      </c>
      <c r="Q714" s="84">
        <f t="shared" ca="1" si="145"/>
        <v>1.1442454295648989</v>
      </c>
    </row>
    <row r="715" spans="1:17" ht="15" customHeight="1" x14ac:dyDescent="0.2">
      <c r="A715" s="15">
        <v>676</v>
      </c>
      <c r="B715" s="84">
        <f t="shared" ca="1" si="146"/>
        <v>0.8493103156798657</v>
      </c>
      <c r="C715" s="84">
        <f t="shared" ca="1" si="146"/>
        <v>0.8285608153010865</v>
      </c>
      <c r="D715" s="84">
        <f t="shared" ca="1" si="146"/>
        <v>0.27573945931453525</v>
      </c>
      <c r="F715" s="84">
        <f t="shared" ca="1" si="147"/>
        <v>0.57070828578428567</v>
      </c>
      <c r="G715" s="84">
        <f t="shared" ca="1" si="147"/>
        <v>0.55538648224614873</v>
      </c>
      <c r="H715" s="84">
        <f t="shared" ca="1" si="147"/>
        <v>5.0854397752684521E-2</v>
      </c>
      <c r="J715" s="85">
        <f t="shared" ca="1" si="139"/>
        <v>221228758.31946307</v>
      </c>
      <c r="K715" s="86">
        <f ca="1">IF(J715&gt;0,MIN(99,$B$12*Q715/(J715*12*(1-Inputs!$H$16))),99)</f>
        <v>1.8857046536478193</v>
      </c>
      <c r="L715" s="84">
        <f t="shared" ca="1" si="140"/>
        <v>1.1310561512463333</v>
      </c>
      <c r="M715" s="84">
        <f t="shared" ca="1" si="141"/>
        <v>1.0573287833895508</v>
      </c>
      <c r="N715" s="84">
        <f t="shared" ca="1" si="142"/>
        <v>0.98943320173970306</v>
      </c>
      <c r="O715" s="84">
        <f t="shared" ca="1" si="143"/>
        <v>1.0292819448390764</v>
      </c>
      <c r="P715" s="84">
        <f t="shared" ca="1" si="144"/>
        <v>1.2286998268124032</v>
      </c>
      <c r="Q715" s="84">
        <f t="shared" ca="1" si="145"/>
        <v>0.91526150356876312</v>
      </c>
    </row>
    <row r="716" spans="1:17" ht="15" customHeight="1" x14ac:dyDescent="0.2">
      <c r="A716" s="15">
        <v>677</v>
      </c>
      <c r="B716" s="84">
        <f t="shared" ca="1" si="146"/>
        <v>0.18527704889530239</v>
      </c>
      <c r="C716" s="84">
        <f t="shared" ca="1" si="146"/>
        <v>0.71505906961196841</v>
      </c>
      <c r="D716" s="84">
        <f t="shared" ca="1" si="146"/>
        <v>0.99703780966491629</v>
      </c>
      <c r="F716" s="84">
        <f t="shared" ca="1" si="147"/>
        <v>0.86414563503386521</v>
      </c>
      <c r="G716" s="84">
        <f t="shared" ca="1" si="147"/>
        <v>0.94349328099764418</v>
      </c>
      <c r="H716" s="84">
        <f t="shared" ca="1" si="147"/>
        <v>0.70278639862277847</v>
      </c>
      <c r="J716" s="85">
        <f t="shared" ca="1" si="139"/>
        <v>27216663.40314725</v>
      </c>
      <c r="K716" s="86">
        <f ca="1">IF(J716&gt;0,MIN(99,$B$12*Q716/(J716*12*(1-Inputs!$H$16))),99)</f>
        <v>19.970648437769459</v>
      </c>
      <c r="L716" s="84">
        <f t="shared" ca="1" si="140"/>
        <v>0.91937336319668361</v>
      </c>
      <c r="M716" s="84">
        <f t="shared" ca="1" si="141"/>
        <v>0.96329212280794307</v>
      </c>
      <c r="N716" s="84">
        <f t="shared" ca="1" si="142"/>
        <v>1.0840191489344908</v>
      </c>
      <c r="O716" s="84">
        <f t="shared" ca="1" si="143"/>
        <v>1.065394505107256</v>
      </c>
      <c r="P716" s="84">
        <f t="shared" ca="1" si="144"/>
        <v>1.6367219312211903</v>
      </c>
      <c r="Q716" s="84">
        <f t="shared" ca="1" si="145"/>
        <v>1.1924961625080244</v>
      </c>
    </row>
    <row r="717" spans="1:17" ht="15" customHeight="1" x14ac:dyDescent="0.2">
      <c r="A717" s="15">
        <v>678</v>
      </c>
      <c r="B717" s="84">
        <f t="shared" ca="1" si="146"/>
        <v>0.12335101302109097</v>
      </c>
      <c r="C717" s="84">
        <f t="shared" ca="1" si="146"/>
        <v>0.47697784325369119</v>
      </c>
      <c r="D717" s="84">
        <f t="shared" ca="1" si="146"/>
        <v>0.69813295212824122</v>
      </c>
      <c r="F717" s="84">
        <f t="shared" ca="1" si="147"/>
        <v>0.31228891498735034</v>
      </c>
      <c r="G717" s="84">
        <f t="shared" ca="1" si="147"/>
        <v>0.35084446553890858</v>
      </c>
      <c r="H717" s="84">
        <f t="shared" ca="1" si="147"/>
        <v>0.18482514077298684</v>
      </c>
      <c r="J717" s="85">
        <f t="shared" ca="1" si="139"/>
        <v>51416248.801590487</v>
      </c>
      <c r="K717" s="86">
        <f ca="1">IF(J717&gt;0,MIN(99,$B$12*Q717/(J717*12*(1-Inputs!$H$16))),99)</f>
        <v>8.7033055956727967</v>
      </c>
      <c r="L717" s="84">
        <f t="shared" ca="1" si="140"/>
        <v>0.89280063227704987</v>
      </c>
      <c r="M717" s="84">
        <f t="shared" ca="1" si="141"/>
        <v>0.95140378042073537</v>
      </c>
      <c r="N717" s="84">
        <f t="shared" ca="1" si="142"/>
        <v>1.026103285583204</v>
      </c>
      <c r="O717" s="84">
        <f t="shared" ca="1" si="143"/>
        <v>1.0073487696192756</v>
      </c>
      <c r="P717" s="84">
        <f t="shared" ca="1" si="144"/>
        <v>1.096609213513065</v>
      </c>
      <c r="Q717" s="84">
        <f t="shared" ca="1" si="145"/>
        <v>0.98178086377272056</v>
      </c>
    </row>
    <row r="718" spans="1:17" ht="15" customHeight="1" x14ac:dyDescent="0.2">
      <c r="A718" s="15">
        <v>679</v>
      </c>
      <c r="B718" s="84">
        <f t="shared" ca="1" si="146"/>
        <v>0.17102944552870314</v>
      </c>
      <c r="C718" s="84">
        <f t="shared" ca="1" si="146"/>
        <v>0.51329217648189607</v>
      </c>
      <c r="D718" s="84">
        <f t="shared" ca="1" si="146"/>
        <v>0.47470408341669468</v>
      </c>
      <c r="F718" s="84">
        <f t="shared" ca="1" si="147"/>
        <v>0.87934069535252413</v>
      </c>
      <c r="G718" s="84">
        <f t="shared" ca="1" si="147"/>
        <v>0.68708620888181282</v>
      </c>
      <c r="H718" s="84">
        <f t="shared" ca="1" si="147"/>
        <v>0.47117788261136395</v>
      </c>
      <c r="J718" s="85">
        <f t="shared" ca="1" si="139"/>
        <v>50086358.196241364</v>
      </c>
      <c r="K718" s="86">
        <f ca="1">IF(J718&gt;0,MIN(99,$B$12*Q718/(J718*12*(1-Inputs!$H$16))),99)</f>
        <v>9.8822753276060631</v>
      </c>
      <c r="L718" s="84">
        <f t="shared" ca="1" si="140"/>
        <v>0.91371125629154659</v>
      </c>
      <c r="M718" s="84">
        <f t="shared" ca="1" si="141"/>
        <v>0.96075895955404855</v>
      </c>
      <c r="N718" s="84">
        <f t="shared" ca="1" si="142"/>
        <v>1.0055871078928835</v>
      </c>
      <c r="O718" s="84">
        <f t="shared" ca="1" si="143"/>
        <v>1.0680685935838894</v>
      </c>
      <c r="P718" s="84">
        <f t="shared" ca="1" si="144"/>
        <v>1.330834650864829</v>
      </c>
      <c r="Q718" s="84">
        <f t="shared" ca="1" si="145"/>
        <v>1.0859412891571241</v>
      </c>
    </row>
    <row r="719" spans="1:17" ht="15" customHeight="1" x14ac:dyDescent="0.2">
      <c r="A719" s="15">
        <v>680</v>
      </c>
      <c r="B719" s="84">
        <f t="shared" ca="1" si="146"/>
        <v>0.99439682161778253</v>
      </c>
      <c r="C719" s="84">
        <f t="shared" ca="1" si="146"/>
        <v>0.77751543367512277</v>
      </c>
      <c r="D719" s="84">
        <f t="shared" ca="1" si="146"/>
        <v>0.30286207393146869</v>
      </c>
      <c r="F719" s="84">
        <f t="shared" ca="1" si="147"/>
        <v>0.1038354017347759</v>
      </c>
      <c r="G719" s="84">
        <f t="shared" ca="1" si="147"/>
        <v>0.79691979430313076</v>
      </c>
      <c r="H719" s="84">
        <f t="shared" ca="1" si="147"/>
        <v>6.6930126699106807E-2</v>
      </c>
      <c r="J719" s="85">
        <f t="shared" ca="1" si="139"/>
        <v>314327037.6166411</v>
      </c>
      <c r="K719" s="86">
        <f ca="1">IF(J719&gt;0,MIN(99,$B$12*Q719/(J719*12*(1-Inputs!$H$16))),99)</f>
        <v>1.3428579644371603</v>
      </c>
      <c r="L719" s="84">
        <f t="shared" ca="1" si="140"/>
        <v>1.2472432525760868</v>
      </c>
      <c r="M719" s="84">
        <f t="shared" ca="1" si="141"/>
        <v>1.1087142745327696</v>
      </c>
      <c r="N719" s="84">
        <f t="shared" ca="1" si="142"/>
        <v>0.99185863991530143</v>
      </c>
      <c r="O719" s="84">
        <f t="shared" ca="1" si="143"/>
        <v>0.99095375181422474</v>
      </c>
      <c r="P719" s="84">
        <f t="shared" ca="1" si="144"/>
        <v>1.4342401727067347</v>
      </c>
      <c r="Q719" s="84">
        <f t="shared" ca="1" si="145"/>
        <v>0.92606561753934435</v>
      </c>
    </row>
    <row r="720" spans="1:17" ht="15" customHeight="1" x14ac:dyDescent="0.2">
      <c r="A720" s="15">
        <v>681</v>
      </c>
      <c r="B720" s="84">
        <f t="shared" ref="B720:D739" ca="1" si="148">RAND()</f>
        <v>0.33180006767410486</v>
      </c>
      <c r="C720" s="84">
        <f t="shared" ca="1" si="148"/>
        <v>0.22268773492383653</v>
      </c>
      <c r="D720" s="84">
        <f t="shared" ca="1" si="148"/>
        <v>0.6250622490226081</v>
      </c>
      <c r="F720" s="84">
        <f t="shared" ref="F720:H739" ca="1" si="149">RAND()</f>
        <v>0.72423467829532173</v>
      </c>
      <c r="G720" s="84">
        <f t="shared" ca="1" si="149"/>
        <v>0.59301884648760839</v>
      </c>
      <c r="H720" s="84">
        <f t="shared" ca="1" si="149"/>
        <v>0.30584073977617954</v>
      </c>
      <c r="J720" s="85">
        <f t="shared" ca="1" si="139"/>
        <v>90813706.870207474</v>
      </c>
      <c r="K720" s="86">
        <f ca="1">IF(J720&gt;0,MIN(99,$B$12*Q720/(J720*12*(1-Inputs!$H$16))),99)</f>
        <v>5.1390448337977155</v>
      </c>
      <c r="L720" s="84">
        <f t="shared" ca="1" si="140"/>
        <v>0.96820328054496585</v>
      </c>
      <c r="M720" s="84">
        <f t="shared" ca="1" si="141"/>
        <v>0.9851380812806011</v>
      </c>
      <c r="N720" s="84">
        <f t="shared" ca="1" si="142"/>
        <v>1.0187441638887731</v>
      </c>
      <c r="O720" s="84">
        <f t="shared" ca="1" si="143"/>
        <v>1.0456700902668685</v>
      </c>
      <c r="P720" s="84">
        <f t="shared" ca="1" si="144"/>
        <v>1.2561269010269425</v>
      </c>
      <c r="Q720" s="84">
        <f t="shared" ca="1" si="145"/>
        <v>1.0239146367063443</v>
      </c>
    </row>
    <row r="721" spans="1:17" ht="15" customHeight="1" x14ac:dyDescent="0.2">
      <c r="A721" s="15">
        <v>682</v>
      </c>
      <c r="B721" s="84">
        <f t="shared" ca="1" si="148"/>
        <v>0.28413461716506239</v>
      </c>
      <c r="C721" s="84">
        <f t="shared" ca="1" si="148"/>
        <v>0.20203551357544336</v>
      </c>
      <c r="D721" s="84">
        <f t="shared" ca="1" si="148"/>
        <v>0.73324797267526143</v>
      </c>
      <c r="F721" s="84">
        <f t="shared" ca="1" si="149"/>
        <v>0.39203470284814557</v>
      </c>
      <c r="G721" s="84">
        <f t="shared" ca="1" si="149"/>
        <v>0.10042595355802031</v>
      </c>
      <c r="H721" s="84">
        <f t="shared" ca="1" si="149"/>
        <v>0.28446502107948646</v>
      </c>
      <c r="J721" s="85">
        <f t="shared" ca="1" si="139"/>
        <v>95376904.220196471</v>
      </c>
      <c r="K721" s="86">
        <f ca="1">IF(J721&gt;0,MIN(99,$B$12*Q721/(J721*12*(1-Inputs!$H$16))),99)</f>
        <v>4.8575595552736619</v>
      </c>
      <c r="L721" s="84">
        <f t="shared" ca="1" si="140"/>
        <v>0.95378798737910087</v>
      </c>
      <c r="M721" s="84">
        <f t="shared" ca="1" si="141"/>
        <v>0.97868884046729965</v>
      </c>
      <c r="N721" s="84">
        <f t="shared" ca="1" si="142"/>
        <v>1.0299577886045912</v>
      </c>
      <c r="O721" s="84">
        <f t="shared" ca="1" si="143"/>
        <v>1.013593350227642</v>
      </c>
      <c r="P721" s="84">
        <f t="shared" ca="1" si="144"/>
        <v>0.9543479266625956</v>
      </c>
      <c r="Q721" s="84">
        <f t="shared" ca="1" si="145"/>
        <v>1.0164623505754433</v>
      </c>
    </row>
    <row r="722" spans="1:17" ht="15" customHeight="1" x14ac:dyDescent="0.2">
      <c r="A722" s="15">
        <v>683</v>
      </c>
      <c r="B722" s="84">
        <f t="shared" ca="1" si="148"/>
        <v>0.1256798415779905</v>
      </c>
      <c r="C722" s="84">
        <f t="shared" ca="1" si="148"/>
        <v>0.77472344597999987</v>
      </c>
      <c r="D722" s="84">
        <f t="shared" ca="1" si="148"/>
        <v>0.14725819314089572</v>
      </c>
      <c r="F722" s="84">
        <f t="shared" ca="1" si="149"/>
        <v>0.31166517064082977</v>
      </c>
      <c r="G722" s="84">
        <f t="shared" ca="1" si="149"/>
        <v>0.49979212547374319</v>
      </c>
      <c r="H722" s="84">
        <f t="shared" ca="1" si="149"/>
        <v>0.3795564961975435</v>
      </c>
      <c r="J722" s="85">
        <f t="shared" ca="1" si="139"/>
        <v>58271539.140514091</v>
      </c>
      <c r="K722" s="86">
        <f ca="1">IF(J722&gt;0,MIN(99,$B$12*Q722/(J722*12*(1-Inputs!$H$16))),99)</f>
        <v>8.2172230800422295</v>
      </c>
      <c r="L722" s="84">
        <f t="shared" ca="1" si="140"/>
        <v>0.89390745215302503</v>
      </c>
      <c r="M722" s="84">
        <f t="shared" ca="1" si="141"/>
        <v>0.95189895924470924</v>
      </c>
      <c r="N722" s="84">
        <f t="shared" ca="1" si="142"/>
        <v>0.97583783247250189</v>
      </c>
      <c r="O722" s="84">
        <f t="shared" ca="1" si="143"/>
        <v>1.0073013969312725</v>
      </c>
      <c r="P722" s="84">
        <f t="shared" ca="1" si="144"/>
        <v>1.1902253778693617</v>
      </c>
      <c r="Q722" s="84">
        <f t="shared" ca="1" si="145"/>
        <v>1.0505373754015155</v>
      </c>
    </row>
    <row r="723" spans="1:17" ht="15" customHeight="1" x14ac:dyDescent="0.2">
      <c r="A723" s="15">
        <v>684</v>
      </c>
      <c r="B723" s="84">
        <f t="shared" ca="1" si="148"/>
        <v>0.60394741063752122</v>
      </c>
      <c r="C723" s="84">
        <f t="shared" ca="1" si="148"/>
        <v>0.14146440688039386</v>
      </c>
      <c r="D723" s="84">
        <f t="shared" ca="1" si="148"/>
        <v>0.4577788822977501</v>
      </c>
      <c r="F723" s="84">
        <f t="shared" ca="1" si="149"/>
        <v>0.8178126716112708</v>
      </c>
      <c r="G723" s="84">
        <f t="shared" ca="1" si="149"/>
        <v>1.9853200289824069E-2</v>
      </c>
      <c r="H723" s="84">
        <f t="shared" ca="1" si="149"/>
        <v>0.65077730828435232</v>
      </c>
      <c r="J723" s="85">
        <f t="shared" ca="1" si="139"/>
        <v>158414714.13744658</v>
      </c>
      <c r="K723" s="86">
        <f ca="1">IF(J723&gt;0,MIN(99,$B$12*Q723/(J723*12*(1-Inputs!$H$16))),99)</f>
        <v>3.3539840763600823</v>
      </c>
      <c r="L723" s="84">
        <f t="shared" ca="1" si="140"/>
        <v>1.0416392684333098</v>
      </c>
      <c r="M723" s="84">
        <f t="shared" ca="1" si="141"/>
        <v>1.0177828235776916</v>
      </c>
      <c r="N723" s="84">
        <f t="shared" ca="1" si="142"/>
        <v>1.0042317970091592</v>
      </c>
      <c r="O723" s="84">
        <f t="shared" ca="1" si="143"/>
        <v>1.0580553286607355</v>
      </c>
      <c r="P723" s="84">
        <f t="shared" ca="1" si="144"/>
        <v>0.87678413788976561</v>
      </c>
      <c r="Q723" s="84">
        <f t="shared" ca="1" si="145"/>
        <v>1.165699085573624</v>
      </c>
    </row>
    <row r="724" spans="1:17" ht="15" customHeight="1" x14ac:dyDescent="0.2">
      <c r="A724" s="15">
        <v>685</v>
      </c>
      <c r="B724" s="84">
        <f t="shared" ca="1" si="148"/>
        <v>0.38368596108945163</v>
      </c>
      <c r="C724" s="84">
        <f t="shared" ca="1" si="148"/>
        <v>0.34708090269326231</v>
      </c>
      <c r="D724" s="84">
        <f t="shared" ca="1" si="148"/>
        <v>0.8402475184844278</v>
      </c>
      <c r="F724" s="84">
        <f t="shared" ca="1" si="149"/>
        <v>0.60438289140275592</v>
      </c>
      <c r="G724" s="84">
        <f t="shared" ca="1" si="149"/>
        <v>0.11019606633796364</v>
      </c>
      <c r="H724" s="84">
        <f t="shared" ca="1" si="149"/>
        <v>0.13763159323011231</v>
      </c>
      <c r="J724" s="85">
        <f t="shared" ca="1" si="139"/>
        <v>108992361.48778854</v>
      </c>
      <c r="K724" s="86">
        <f ca="1">IF(J724&gt;0,MIN(99,$B$12*Q724/(J724*12*(1-Inputs!$H$16))),99)</f>
        <v>4.0255195574956195</v>
      </c>
      <c r="L724" s="84">
        <f t="shared" ca="1" si="140"/>
        <v>0.9827610902516718</v>
      </c>
      <c r="M724" s="84">
        <f t="shared" ca="1" si="141"/>
        <v>0.99165108239909971</v>
      </c>
      <c r="N724" s="84">
        <f t="shared" ca="1" si="142"/>
        <v>1.0436224628690474</v>
      </c>
      <c r="O724" s="84">
        <f t="shared" ca="1" si="143"/>
        <v>1.0325858526753844</v>
      </c>
      <c r="P724" s="84">
        <f t="shared" ca="1" si="144"/>
        <v>0.96098379904865883</v>
      </c>
      <c r="Q724" s="84">
        <f t="shared" ca="1" si="145"/>
        <v>0.96260462661212498</v>
      </c>
    </row>
    <row r="725" spans="1:17" ht="15" customHeight="1" x14ac:dyDescent="0.2">
      <c r="A725" s="15">
        <v>686</v>
      </c>
      <c r="B725" s="84">
        <f t="shared" ca="1" si="148"/>
        <v>0.61191305047635403</v>
      </c>
      <c r="C725" s="84">
        <f t="shared" ca="1" si="148"/>
        <v>0.7225082774102175</v>
      </c>
      <c r="D725" s="84">
        <f t="shared" ca="1" si="148"/>
        <v>0.85593506110154538</v>
      </c>
      <c r="F725" s="84">
        <f t="shared" ca="1" si="149"/>
        <v>0.66846031211095081</v>
      </c>
      <c r="G725" s="84">
        <f t="shared" ca="1" si="149"/>
        <v>0.74208330938916767</v>
      </c>
      <c r="H725" s="84">
        <f t="shared" ca="1" si="149"/>
        <v>0.82570241025619873</v>
      </c>
      <c r="J725" s="85">
        <f t="shared" ca="1" si="139"/>
        <v>134893856.1747269</v>
      </c>
      <c r="K725" s="86">
        <f ca="1">IF(J725&gt;0,MIN(99,$B$12*Q725/(J725*12*(1-Inputs!$H$16))),99)</f>
        <v>4.2818981472633766</v>
      </c>
      <c r="L725" s="84">
        <f t="shared" ca="1" si="140"/>
        <v>1.0439979316986505</v>
      </c>
      <c r="M725" s="84">
        <f t="shared" ca="1" si="141"/>
        <v>1.0188259778430435</v>
      </c>
      <c r="N725" s="84">
        <f t="shared" ca="1" si="142"/>
        <v>1.0459779043096278</v>
      </c>
      <c r="O725" s="84">
        <f t="shared" ca="1" si="143"/>
        <v>1.0392870379765324</v>
      </c>
      <c r="P725" s="84">
        <f t="shared" ca="1" si="144"/>
        <v>1.3798373783558928</v>
      </c>
      <c r="Q725" s="84">
        <f t="shared" ca="1" si="145"/>
        <v>1.267238748521015</v>
      </c>
    </row>
    <row r="726" spans="1:17" ht="15" customHeight="1" x14ac:dyDescent="0.2">
      <c r="A726" s="15">
        <v>687</v>
      </c>
      <c r="B726" s="84">
        <f t="shared" ca="1" si="148"/>
        <v>0.76708016137773105</v>
      </c>
      <c r="C726" s="84">
        <f t="shared" ca="1" si="148"/>
        <v>0.92612765726772883</v>
      </c>
      <c r="D726" s="84">
        <f t="shared" ca="1" si="148"/>
        <v>0.87166618661556072</v>
      </c>
      <c r="F726" s="84">
        <f t="shared" ca="1" si="149"/>
        <v>0.92128804915822249</v>
      </c>
      <c r="G726" s="84">
        <f t="shared" ca="1" si="149"/>
        <v>0.80726093735914084</v>
      </c>
      <c r="H726" s="84">
        <f t="shared" ca="1" si="149"/>
        <v>0.55133138118929048</v>
      </c>
      <c r="J726" s="85">
        <f t="shared" ca="1" si="139"/>
        <v>164079452.74741983</v>
      </c>
      <c r="K726" s="86">
        <f ca="1">IF(J726&gt;0,MIN(99,$B$12*Q726/(J726*12*(1-Inputs!$H$16))),99)</f>
        <v>3.109927908239444</v>
      </c>
      <c r="L726" s="84">
        <f t="shared" ca="1" si="140"/>
        <v>1.0960405693723798</v>
      </c>
      <c r="M726" s="84">
        <f t="shared" ca="1" si="141"/>
        <v>1.0418426162361758</v>
      </c>
      <c r="N726" s="84">
        <f t="shared" ca="1" si="142"/>
        <v>1.048472598786045</v>
      </c>
      <c r="O726" s="84">
        <f t="shared" ca="1" si="143"/>
        <v>1.0764855522371852</v>
      </c>
      <c r="P726" s="84">
        <f t="shared" ca="1" si="144"/>
        <v>1.4452933083776482</v>
      </c>
      <c r="Q726" s="84">
        <f t="shared" ca="1" si="145"/>
        <v>1.1195267162157552</v>
      </c>
    </row>
    <row r="727" spans="1:17" ht="15" customHeight="1" x14ac:dyDescent="0.2">
      <c r="A727" s="15">
        <v>688</v>
      </c>
      <c r="B727" s="84">
        <f t="shared" ca="1" si="148"/>
        <v>0.50278784702678114</v>
      </c>
      <c r="C727" s="84">
        <f t="shared" ca="1" si="148"/>
        <v>0.59208603197934107</v>
      </c>
      <c r="D727" s="84">
        <f t="shared" ca="1" si="148"/>
        <v>0.10480916341258018</v>
      </c>
      <c r="F727" s="84">
        <f t="shared" ca="1" si="149"/>
        <v>0.80106907233171565</v>
      </c>
      <c r="G727" s="84">
        <f t="shared" ca="1" si="149"/>
        <v>0.86927639592767192</v>
      </c>
      <c r="H727" s="84">
        <f t="shared" ca="1" si="149"/>
        <v>0.21715736893160997</v>
      </c>
      <c r="J727" s="85">
        <f t="shared" ca="1" si="139"/>
        <v>121665272.36572851</v>
      </c>
      <c r="K727" s="86">
        <f ca="1">IF(J727&gt;0,MIN(99,$B$12*Q727/(J727*12*(1-Inputs!$H$16))),99)</f>
        <v>3.7220509275731652</v>
      </c>
      <c r="L727" s="84">
        <f t="shared" ca="1" si="140"/>
        <v>1.0135297893950104</v>
      </c>
      <c r="M727" s="84">
        <f t="shared" ca="1" si="141"/>
        <v>1.0053509841597894</v>
      </c>
      <c r="N727" s="84">
        <f t="shared" ca="1" si="142"/>
        <v>0.9700675812791395</v>
      </c>
      <c r="O727" s="84">
        <f t="shared" ca="1" si="143"/>
        <v>1.0556384121030811</v>
      </c>
      <c r="P727" s="84">
        <f t="shared" ca="1" si="144"/>
        <v>1.5189546780464567</v>
      </c>
      <c r="Q727" s="84">
        <f t="shared" ca="1" si="145"/>
        <v>0.99352519570532472</v>
      </c>
    </row>
    <row r="728" spans="1:17" ht="15" customHeight="1" x14ac:dyDescent="0.2">
      <c r="A728" s="15">
        <v>689</v>
      </c>
      <c r="B728" s="84">
        <f t="shared" ca="1" si="148"/>
        <v>0.51804604727468651</v>
      </c>
      <c r="C728" s="84">
        <f t="shared" ca="1" si="148"/>
        <v>0.30469806830213964</v>
      </c>
      <c r="D728" s="84">
        <f t="shared" ca="1" si="148"/>
        <v>0.67185230382680039</v>
      </c>
      <c r="F728" s="84">
        <f t="shared" ca="1" si="149"/>
        <v>0.84809030758263582</v>
      </c>
      <c r="G728" s="84">
        <f t="shared" ca="1" si="149"/>
        <v>0.2481065052507565</v>
      </c>
      <c r="H728" s="84">
        <f t="shared" ca="1" si="149"/>
        <v>0.22335567591009808</v>
      </c>
      <c r="J728" s="85">
        <f t="shared" ca="1" si="139"/>
        <v>129900401.94038256</v>
      </c>
      <c r="K728" s="86">
        <f ca="1">IF(J728&gt;0,MIN(99,$B$12*Q728/(J728*12*(1-Inputs!$H$16))),99)</f>
        <v>3.4936294674114658</v>
      </c>
      <c r="L728" s="84">
        <f t="shared" ca="1" si="140"/>
        <v>1.017572984130005</v>
      </c>
      <c r="M728" s="84">
        <f t="shared" ca="1" si="141"/>
        <v>1.007139147775781</v>
      </c>
      <c r="N728" s="84">
        <f t="shared" ca="1" si="142"/>
        <v>1.0233633895069321</v>
      </c>
      <c r="O728" s="84">
        <f t="shared" ca="1" si="143"/>
        <v>1.0627269835515198</v>
      </c>
      <c r="P728" s="84">
        <f t="shared" ca="1" si="144"/>
        <v>1.0382075617914679</v>
      </c>
      <c r="Q728" s="84">
        <f t="shared" ca="1" si="145"/>
        <v>0.99567425625515693</v>
      </c>
    </row>
    <row r="729" spans="1:17" ht="15" customHeight="1" x14ac:dyDescent="0.2">
      <c r="A729" s="15">
        <v>690</v>
      </c>
      <c r="B729" s="84">
        <f t="shared" ca="1" si="148"/>
        <v>0.30584966682768355</v>
      </c>
      <c r="C729" s="84">
        <f t="shared" ca="1" si="148"/>
        <v>0.18612672763874183</v>
      </c>
      <c r="D729" s="84">
        <f t="shared" ca="1" si="148"/>
        <v>0.53957473319568472</v>
      </c>
      <c r="F729" s="84">
        <f t="shared" ca="1" si="149"/>
        <v>5.0297334381095515E-2</v>
      </c>
      <c r="G729" s="84">
        <f t="shared" ca="1" si="149"/>
        <v>0.48581176853679109</v>
      </c>
      <c r="H729" s="84">
        <f t="shared" ca="1" si="149"/>
        <v>0.12702012183489808</v>
      </c>
      <c r="J729" s="85">
        <f t="shared" ca="1" si="139"/>
        <v>100155688.54678334</v>
      </c>
      <c r="K729" s="86">
        <f ca="1">IF(J729&gt;0,MIN(99,$B$12*Q729/(J729*12*(1-Inputs!$H$16))),99)</f>
        <v>4.3590831021668679</v>
      </c>
      <c r="L729" s="84">
        <f t="shared" ca="1" si="140"/>
        <v>0.96049417111627633</v>
      </c>
      <c r="M729" s="84">
        <f t="shared" ca="1" si="141"/>
        <v>0.98168911200958819</v>
      </c>
      <c r="N729" s="84">
        <f t="shared" ca="1" si="142"/>
        <v>1.010995716431998</v>
      </c>
      <c r="O729" s="84">
        <f t="shared" ca="1" si="143"/>
        <v>0.98454873930810194</v>
      </c>
      <c r="P729" s="84">
        <f t="shared" ca="1" si="144"/>
        <v>1.1808916928263602</v>
      </c>
      <c r="Q729" s="84">
        <f t="shared" ca="1" si="145"/>
        <v>0.95785707397105402</v>
      </c>
    </row>
    <row r="730" spans="1:17" ht="15" customHeight="1" x14ac:dyDescent="0.2">
      <c r="A730" s="15">
        <v>691</v>
      </c>
      <c r="B730" s="84">
        <f t="shared" ca="1" si="148"/>
        <v>0.4611040219648288</v>
      </c>
      <c r="C730" s="84">
        <f t="shared" ca="1" si="148"/>
        <v>0.34740508329600506</v>
      </c>
      <c r="D730" s="84">
        <f t="shared" ca="1" si="148"/>
        <v>0.99525737076199228</v>
      </c>
      <c r="F730" s="84">
        <f t="shared" ca="1" si="149"/>
        <v>0.43879807099416834</v>
      </c>
      <c r="G730" s="84">
        <f t="shared" ca="1" si="149"/>
        <v>0.60703220143189685</v>
      </c>
      <c r="H730" s="84">
        <f t="shared" ca="1" si="149"/>
        <v>0.38544026776562823</v>
      </c>
      <c r="J730" s="85">
        <f t="shared" ca="1" si="139"/>
        <v>105610244.46551542</v>
      </c>
      <c r="K730" s="86">
        <f ca="1">IF(J730&gt;0,MIN(99,$B$12*Q730/(J730*12*(1-Inputs!$H$16))),99)</f>
        <v>4.5433955325276196</v>
      </c>
      <c r="L730" s="84">
        <f t="shared" ca="1" si="140"/>
        <v>1.0027901600238596</v>
      </c>
      <c r="M730" s="84">
        <f t="shared" ca="1" si="141"/>
        <v>1.0006012217195812</v>
      </c>
      <c r="N730" s="84">
        <f t="shared" ca="1" si="142"/>
        <v>1.0823295510643436</v>
      </c>
      <c r="O730" s="84">
        <f t="shared" ca="1" si="143"/>
        <v>1.0174471773001708</v>
      </c>
      <c r="P730" s="84">
        <f t="shared" ca="1" si="144"/>
        <v>1.2666624216958715</v>
      </c>
      <c r="Q730" s="84">
        <f t="shared" ca="1" si="145"/>
        <v>1.0527288768539245</v>
      </c>
    </row>
    <row r="731" spans="1:17" ht="15" customHeight="1" x14ac:dyDescent="0.2">
      <c r="A731" s="15">
        <v>692</v>
      </c>
      <c r="B731" s="84">
        <f t="shared" ca="1" si="148"/>
        <v>0.87119183964369884</v>
      </c>
      <c r="C731" s="84">
        <f t="shared" ca="1" si="148"/>
        <v>0.98009718197709639</v>
      </c>
      <c r="D731" s="84">
        <f t="shared" ca="1" si="148"/>
        <v>0.92664720656844413</v>
      </c>
      <c r="F731" s="84">
        <f t="shared" ca="1" si="149"/>
        <v>0.18539468262175041</v>
      </c>
      <c r="G731" s="84">
        <f t="shared" ca="1" si="149"/>
        <v>0.34401148083473732</v>
      </c>
      <c r="H731" s="84">
        <f t="shared" ca="1" si="149"/>
        <v>0.58728424367008492</v>
      </c>
      <c r="J731" s="85">
        <f t="shared" ca="1" si="139"/>
        <v>223131390.51352519</v>
      </c>
      <c r="K731" s="86">
        <f ca="1">IF(J731&gt;0,MIN(99,$B$12*Q731/(J731*12*(1-Inputs!$H$16))),99)</f>
        <v>2.3196435342077315</v>
      </c>
      <c r="L731" s="84">
        <f t="shared" ca="1" si="140"/>
        <v>1.1419168603879837</v>
      </c>
      <c r="M731" s="84">
        <f t="shared" ca="1" si="141"/>
        <v>1.0621320951773494</v>
      </c>
      <c r="N731" s="84">
        <f t="shared" ca="1" si="142"/>
        <v>1.0586985730331715</v>
      </c>
      <c r="O731" s="84">
        <f t="shared" ca="1" si="143"/>
        <v>0.99803712423150404</v>
      </c>
      <c r="P731" s="84">
        <f t="shared" ca="1" si="144"/>
        <v>1.0925875005694077</v>
      </c>
      <c r="Q731" s="84">
        <f t="shared" ca="1" si="145"/>
        <v>1.1355646489892766</v>
      </c>
    </row>
    <row r="732" spans="1:17" ht="15" customHeight="1" x14ac:dyDescent="0.2">
      <c r="A732" s="15">
        <v>693</v>
      </c>
      <c r="B732" s="84">
        <f t="shared" ca="1" si="148"/>
        <v>0.55907421658987222</v>
      </c>
      <c r="C732" s="84">
        <f t="shared" ca="1" si="148"/>
        <v>0.39018077959253783</v>
      </c>
      <c r="D732" s="84">
        <f t="shared" ca="1" si="148"/>
        <v>0.86029050593549861</v>
      </c>
      <c r="F732" s="84">
        <f t="shared" ca="1" si="149"/>
        <v>0.23796357295677006</v>
      </c>
      <c r="G732" s="84">
        <f t="shared" ca="1" si="149"/>
        <v>0.93209683371543983</v>
      </c>
      <c r="H732" s="84">
        <f t="shared" ca="1" si="149"/>
        <v>0.82058119732581603</v>
      </c>
      <c r="J732" s="85">
        <f t="shared" ca="1" si="139"/>
        <v>121152033.43808077</v>
      </c>
      <c r="K732" s="86">
        <f ca="1">IF(J732&gt;0,MIN(99,$B$12*Q732/(J732*12*(1-Inputs!$H$16))),99)</f>
        <v>4.7541682975329396</v>
      </c>
      <c r="L732" s="84">
        <f t="shared" ca="1" si="140"/>
        <v>1.0287738941158096</v>
      </c>
      <c r="M732" s="84">
        <f t="shared" ca="1" si="141"/>
        <v>1.0120929184980405</v>
      </c>
      <c r="N732" s="84">
        <f t="shared" ca="1" si="142"/>
        <v>1.0466543571454283</v>
      </c>
      <c r="O732" s="84">
        <f t="shared" ca="1" si="143"/>
        <v>1.0018473925231246</v>
      </c>
      <c r="P732" s="84">
        <f t="shared" ca="1" si="144"/>
        <v>1.6149735280698851</v>
      </c>
      <c r="Q732" s="84">
        <f t="shared" ca="1" si="145"/>
        <v>1.2636744391242609</v>
      </c>
    </row>
    <row r="733" spans="1:17" ht="15" customHeight="1" x14ac:dyDescent="0.2">
      <c r="A733" s="15">
        <v>694</v>
      </c>
      <c r="B733" s="84">
        <f t="shared" ca="1" si="148"/>
        <v>0.94549821037443194</v>
      </c>
      <c r="C733" s="84">
        <f t="shared" ca="1" si="148"/>
        <v>0.25434255711751919</v>
      </c>
      <c r="D733" s="84">
        <f t="shared" ca="1" si="148"/>
        <v>0.52694697146086433</v>
      </c>
      <c r="F733" s="84">
        <f t="shared" ca="1" si="149"/>
        <v>0.28435531350662724</v>
      </c>
      <c r="G733" s="84">
        <f t="shared" ca="1" si="149"/>
        <v>0.87071882421944025</v>
      </c>
      <c r="H733" s="84">
        <f t="shared" ca="1" si="149"/>
        <v>0.94372335854321576</v>
      </c>
      <c r="J733" s="85">
        <f t="shared" ca="1" si="139"/>
        <v>254980172.6402337</v>
      </c>
      <c r="K733" s="86">
        <f ca="1">IF(J733&gt;0,MIN(99,$B$12*Q733/(J733*12*(1-Inputs!$H$16))),99)</f>
        <v>2.4539077458212084</v>
      </c>
      <c r="L733" s="84">
        <f t="shared" ca="1" si="140"/>
        <v>1.1884321302473277</v>
      </c>
      <c r="M733" s="84">
        <f t="shared" ca="1" si="141"/>
        <v>1.0827041721121033</v>
      </c>
      <c r="N733" s="84">
        <f t="shared" ca="1" si="142"/>
        <v>1.0099143744884571</v>
      </c>
      <c r="O733" s="84">
        <f t="shared" ca="1" si="143"/>
        <v>1.0052478839949359</v>
      </c>
      <c r="P733" s="84">
        <f t="shared" ca="1" si="144"/>
        <v>1.5208567791332428</v>
      </c>
      <c r="Q733" s="84">
        <f t="shared" ca="1" si="145"/>
        <v>1.3727598978608513</v>
      </c>
    </row>
    <row r="734" spans="1:17" ht="15" customHeight="1" x14ac:dyDescent="0.2">
      <c r="A734" s="15">
        <v>695</v>
      </c>
      <c r="B734" s="84">
        <f t="shared" ca="1" si="148"/>
        <v>0.44845155568078043</v>
      </c>
      <c r="C734" s="84">
        <f t="shared" ca="1" si="148"/>
        <v>0.38303903000874062</v>
      </c>
      <c r="D734" s="84">
        <f t="shared" ca="1" si="148"/>
        <v>0.73217448132588892</v>
      </c>
      <c r="F734" s="84">
        <f t="shared" ca="1" si="149"/>
        <v>0.5452651502933793</v>
      </c>
      <c r="G734" s="84">
        <f t="shared" ca="1" si="149"/>
        <v>0.6318599848684634</v>
      </c>
      <c r="H734" s="84">
        <f t="shared" ca="1" si="149"/>
        <v>0.42069233554589314</v>
      </c>
      <c r="J734" s="85">
        <f t="shared" ca="1" si="139"/>
        <v>112403409.82677723</v>
      </c>
      <c r="K734" s="86">
        <f ca="1">IF(J734&gt;0,MIN(99,$B$12*Q734/(J734*12*(1-Inputs!$H$16))),99)</f>
        <v>4.3229708627510881</v>
      </c>
      <c r="L734" s="84">
        <f t="shared" ca="1" si="140"/>
        <v>0.99961255533493176</v>
      </c>
      <c r="M734" s="84">
        <f t="shared" ca="1" si="141"/>
        <v>0.99919023926038597</v>
      </c>
      <c r="N734" s="84">
        <f t="shared" ca="1" si="142"/>
        <v>1.0298363177019458</v>
      </c>
      <c r="O734" s="84">
        <f t="shared" ca="1" si="143"/>
        <v>1.0268708138086373</v>
      </c>
      <c r="P734" s="84">
        <f t="shared" ca="1" si="144"/>
        <v>1.2858006180013515</v>
      </c>
      <c r="Q734" s="84">
        <f t="shared" ca="1" si="145"/>
        <v>1.0660847619047982</v>
      </c>
    </row>
    <row r="735" spans="1:17" ht="15" customHeight="1" x14ac:dyDescent="0.2">
      <c r="A735" s="15">
        <v>696</v>
      </c>
      <c r="B735" s="84">
        <f t="shared" ca="1" si="148"/>
        <v>0.35230718957225116</v>
      </c>
      <c r="C735" s="84">
        <f t="shared" ca="1" si="148"/>
        <v>0.90558166088946468</v>
      </c>
      <c r="D735" s="84">
        <f t="shared" ca="1" si="148"/>
        <v>0.85722352334489738</v>
      </c>
      <c r="F735" s="84">
        <f t="shared" ca="1" si="149"/>
        <v>0.15772039609635957</v>
      </c>
      <c r="G735" s="84">
        <f t="shared" ca="1" si="149"/>
        <v>0.90522753666176381</v>
      </c>
      <c r="H735" s="84">
        <f t="shared" ca="1" si="149"/>
        <v>0.65690405289337228</v>
      </c>
      <c r="J735" s="85">
        <f t="shared" ca="1" si="139"/>
        <v>85589793.473285988</v>
      </c>
      <c r="K735" s="86">
        <f ca="1">IF(J735&gt;0,MIN(99,$B$12*Q735/(J735*12*(1-Inputs!$H$16))),99)</f>
        <v>6.2239856330689856</v>
      </c>
      <c r="L735" s="84">
        <f t="shared" ca="1" si="140"/>
        <v>0.97408430080465469</v>
      </c>
      <c r="M735" s="84">
        <f t="shared" ca="1" si="141"/>
        <v>0.98776918391904422</v>
      </c>
      <c r="N735" s="84">
        <f t="shared" ca="1" si="142"/>
        <v>1.0461769398859799</v>
      </c>
      <c r="O735" s="84">
        <f t="shared" ca="1" si="143"/>
        <v>0.99585113746351483</v>
      </c>
      <c r="P735" s="84">
        <f t="shared" ca="1" si="144"/>
        <v>1.5700245499954486</v>
      </c>
      <c r="Q735" s="84">
        <f t="shared" ca="1" si="145"/>
        <v>1.1687469791038949</v>
      </c>
    </row>
    <row r="736" spans="1:17" ht="15" customHeight="1" x14ac:dyDescent="0.2">
      <c r="A736" s="15">
        <v>697</v>
      </c>
      <c r="B736" s="84">
        <f t="shared" ca="1" si="148"/>
        <v>0.62124148936050494</v>
      </c>
      <c r="C736" s="84">
        <f t="shared" ca="1" si="148"/>
        <v>0.82735928217069765</v>
      </c>
      <c r="D736" s="84">
        <f t="shared" ca="1" si="148"/>
        <v>0.48668475546804146</v>
      </c>
      <c r="F736" s="84">
        <f t="shared" ca="1" si="149"/>
        <v>0.86351197752835851</v>
      </c>
      <c r="G736" s="84">
        <f t="shared" ca="1" si="149"/>
        <v>0.37982178388958354</v>
      </c>
      <c r="H736" s="84">
        <f t="shared" ca="1" si="149"/>
        <v>0.69505083901996922</v>
      </c>
      <c r="J736" s="85">
        <f t="shared" ca="1" si="139"/>
        <v>151504065.49431771</v>
      </c>
      <c r="K736" s="86">
        <f ca="1">IF(J736&gt;0,MIN(99,$B$12*Q736/(J736*12*(1-Inputs!$H$16))),99)</f>
        <v>3.5751757430389781</v>
      </c>
      <c r="L736" s="84">
        <f t="shared" ca="1" si="140"/>
        <v>1.0467911149562081</v>
      </c>
      <c r="M736" s="84">
        <f t="shared" ca="1" si="141"/>
        <v>1.020061305103126</v>
      </c>
      <c r="N736" s="84">
        <f t="shared" ca="1" si="142"/>
        <v>1.0065597224353962</v>
      </c>
      <c r="O736" s="84">
        <f t="shared" ca="1" si="143"/>
        <v>1.0652863280621865</v>
      </c>
      <c r="P736" s="84">
        <f t="shared" ca="1" si="144"/>
        <v>1.1139044670264506</v>
      </c>
      <c r="Q736" s="84">
        <f t="shared" ca="1" si="145"/>
        <v>1.1883698461312058</v>
      </c>
    </row>
    <row r="737" spans="1:17" ht="15" customHeight="1" x14ac:dyDescent="0.2">
      <c r="A737" s="15">
        <v>698</v>
      </c>
      <c r="B737" s="84">
        <f t="shared" ca="1" si="148"/>
        <v>2.4454797945089202E-2</v>
      </c>
      <c r="C737" s="84">
        <f t="shared" ca="1" si="148"/>
        <v>0.15874919864664372</v>
      </c>
      <c r="D737" s="84">
        <f t="shared" ca="1" si="148"/>
        <v>0.19873190216586001</v>
      </c>
      <c r="F737" s="84">
        <f t="shared" ca="1" si="149"/>
        <v>0.7029147011589485</v>
      </c>
      <c r="G737" s="84">
        <f t="shared" ca="1" si="149"/>
        <v>0.37994687199110788</v>
      </c>
      <c r="H737" s="84">
        <f t="shared" ca="1" si="149"/>
        <v>0.70374094875381221</v>
      </c>
      <c r="J737" s="85">
        <f t="shared" ca="1" si="139"/>
        <v>11727728.247449338</v>
      </c>
      <c r="K737" s="86">
        <f ca="1">IF(J737&gt;0,MIN(99,$B$12*Q737/(J737*12*(1-Inputs!$H$16))),99)</f>
        <v>46.366028802637246</v>
      </c>
      <c r="L737" s="84">
        <f t="shared" ca="1" si="140"/>
        <v>0.82745154686777633</v>
      </c>
      <c r="M737" s="84">
        <f t="shared" ca="1" si="141"/>
        <v>0.92216733105518278</v>
      </c>
      <c r="N737" s="84">
        <f t="shared" ca="1" si="142"/>
        <v>0.98180535854730644</v>
      </c>
      <c r="O737" s="84">
        <f t="shared" ca="1" si="143"/>
        <v>1.0431600590011325</v>
      </c>
      <c r="P737" s="84">
        <f t="shared" ca="1" si="144"/>
        <v>1.1139799924217684</v>
      </c>
      <c r="Q737" s="84">
        <f t="shared" ca="1" si="145"/>
        <v>1.1930090443238535</v>
      </c>
    </row>
    <row r="738" spans="1:17" ht="15" customHeight="1" x14ac:dyDescent="0.2">
      <c r="A738" s="15">
        <v>699</v>
      </c>
      <c r="B738" s="84">
        <f t="shared" ca="1" si="148"/>
        <v>0.43874780878974107</v>
      </c>
      <c r="C738" s="84">
        <f t="shared" ca="1" si="148"/>
        <v>0.4448278685341478</v>
      </c>
      <c r="D738" s="84">
        <f t="shared" ca="1" si="148"/>
        <v>0.10703030238883571</v>
      </c>
      <c r="F738" s="84">
        <f t="shared" ca="1" si="149"/>
        <v>0.5825054648864687</v>
      </c>
      <c r="G738" s="84">
        <f t="shared" ca="1" si="149"/>
        <v>0.55547226959942153</v>
      </c>
      <c r="H738" s="84">
        <f t="shared" ca="1" si="149"/>
        <v>0.21289598962723344</v>
      </c>
      <c r="J738" s="85">
        <f t="shared" ca="1" si="139"/>
        <v>124997124.73467161</v>
      </c>
      <c r="K738" s="86">
        <f ca="1">IF(J738&gt;0,MIN(99,$B$12*Q738/(J738*12*(1-Inputs!$H$16))),99)</f>
        <v>3.6173853896424766</v>
      </c>
      <c r="L738" s="84">
        <f t="shared" ca="1" si="140"/>
        <v>0.99716914387206401</v>
      </c>
      <c r="M738" s="84">
        <f t="shared" ca="1" si="141"/>
        <v>0.99809708432078825</v>
      </c>
      <c r="N738" s="84">
        <f t="shared" ca="1" si="142"/>
        <v>0.97039575766216379</v>
      </c>
      <c r="O738" s="84">
        <f t="shared" ca="1" si="143"/>
        <v>1.030424138298391</v>
      </c>
      <c r="P738" s="84">
        <f t="shared" ca="1" si="144"/>
        <v>1.2287610007234759</v>
      </c>
      <c r="Q738" s="84">
        <f t="shared" ca="1" si="145"/>
        <v>0.99202986049498842</v>
      </c>
    </row>
    <row r="739" spans="1:17" ht="15" customHeight="1" x14ac:dyDescent="0.2">
      <c r="A739" s="15">
        <v>700</v>
      </c>
      <c r="B739" s="84">
        <f t="shared" ca="1" si="148"/>
        <v>0.72001346186259219</v>
      </c>
      <c r="C739" s="84">
        <f t="shared" ca="1" si="148"/>
        <v>0.96061103972856976</v>
      </c>
      <c r="D739" s="84">
        <f t="shared" ca="1" si="148"/>
        <v>0.48919682265041731</v>
      </c>
      <c r="F739" s="84">
        <f t="shared" ca="1" si="149"/>
        <v>0.7382584169859745</v>
      </c>
      <c r="G739" s="84">
        <f t="shared" ca="1" si="149"/>
        <v>0.29557127921260828</v>
      </c>
      <c r="H739" s="84">
        <f t="shared" ca="1" si="149"/>
        <v>0.70924401882459576</v>
      </c>
      <c r="J739" s="85">
        <f t="shared" ca="1" si="139"/>
        <v>180091494.40654331</v>
      </c>
      <c r="K739" s="86">
        <f ca="1">IF(J739&gt;0,MIN(99,$B$12*Q739/(J739*12*(1-Inputs!$H$16))),99)</f>
        <v>3.0269241526540158</v>
      </c>
      <c r="L739" s="84">
        <f t="shared" ca="1" si="140"/>
        <v>1.0787905481535265</v>
      </c>
      <c r="M739" s="84">
        <f t="shared" ca="1" si="141"/>
        <v>1.0342135351900277</v>
      </c>
      <c r="N739" s="84">
        <f t="shared" ca="1" si="142"/>
        <v>1.0067650916464195</v>
      </c>
      <c r="O739" s="84">
        <f t="shared" ca="1" si="143"/>
        <v>1.0473743924761945</v>
      </c>
      <c r="P739" s="84">
        <f t="shared" ca="1" si="144"/>
        <v>1.0646577475185857</v>
      </c>
      <c r="Q739" s="84">
        <f t="shared" ca="1" si="145"/>
        <v>1.1959821064023823</v>
      </c>
    </row>
    <row r="740" spans="1:17" ht="15" customHeight="1" x14ac:dyDescent="0.2">
      <c r="A740" s="15">
        <v>701</v>
      </c>
      <c r="B740" s="84">
        <f t="shared" ref="B740:D759" ca="1" si="150">RAND()</f>
        <v>0.15070032914069231</v>
      </c>
      <c r="C740" s="84">
        <f t="shared" ca="1" si="150"/>
        <v>0.43688193281706045</v>
      </c>
      <c r="D740" s="84">
        <f t="shared" ca="1" si="150"/>
        <v>0.8812229669107674</v>
      </c>
      <c r="F740" s="84">
        <f t="shared" ref="F740:H759" ca="1" si="151">RAND()</f>
        <v>8.1501022763225017E-2</v>
      </c>
      <c r="G740" s="84">
        <f t="shared" ca="1" si="151"/>
        <v>0.84918321584348344</v>
      </c>
      <c r="H740" s="84">
        <f t="shared" ca="1" si="151"/>
        <v>0.39093713598248003</v>
      </c>
      <c r="J740" s="85">
        <f t="shared" ca="1" si="139"/>
        <v>42944596.72802034</v>
      </c>
      <c r="K740" s="86">
        <f ca="1">IF(J740&gt;0,MIN(99,$B$12*Q740/(J740*12*(1-Inputs!$H$16))),99)</f>
        <v>11.195043651951471</v>
      </c>
      <c r="L740" s="84">
        <f t="shared" ca="1" si="140"/>
        <v>0.90520670884531218</v>
      </c>
      <c r="M740" s="84">
        <f t="shared" ca="1" si="141"/>
        <v>0.95695412021725368</v>
      </c>
      <c r="N740" s="84">
        <f t="shared" ca="1" si="142"/>
        <v>1.0500634361637853</v>
      </c>
      <c r="O740" s="84">
        <f t="shared" ca="1" si="143"/>
        <v>0.9885509212479956</v>
      </c>
      <c r="P740" s="84">
        <f t="shared" ca="1" si="144"/>
        <v>1.493475599351465</v>
      </c>
      <c r="Q740" s="84">
        <f t="shared" ca="1" si="145"/>
        <v>1.0547857686770263</v>
      </c>
    </row>
    <row r="741" spans="1:17" ht="15" customHeight="1" x14ac:dyDescent="0.2">
      <c r="A741" s="15">
        <v>702</v>
      </c>
      <c r="B741" s="84">
        <f t="shared" ca="1" si="150"/>
        <v>0.75275887607266523</v>
      </c>
      <c r="C741" s="84">
        <f t="shared" ca="1" si="150"/>
        <v>0.76548612621255596</v>
      </c>
      <c r="D741" s="84">
        <f t="shared" ca="1" si="150"/>
        <v>0.13597914087886187</v>
      </c>
      <c r="F741" s="84">
        <f t="shared" ca="1" si="151"/>
        <v>0.3125385112339143</v>
      </c>
      <c r="G741" s="84">
        <f t="shared" ca="1" si="151"/>
        <v>0.80351005476779547</v>
      </c>
      <c r="H741" s="84">
        <f t="shared" ca="1" si="151"/>
        <v>0.44702779178002638</v>
      </c>
      <c r="J741" s="85">
        <f t="shared" ca="1" si="139"/>
        <v>189080098.27808315</v>
      </c>
      <c r="K741" s="86">
        <f ca="1">IF(J741&gt;0,MIN(99,$B$12*Q741/(J741*12*(1-Inputs!$H$16))),99)</f>
        <v>2.5945950773505944</v>
      </c>
      <c r="L741" s="84">
        <f t="shared" ca="1" si="140"/>
        <v>1.0906208945134819</v>
      </c>
      <c r="M741" s="84">
        <f t="shared" ca="1" si="141"/>
        <v>1.039445683605327</v>
      </c>
      <c r="N741" s="84">
        <f t="shared" ca="1" si="142"/>
        <v>0.97439633940701598</v>
      </c>
      <c r="O741" s="84">
        <f t="shared" ca="1" si="143"/>
        <v>1.0073677321941195</v>
      </c>
      <c r="P741" s="84">
        <f t="shared" ca="1" si="144"/>
        <v>1.4412506758222794</v>
      </c>
      <c r="Q741" s="84">
        <f t="shared" ca="1" si="145"/>
        <v>1.0763297651765567</v>
      </c>
    </row>
    <row r="742" spans="1:17" ht="15" customHeight="1" x14ac:dyDescent="0.2">
      <c r="A742" s="15">
        <v>703</v>
      </c>
      <c r="B742" s="84">
        <f t="shared" ca="1" si="150"/>
        <v>0.88289018344084569</v>
      </c>
      <c r="C742" s="84">
        <f t="shared" ca="1" si="150"/>
        <v>0.85119339971995112</v>
      </c>
      <c r="D742" s="84">
        <f t="shared" ca="1" si="150"/>
        <v>0.18971911225747262</v>
      </c>
      <c r="F742" s="84">
        <f t="shared" ca="1" si="151"/>
        <v>0.11456986694251514</v>
      </c>
      <c r="G742" s="84">
        <f t="shared" ca="1" si="151"/>
        <v>0.28048325380451677</v>
      </c>
      <c r="H742" s="84">
        <f t="shared" ca="1" si="151"/>
        <v>0.28633805594557504</v>
      </c>
      <c r="J742" s="85">
        <f t="shared" ca="1" si="139"/>
        <v>249570858.45426732</v>
      </c>
      <c r="K742" s="86">
        <f ca="1">IF(J742&gt;0,MIN(99,$B$12*Q742/(J742*12*(1-Inputs!$H$16))),99)</f>
        <v>1.857566963739532</v>
      </c>
      <c r="L742" s="84">
        <f t="shared" ca="1" si="140"/>
        <v>1.1481039804529563</v>
      </c>
      <c r="M742" s="84">
        <f t="shared" ca="1" si="141"/>
        <v>1.0648684419805832</v>
      </c>
      <c r="N742" s="84">
        <f t="shared" ca="1" si="142"/>
        <v>0.9808219150645332</v>
      </c>
      <c r="O742" s="84">
        <f t="shared" ca="1" si="143"/>
        <v>0.99201597821366627</v>
      </c>
      <c r="P742" s="84">
        <f t="shared" ca="1" si="144"/>
        <v>1.0561557655385816</v>
      </c>
      <c r="Q742" s="84">
        <f t="shared" ca="1" si="145"/>
        <v>1.0171108635866797</v>
      </c>
    </row>
    <row r="743" spans="1:17" ht="15" customHeight="1" x14ac:dyDescent="0.2">
      <c r="A743" s="15">
        <v>704</v>
      </c>
      <c r="B743" s="84">
        <f t="shared" ca="1" si="150"/>
        <v>0.26776992488026807</v>
      </c>
      <c r="C743" s="84">
        <f t="shared" ca="1" si="150"/>
        <v>0.59283501066127675</v>
      </c>
      <c r="D743" s="84">
        <f t="shared" ca="1" si="150"/>
        <v>0.40232019620674953</v>
      </c>
      <c r="F743" s="84">
        <f t="shared" ca="1" si="151"/>
        <v>3.6619302262154152E-3</v>
      </c>
      <c r="G743" s="84">
        <f t="shared" ca="1" si="151"/>
        <v>0.15394910914328985</v>
      </c>
      <c r="H743" s="84">
        <f t="shared" ca="1" si="151"/>
        <v>0.93029322408633808</v>
      </c>
      <c r="J743" s="85">
        <f t="shared" ca="1" si="139"/>
        <v>103341982.13644992</v>
      </c>
      <c r="K743" s="86">
        <f ca="1">IF(J743&gt;0,MIN(99,$B$12*Q743/(J743*12*(1-Inputs!$H$16))),99)</f>
        <v>5.9854574652525079</v>
      </c>
      <c r="L743" s="84">
        <f t="shared" ca="1" si="140"/>
        <v>0.94856300455174813</v>
      </c>
      <c r="M743" s="84">
        <f t="shared" ca="1" si="141"/>
        <v>0.9763512416331146</v>
      </c>
      <c r="N743" s="84">
        <f t="shared" ca="1" si="142"/>
        <v>0.99993297259620784</v>
      </c>
      <c r="O743" s="84">
        <f t="shared" ca="1" si="143"/>
        <v>0.97384214654061718</v>
      </c>
      <c r="P743" s="84">
        <f t="shared" ca="1" si="144"/>
        <v>0.98760486002629477</v>
      </c>
      <c r="Q743" s="84">
        <f t="shared" ca="1" si="145"/>
        <v>1.3570757109801403</v>
      </c>
    </row>
    <row r="744" spans="1:17" ht="15" customHeight="1" x14ac:dyDescent="0.2">
      <c r="A744" s="15">
        <v>705</v>
      </c>
      <c r="B744" s="84">
        <f t="shared" ca="1" si="150"/>
        <v>0.44606258685282452</v>
      </c>
      <c r="C744" s="84">
        <f t="shared" ca="1" si="150"/>
        <v>0.24193507219526755</v>
      </c>
      <c r="D744" s="84">
        <f t="shared" ca="1" si="150"/>
        <v>0.77719375265495261</v>
      </c>
      <c r="F744" s="84">
        <f t="shared" ca="1" si="151"/>
        <v>0.24714579452608643</v>
      </c>
      <c r="G744" s="84">
        <f t="shared" ca="1" si="151"/>
        <v>0.16092137936807449</v>
      </c>
      <c r="H744" s="84">
        <f t="shared" ca="1" si="151"/>
        <v>0.50837735426024921</v>
      </c>
      <c r="J744" s="85">
        <f t="shared" ref="J744:J807" ca="1" si="152">$B$5*L744*M744-$B$6*L744*N744-$B$7*L744*M744-$B$8*L744*M744-$B$9*O744-$B$10*P744-$B$11</f>
        <v>126019881.11703889</v>
      </c>
      <c r="K744" s="86">
        <f ca="1">IF(J744&gt;0,MIN(99,$B$12*Q744/(J744*12*(1-Inputs!$H$16))),99)</f>
        <v>3.982830875050106</v>
      </c>
      <c r="L744" s="84">
        <f t="shared" ref="L744:L807" ca="1" si="153">IF($D$16=$B$16,$C$16,IF(B744&lt;($C$16-$B$16)/($D$16-$B$16),$B$16+SQRT(B744*($D$16-$B$16)*($C$16-$B$16)),$D$16-SQRT((1-B744)*($D$16-$B$16)*($D$16-$C$16))))</f>
        <v>0.99901348401590195</v>
      </c>
      <c r="M744" s="84">
        <f t="shared" ref="M744:M807" ca="1" si="154">IF($D$17=$B$17,$C$17,IF(IF($B$33=1,B744,C744)&lt;($C$17-$B$17)/($D$17-$B$17),$B$17+SQRT(IF($B$33=1,B744,C744)*($D$17-$B$17)*($C$17-$B$17)),$D$17-SQRT((1-IF($B$33=1,B744,C744))*($D$17-$B$17)*($D$17-$C$17))))</f>
        <v>0.99892222145760456</v>
      </c>
      <c r="N744" s="84">
        <f t="shared" ref="N744:N807" ca="1" si="155">IF($D$18=$B$18,$C$18,IF(D744&lt;($C$18-$B$18)/($D$18-$B$18),$B$18+SQRT(D744*($D$18-$B$18)*($C$18-$B$18)),$D$18-SQRT((1-D744)*($D$18-$B$18)*($D$18-$C$18))))</f>
        <v>1.0351593364270681</v>
      </c>
      <c r="O744" s="84">
        <f t="shared" ref="O744:O807" ca="1" si="156">IF($D$19=$B$19,$C$19,IF(F744&lt;($C$19-$B$19)/($D$19-$B$19),$B$19+SQRT(F744*($D$19-$B$19)*($C$19-$B$19)),$D$19-SQRT((1-F744)*($D$19-$B$19)*($D$19-$C$19))))</f>
        <v>1.0025120485999612</v>
      </c>
      <c r="P744" s="84">
        <f t="shared" ref="P744:P807" ca="1" si="157">IF($D$20=$B$20,$C$20,IF(G744&lt;($C$20-$B$20)/($D$20-$B$20),$B$20+SQRT(G744*($D$20-$B$20)*($C$20-$B$20)),$D$20-SQRT((1-G744)*($D$20-$B$20)*($D$20-$C$20))))</f>
        <v>0.99147715367809341</v>
      </c>
      <c r="Q744" s="84">
        <f t="shared" ref="Q744:Q807" ca="1" si="158">IF($D$21=$B$21,$C$21,IF(H744&lt;($C$21-$B$21)/($D$21-$B$21),$B$21+SQRT(H744*($D$21-$B$21)*($C$21-$B$21)),$D$21-SQRT((1-H744)*($D$21-$B$21)*($D$21-$C$21))))</f>
        <v>1.1011864838195204</v>
      </c>
    </row>
    <row r="745" spans="1:17" ht="15" customHeight="1" x14ac:dyDescent="0.2">
      <c r="A745" s="15">
        <v>706</v>
      </c>
      <c r="B745" s="84">
        <f t="shared" ca="1" si="150"/>
        <v>0.29470036162872892</v>
      </c>
      <c r="C745" s="84">
        <f t="shared" ca="1" si="150"/>
        <v>0.52501477730408264</v>
      </c>
      <c r="D745" s="84">
        <f t="shared" ca="1" si="150"/>
        <v>0.50806027406757004</v>
      </c>
      <c r="F745" s="84">
        <f t="shared" ca="1" si="151"/>
        <v>0.71887891007937144</v>
      </c>
      <c r="G745" s="84">
        <f t="shared" ca="1" si="151"/>
        <v>0.7987575229022339</v>
      </c>
      <c r="H745" s="84">
        <f t="shared" ca="1" si="151"/>
        <v>0.85342496903931575</v>
      </c>
      <c r="J745" s="85">
        <f t="shared" ca="1" si="152"/>
        <v>78625529.348569617</v>
      </c>
      <c r="K745" s="86">
        <f ca="1">IF(J745&gt;0,MIN(99,$B$12*Q745/(J745*12*(1-Inputs!$H$16))),99)</f>
        <v>7.4637802397573321</v>
      </c>
      <c r="L745" s="84">
        <f t="shared" ca="1" si="153"/>
        <v>0.95708182414297149</v>
      </c>
      <c r="M745" s="84">
        <f t="shared" ca="1" si="154"/>
        <v>0.98016246616783065</v>
      </c>
      <c r="N745" s="84">
        <f t="shared" ca="1" si="155"/>
        <v>1.0083236548565144</v>
      </c>
      <c r="O745" s="84">
        <f t="shared" ca="1" si="156"/>
        <v>1.0450306774437561</v>
      </c>
      <c r="P745" s="84">
        <f t="shared" ca="1" si="157"/>
        <v>1.4361835037989983</v>
      </c>
      <c r="Q745" s="84">
        <f t="shared" ca="1" si="158"/>
        <v>1.2875152078525294</v>
      </c>
    </row>
    <row r="746" spans="1:17" ht="15" customHeight="1" x14ac:dyDescent="0.2">
      <c r="A746" s="15">
        <v>707</v>
      </c>
      <c r="B746" s="84">
        <f t="shared" ca="1" si="150"/>
        <v>0.88650478269011734</v>
      </c>
      <c r="C746" s="84">
        <f t="shared" ca="1" si="150"/>
        <v>0.63615801237979308</v>
      </c>
      <c r="D746" s="84">
        <f t="shared" ca="1" si="150"/>
        <v>3.1671287558576733E-4</v>
      </c>
      <c r="F746" s="84">
        <f t="shared" ca="1" si="151"/>
        <v>0.64993877968944713</v>
      </c>
      <c r="G746" s="84">
        <f t="shared" ca="1" si="151"/>
        <v>0.41074645832928358</v>
      </c>
      <c r="H746" s="84">
        <f t="shared" ca="1" si="151"/>
        <v>0.79199051601573356</v>
      </c>
      <c r="J746" s="85">
        <f t="shared" ca="1" si="152"/>
        <v>250636842.45748585</v>
      </c>
      <c r="K746" s="86">
        <f ca="1">IF(J746&gt;0,MIN(99,$B$12*Q746/(J746*12*(1-Inputs!$H$16))),99)</f>
        <v>2.2634551960452565</v>
      </c>
      <c r="L746" s="84">
        <f t="shared" ca="1" si="153"/>
        <v>1.1500776546005125</v>
      </c>
      <c r="M746" s="84">
        <f t="shared" ca="1" si="154"/>
        <v>1.0657413290245676</v>
      </c>
      <c r="N746" s="84">
        <f t="shared" ca="1" si="155"/>
        <v>0.94064445311528988</v>
      </c>
      <c r="O746" s="84">
        <f t="shared" ca="1" si="156"/>
        <v>1.0372881438597281</v>
      </c>
      <c r="P746" s="84">
        <f t="shared" ca="1" si="157"/>
        <v>1.1328138914886161</v>
      </c>
      <c r="Q746" s="84">
        <f t="shared" ca="1" si="158"/>
        <v>1.244648598227879</v>
      </c>
    </row>
    <row r="747" spans="1:17" ht="15" customHeight="1" x14ac:dyDescent="0.2">
      <c r="A747" s="15">
        <v>708</v>
      </c>
      <c r="B747" s="84">
        <f t="shared" ca="1" si="150"/>
        <v>4.7124852213906276E-2</v>
      </c>
      <c r="C747" s="84">
        <f t="shared" ca="1" si="150"/>
        <v>0.92171743427328956</v>
      </c>
      <c r="D747" s="84">
        <f t="shared" ca="1" si="150"/>
        <v>0.70008867823628518</v>
      </c>
      <c r="F747" s="84">
        <f t="shared" ca="1" si="151"/>
        <v>0.3429056118791598</v>
      </c>
      <c r="G747" s="84">
        <f t="shared" ca="1" si="151"/>
        <v>0.44349157386577631</v>
      </c>
      <c r="H747" s="84">
        <f t="shared" ca="1" si="151"/>
        <v>0.21183443384693812</v>
      </c>
      <c r="J747" s="85">
        <f t="shared" ca="1" si="152"/>
        <v>20391434.042249009</v>
      </c>
      <c r="K747" s="86">
        <f ca="1">IF(J747&gt;0,MIN(99,$B$12*Q747/(J747*12*(1-Inputs!$H$16))),99)</f>
        <v>22.165774482998703</v>
      </c>
      <c r="L747" s="84">
        <f t="shared" ca="1" si="153"/>
        <v>0.847811715225398</v>
      </c>
      <c r="M747" s="84">
        <f t="shared" ca="1" si="154"/>
        <v>0.9312762424888118</v>
      </c>
      <c r="N747" s="84">
        <f t="shared" ca="1" si="155"/>
        <v>1.0263118639042972</v>
      </c>
      <c r="O747" s="84">
        <f t="shared" ca="1" si="156"/>
        <v>1.0097010798706219</v>
      </c>
      <c r="P747" s="84">
        <f t="shared" ca="1" si="157"/>
        <v>1.1533856793282466</v>
      </c>
      <c r="Q747" s="84">
        <f t="shared" ca="1" si="158"/>
        <v>0.99165503365470875</v>
      </c>
    </row>
    <row r="748" spans="1:17" ht="15" customHeight="1" x14ac:dyDescent="0.2">
      <c r="A748" s="15">
        <v>709</v>
      </c>
      <c r="B748" s="84">
        <f t="shared" ca="1" si="150"/>
        <v>0.5712869396897079</v>
      </c>
      <c r="C748" s="84">
        <f t="shared" ca="1" si="150"/>
        <v>0.99430634350426284</v>
      </c>
      <c r="D748" s="84">
        <f t="shared" ca="1" si="150"/>
        <v>0.69324587106474167</v>
      </c>
      <c r="F748" s="84">
        <f t="shared" ca="1" si="151"/>
        <v>0.26799310257345932</v>
      </c>
      <c r="G748" s="84">
        <f t="shared" ca="1" si="151"/>
        <v>0.66704729656098549</v>
      </c>
      <c r="H748" s="84">
        <f t="shared" ca="1" si="151"/>
        <v>4.8562635062828763E-3</v>
      </c>
      <c r="J748" s="85">
        <f t="shared" ca="1" si="152"/>
        <v>139293086.00743949</v>
      </c>
      <c r="K748" s="86">
        <f ca="1">IF(J748&gt;0,MIN(99,$B$12*Q748/(J748*12*(1-Inputs!$H$16))),99)</f>
        <v>2.8289915478396566</v>
      </c>
      <c r="L748" s="84">
        <f t="shared" ca="1" si="153"/>
        <v>1.0322078135675179</v>
      </c>
      <c r="M748" s="84">
        <f t="shared" ca="1" si="154"/>
        <v>1.0136116209663246</v>
      </c>
      <c r="N748" s="84">
        <f t="shared" ca="1" si="155"/>
        <v>1.0255850128500985</v>
      </c>
      <c r="O748" s="84">
        <f t="shared" ca="1" si="156"/>
        <v>1.0040362965768947</v>
      </c>
      <c r="P748" s="84">
        <f t="shared" ca="1" si="157"/>
        <v>1.3140665683818979</v>
      </c>
      <c r="Q748" s="84">
        <f t="shared" ca="1" si="158"/>
        <v>0.86455206316742084</v>
      </c>
    </row>
    <row r="749" spans="1:17" ht="15" customHeight="1" x14ac:dyDescent="0.2">
      <c r="A749" s="15">
        <v>710</v>
      </c>
      <c r="B749" s="84">
        <f t="shared" ca="1" si="150"/>
        <v>0.35613900046455793</v>
      </c>
      <c r="C749" s="84">
        <f t="shared" ca="1" si="150"/>
        <v>0.8082160251056143</v>
      </c>
      <c r="D749" s="84">
        <f t="shared" ca="1" si="150"/>
        <v>0.73648201022954018</v>
      </c>
      <c r="F749" s="84">
        <f t="shared" ca="1" si="151"/>
        <v>0.62117123023742615</v>
      </c>
      <c r="G749" s="84">
        <f t="shared" ca="1" si="151"/>
        <v>0.61278617743978447</v>
      </c>
      <c r="H749" s="84">
        <f t="shared" ca="1" si="151"/>
        <v>0.32619179943170973</v>
      </c>
      <c r="J749" s="85">
        <f t="shared" ca="1" si="152"/>
        <v>94537776.192449465</v>
      </c>
      <c r="K749" s="86">
        <f ca="1">IF(J749&gt;0,MIN(99,$B$12*Q749/(J749*12*(1-Inputs!$H$16))),99)</f>
        <v>4.9713307436484993</v>
      </c>
      <c r="L749" s="84">
        <f t="shared" ca="1" si="153"/>
        <v>0.97516402661882773</v>
      </c>
      <c r="M749" s="84">
        <f t="shared" ca="1" si="154"/>
        <v>0.98825224116302923</v>
      </c>
      <c r="N749" s="84">
        <f t="shared" ca="1" si="155"/>
        <v>1.0303252209537546</v>
      </c>
      <c r="O749" s="84">
        <f t="shared" ca="1" si="156"/>
        <v>1.0342855655426406</v>
      </c>
      <c r="P749" s="84">
        <f t="shared" ca="1" si="157"/>
        <v>1.2710426979241431</v>
      </c>
      <c r="Q749" s="84">
        <f t="shared" ca="1" si="158"/>
        <v>1.0311170814431805</v>
      </c>
    </row>
    <row r="750" spans="1:17" ht="15" customHeight="1" x14ac:dyDescent="0.2">
      <c r="A750" s="15">
        <v>711</v>
      </c>
      <c r="B750" s="84">
        <f t="shared" ca="1" si="150"/>
        <v>0.6134282512276612</v>
      </c>
      <c r="C750" s="84">
        <f t="shared" ca="1" si="150"/>
        <v>0.94105488287568728</v>
      </c>
      <c r="D750" s="84">
        <f t="shared" ca="1" si="150"/>
        <v>0.23934304548037577</v>
      </c>
      <c r="F750" s="84">
        <f t="shared" ca="1" si="151"/>
        <v>0.81795415527426674</v>
      </c>
      <c r="G750" s="84">
        <f t="shared" ca="1" si="151"/>
        <v>0.71781783615918182</v>
      </c>
      <c r="H750" s="84">
        <f t="shared" ca="1" si="151"/>
        <v>0.31055337297292174</v>
      </c>
      <c r="J750" s="85">
        <f t="shared" ca="1" si="152"/>
        <v>146407959.79116392</v>
      </c>
      <c r="K750" s="86">
        <f ca="1">IF(J750&gt;0,MIN(99,$B$12*Q750/(J750*12*(1-Inputs!$H$16))),99)</f>
        <v>3.1928016853353163</v>
      </c>
      <c r="L750" s="84">
        <f t="shared" ca="1" si="153"/>
        <v>1.044449321284459</v>
      </c>
      <c r="M750" s="84">
        <f t="shared" ca="1" si="154"/>
        <v>1.0190256116689866</v>
      </c>
      <c r="N750" s="84">
        <f t="shared" ca="1" si="155"/>
        <v>0.98598239356487249</v>
      </c>
      <c r="O750" s="84">
        <f t="shared" ca="1" si="156"/>
        <v>1.0580762146192868</v>
      </c>
      <c r="P750" s="84">
        <f t="shared" ca="1" si="157"/>
        <v>1.3576303648984327</v>
      </c>
      <c r="Q750" s="84">
        <f t="shared" ca="1" si="158"/>
        <v>1.0255729891782361</v>
      </c>
    </row>
    <row r="751" spans="1:17" ht="15" customHeight="1" x14ac:dyDescent="0.2">
      <c r="A751" s="15">
        <v>712</v>
      </c>
      <c r="B751" s="84">
        <f t="shared" ca="1" si="150"/>
        <v>0.77883633444644051</v>
      </c>
      <c r="C751" s="84">
        <f t="shared" ca="1" si="150"/>
        <v>0.33301664252173924</v>
      </c>
      <c r="D751" s="84">
        <f t="shared" ca="1" si="150"/>
        <v>0.21054092145586101</v>
      </c>
      <c r="F751" s="84">
        <f t="shared" ca="1" si="151"/>
        <v>0.5284894391393884</v>
      </c>
      <c r="G751" s="84">
        <f t="shared" ca="1" si="151"/>
        <v>0.28557014689917726</v>
      </c>
      <c r="H751" s="84">
        <f t="shared" ca="1" si="151"/>
        <v>0.50508595952120117</v>
      </c>
      <c r="J751" s="85">
        <f t="shared" ca="1" si="152"/>
        <v>206154890.78690267</v>
      </c>
      <c r="K751" s="86">
        <f ca="1">IF(J751&gt;0,MIN(99,$B$12*Q751/(J751*12*(1-Inputs!$H$16))),99)</f>
        <v>2.431621584951023</v>
      </c>
      <c r="L751" s="84">
        <f t="shared" ca="1" si="153"/>
        <v>1.1006153561416188</v>
      </c>
      <c r="M751" s="84">
        <f t="shared" ca="1" si="154"/>
        <v>1.0438658844158824</v>
      </c>
      <c r="N751" s="84">
        <f t="shared" ca="1" si="155"/>
        <v>0.98306075716727448</v>
      </c>
      <c r="O751" s="84">
        <f t="shared" ca="1" si="156"/>
        <v>1.0253178062406034</v>
      </c>
      <c r="P751" s="84">
        <f t="shared" ca="1" si="157"/>
        <v>1.0590121401321688</v>
      </c>
      <c r="Q751" s="84">
        <f t="shared" ca="1" si="158"/>
        <v>1.0998148356443729</v>
      </c>
    </row>
    <row r="752" spans="1:17" ht="15" customHeight="1" x14ac:dyDescent="0.2">
      <c r="A752" s="15">
        <v>713</v>
      </c>
      <c r="B752" s="84">
        <f t="shared" ca="1" si="150"/>
        <v>0.88872983758063351</v>
      </c>
      <c r="C752" s="84">
        <f t="shared" ca="1" si="150"/>
        <v>9.9745189727703187E-2</v>
      </c>
      <c r="D752" s="84">
        <f t="shared" ca="1" si="150"/>
        <v>0.52693863125277862</v>
      </c>
      <c r="F752" s="84">
        <f t="shared" ca="1" si="151"/>
        <v>0.12720648906586585</v>
      </c>
      <c r="G752" s="84">
        <f t="shared" ca="1" si="151"/>
        <v>0.51278769705635707</v>
      </c>
      <c r="H752" s="84">
        <f t="shared" ca="1" si="151"/>
        <v>0.79073445750187232</v>
      </c>
      <c r="J752" s="85">
        <f t="shared" ca="1" si="152"/>
        <v>239325836.34672362</v>
      </c>
      <c r="K752" s="86">
        <f ca="1">IF(J752&gt;0,MIN(99,$B$12*Q752/(J752*12*(1-Inputs!$H$16))),99)</f>
        <v>2.3688976605146612</v>
      </c>
      <c r="L752" s="84">
        <f t="shared" ca="1" si="153"/>
        <v>1.1513082568129025</v>
      </c>
      <c r="M752" s="84">
        <f t="shared" ca="1" si="154"/>
        <v>1.0662855813414072</v>
      </c>
      <c r="N752" s="84">
        <f t="shared" ca="1" si="155"/>
        <v>1.0099136651003424</v>
      </c>
      <c r="O752" s="84">
        <f t="shared" ca="1" si="156"/>
        <v>0.99320450646455227</v>
      </c>
      <c r="P752" s="84">
        <f t="shared" ca="1" si="157"/>
        <v>1.1990192905258144</v>
      </c>
      <c r="Q752" s="84">
        <f t="shared" ca="1" si="158"/>
        <v>1.2438437426801214</v>
      </c>
    </row>
    <row r="753" spans="1:17" ht="15" customHeight="1" x14ac:dyDescent="0.2">
      <c r="A753" s="15">
        <v>714</v>
      </c>
      <c r="B753" s="84">
        <f t="shared" ca="1" si="150"/>
        <v>0.24151173268364656</v>
      </c>
      <c r="C753" s="84">
        <f t="shared" ca="1" si="150"/>
        <v>0.23486317230491738</v>
      </c>
      <c r="D753" s="84">
        <f t="shared" ca="1" si="150"/>
        <v>0.36905667138959186</v>
      </c>
      <c r="F753" s="84">
        <f t="shared" ca="1" si="151"/>
        <v>0.50711172670428084</v>
      </c>
      <c r="G753" s="84">
        <f t="shared" ca="1" si="151"/>
        <v>0.70384541994852945</v>
      </c>
      <c r="H753" s="84">
        <f t="shared" ca="1" si="151"/>
        <v>0.88214880914732696</v>
      </c>
      <c r="J753" s="85">
        <f t="shared" ca="1" si="152"/>
        <v>76144840.356279269</v>
      </c>
      <c r="K753" s="86">
        <f ca="1">IF(J753&gt;0,MIN(99,$B$12*Q753/(J753*12*(1-Inputs!$H$16))),99)</f>
        <v>7.8455454243116796</v>
      </c>
      <c r="L753" s="84">
        <f t="shared" ca="1" si="153"/>
        <v>0.93983346118707278</v>
      </c>
      <c r="M753" s="84">
        <f t="shared" ca="1" si="154"/>
        <v>0.9724457416407688</v>
      </c>
      <c r="N753" s="84">
        <f t="shared" ca="1" si="155"/>
        <v>0.99735685882056846</v>
      </c>
      <c r="O753" s="84">
        <f t="shared" ca="1" si="156"/>
        <v>1.0233782720964308</v>
      </c>
      <c r="P753" s="84">
        <f t="shared" ca="1" si="157"/>
        <v>1.3452754097946984</v>
      </c>
      <c r="Q753" s="84">
        <f t="shared" ca="1" si="158"/>
        <v>1.3106706162136874</v>
      </c>
    </row>
    <row r="754" spans="1:17" ht="15" customHeight="1" x14ac:dyDescent="0.2">
      <c r="A754" s="15">
        <v>715</v>
      </c>
      <c r="B754" s="84">
        <f t="shared" ca="1" si="150"/>
        <v>0.15449065496546144</v>
      </c>
      <c r="C754" s="84">
        <f t="shared" ca="1" si="150"/>
        <v>0.78300118924184292</v>
      </c>
      <c r="D754" s="84">
        <f t="shared" ca="1" si="150"/>
        <v>0.97834753678941333</v>
      </c>
      <c r="F754" s="84">
        <f t="shared" ca="1" si="151"/>
        <v>0.69328599373695177</v>
      </c>
      <c r="G754" s="84">
        <f t="shared" ca="1" si="151"/>
        <v>0.46913625640050549</v>
      </c>
      <c r="H754" s="84">
        <f t="shared" ca="1" si="151"/>
        <v>2.4071441239590596E-2</v>
      </c>
      <c r="J754" s="85">
        <f t="shared" ca="1" si="152"/>
        <v>42780950.749680147</v>
      </c>
      <c r="K754" s="86">
        <f ca="1">IF(J754&gt;0,MIN(99,$B$12*Q754/(J754*12*(1-Inputs!$H$16))),99)</f>
        <v>9.5074014726415683</v>
      </c>
      <c r="L754" s="84">
        <f t="shared" ca="1" si="153"/>
        <v>0.90683398152075367</v>
      </c>
      <c r="M754" s="84">
        <f t="shared" ca="1" si="154"/>
        <v>0.9576821437983265</v>
      </c>
      <c r="N754" s="84">
        <f t="shared" ca="1" si="155"/>
        <v>1.0731705045412439</v>
      </c>
      <c r="O754" s="84">
        <f t="shared" ca="1" si="156"/>
        <v>1.0420560481303969</v>
      </c>
      <c r="P754" s="84">
        <f t="shared" ca="1" si="157"/>
        <v>1.1699230620911329</v>
      </c>
      <c r="Q754" s="84">
        <f t="shared" ca="1" si="158"/>
        <v>0.89236433956876515</v>
      </c>
    </row>
    <row r="755" spans="1:17" ht="15" customHeight="1" x14ac:dyDescent="0.2">
      <c r="A755" s="15">
        <v>716</v>
      </c>
      <c r="B755" s="84">
        <f t="shared" ca="1" si="150"/>
        <v>0.3147052485399614</v>
      </c>
      <c r="C755" s="84">
        <f t="shared" ca="1" si="150"/>
        <v>2.3848226606284606E-2</v>
      </c>
      <c r="D755" s="84">
        <f t="shared" ca="1" si="150"/>
        <v>0.14280561741422881</v>
      </c>
      <c r="F755" s="84">
        <f t="shared" ca="1" si="151"/>
        <v>3.5233716771122303E-2</v>
      </c>
      <c r="G755" s="84">
        <f t="shared" ca="1" si="151"/>
        <v>0.76047885682828575</v>
      </c>
      <c r="H755" s="84">
        <f t="shared" ca="1" si="151"/>
        <v>0.83974333858038919</v>
      </c>
      <c r="J755" s="85">
        <f t="shared" ca="1" si="152"/>
        <v>101615268.60665466</v>
      </c>
      <c r="K755" s="86">
        <f ca="1">IF(J755&gt;0,MIN(99,$B$12*Q755/(J755*12*(1-Inputs!$H$16))),99)</f>
        <v>5.7292828261554813</v>
      </c>
      <c r="L755" s="84">
        <f t="shared" ca="1" si="153"/>
        <v>0.96316041151301102</v>
      </c>
      <c r="M755" s="84">
        <f t="shared" ca="1" si="154"/>
        <v>0.98288195812009338</v>
      </c>
      <c r="N755" s="84">
        <f t="shared" ca="1" si="155"/>
        <v>0.9752756123410824</v>
      </c>
      <c r="O755" s="84">
        <f t="shared" ca="1" si="156"/>
        <v>0.98215813255451101</v>
      </c>
      <c r="P755" s="84">
        <f t="shared" ca="1" si="157"/>
        <v>1.3973780389672639</v>
      </c>
      <c r="Q755" s="84">
        <f t="shared" ca="1" si="158"/>
        <v>1.2772890017666159</v>
      </c>
    </row>
    <row r="756" spans="1:17" ht="15" customHeight="1" x14ac:dyDescent="0.2">
      <c r="A756" s="15">
        <v>717</v>
      </c>
      <c r="B756" s="84">
        <f t="shared" ca="1" si="150"/>
        <v>0.71117963702148557</v>
      </c>
      <c r="C756" s="84">
        <f t="shared" ca="1" si="150"/>
        <v>0.60770105430387322</v>
      </c>
      <c r="D756" s="84">
        <f t="shared" ca="1" si="150"/>
        <v>0.16865407406694</v>
      </c>
      <c r="F756" s="84">
        <f t="shared" ca="1" si="151"/>
        <v>0.16793537697146399</v>
      </c>
      <c r="G756" s="84">
        <f t="shared" ca="1" si="151"/>
        <v>0.38121722384668477</v>
      </c>
      <c r="H756" s="84">
        <f t="shared" ca="1" si="151"/>
        <v>0.6951211796685457</v>
      </c>
      <c r="J756" s="85">
        <f t="shared" ca="1" si="152"/>
        <v>190912561.77889693</v>
      </c>
      <c r="K756" s="86">
        <f ca="1">IF(J756&gt;0,MIN(99,$B$12*Q756/(J756*12*(1-Inputs!$H$16))),99)</f>
        <v>2.8372708884110018</v>
      </c>
      <c r="L756" s="84">
        <f t="shared" ca="1" si="153"/>
        <v>1.0757192936846476</v>
      </c>
      <c r="M756" s="84">
        <f t="shared" ca="1" si="154"/>
        <v>1.0328552267590319</v>
      </c>
      <c r="N756" s="84">
        <f t="shared" ca="1" si="155"/>
        <v>0.97842798553096777</v>
      </c>
      <c r="O756" s="84">
        <f t="shared" ca="1" si="156"/>
        <v>0.99667879100317469</v>
      </c>
      <c r="P756" s="84">
        <f t="shared" ca="1" si="157"/>
        <v>1.1147474343954995</v>
      </c>
      <c r="Q756" s="84">
        <f t="shared" ca="1" si="158"/>
        <v>1.188407130042878</v>
      </c>
    </row>
    <row r="757" spans="1:17" ht="15" customHeight="1" x14ac:dyDescent="0.2">
      <c r="A757" s="15">
        <v>718</v>
      </c>
      <c r="B757" s="84">
        <f t="shared" ca="1" si="150"/>
        <v>0.8193875860789227</v>
      </c>
      <c r="C757" s="84">
        <f t="shared" ca="1" si="150"/>
        <v>0.5784575671227542</v>
      </c>
      <c r="D757" s="84">
        <f t="shared" ca="1" si="150"/>
        <v>0.46094648163407781</v>
      </c>
      <c r="F757" s="84">
        <f t="shared" ca="1" si="151"/>
        <v>0.45055635953902884</v>
      </c>
      <c r="G757" s="84">
        <f t="shared" ca="1" si="151"/>
        <v>0.14077143354153177</v>
      </c>
      <c r="H757" s="84">
        <f t="shared" ca="1" si="151"/>
        <v>0.48314046962601709</v>
      </c>
      <c r="J757" s="85">
        <f t="shared" ca="1" si="152"/>
        <v>218144112.86035311</v>
      </c>
      <c r="K757" s="86">
        <f ca="1">IF(J757&gt;0,MIN(99,$B$12*Q757/(J757*12*(1-Inputs!$H$16))),99)</f>
        <v>2.2791093087472611</v>
      </c>
      <c r="L757" s="84">
        <f t="shared" ca="1" si="153"/>
        <v>1.1174112728836605</v>
      </c>
      <c r="M757" s="84">
        <f t="shared" ca="1" si="154"/>
        <v>1.0512941309347532</v>
      </c>
      <c r="N757" s="84">
        <f t="shared" ca="1" si="155"/>
        <v>1.0044838208051343</v>
      </c>
      <c r="O757" s="84">
        <f t="shared" ca="1" si="156"/>
        <v>1.018441209175909</v>
      </c>
      <c r="P757" s="84">
        <f t="shared" ca="1" si="157"/>
        <v>0.9800386977923814</v>
      </c>
      <c r="Q757" s="84">
        <f t="shared" ca="1" si="158"/>
        <v>1.0907835841925471</v>
      </c>
    </row>
    <row r="758" spans="1:17" ht="15" customHeight="1" x14ac:dyDescent="0.2">
      <c r="A758" s="15">
        <v>719</v>
      </c>
      <c r="B758" s="84">
        <f t="shared" ca="1" si="150"/>
        <v>0.4706693451464522</v>
      </c>
      <c r="C758" s="84">
        <f t="shared" ca="1" si="150"/>
        <v>0.52738548622811754</v>
      </c>
      <c r="D758" s="84">
        <f t="shared" ca="1" si="150"/>
        <v>0.64090558850860491</v>
      </c>
      <c r="F758" s="84">
        <f t="shared" ca="1" si="151"/>
        <v>0.91249765497915969</v>
      </c>
      <c r="G758" s="84">
        <f t="shared" ca="1" si="151"/>
        <v>0.18887165265911776</v>
      </c>
      <c r="H758" s="84">
        <f t="shared" ca="1" si="151"/>
        <v>0.85644006647849613</v>
      </c>
      <c r="J758" s="85">
        <f t="shared" ca="1" si="152"/>
        <v>121017082.41738077</v>
      </c>
      <c r="K758" s="86">
        <f ca="1">IF(J758&gt;0,MIN(99,$B$12*Q758/(J758*12*(1-Inputs!$H$16))),99)</f>
        <v>4.8579897861778569</v>
      </c>
      <c r="L758" s="84">
        <f t="shared" ca="1" si="153"/>
        <v>1.0052168184590395</v>
      </c>
      <c r="M758" s="84">
        <f t="shared" ca="1" si="154"/>
        <v>1.0016744478703452</v>
      </c>
      <c r="N758" s="84">
        <f t="shared" ca="1" si="155"/>
        <v>1.0202741705643474</v>
      </c>
      <c r="O758" s="84">
        <f t="shared" ca="1" si="156"/>
        <v>1.0745639476996607</v>
      </c>
      <c r="P758" s="84">
        <f t="shared" ca="1" si="157"/>
        <v>1.0063434985136215</v>
      </c>
      <c r="Q758" s="84">
        <f t="shared" ca="1" si="158"/>
        <v>1.2898322074335058</v>
      </c>
    </row>
    <row r="759" spans="1:17" ht="15" customHeight="1" x14ac:dyDescent="0.2">
      <c r="A759" s="15">
        <v>720</v>
      </c>
      <c r="B759" s="84">
        <f t="shared" ca="1" si="150"/>
        <v>0.48408991131330914</v>
      </c>
      <c r="C759" s="84">
        <f t="shared" ca="1" si="150"/>
        <v>0.11569887585577321</v>
      </c>
      <c r="D759" s="84">
        <f t="shared" ca="1" si="150"/>
        <v>0.36127484928674891</v>
      </c>
      <c r="F759" s="84">
        <f t="shared" ca="1" si="151"/>
        <v>0.19251781443647498</v>
      </c>
      <c r="G759" s="84">
        <f t="shared" ca="1" si="151"/>
        <v>0.69318184615751344</v>
      </c>
      <c r="H759" s="84">
        <f t="shared" ca="1" si="151"/>
        <v>0.33826551443375452</v>
      </c>
      <c r="J759" s="85">
        <f t="shared" ca="1" si="152"/>
        <v>128794437.90759854</v>
      </c>
      <c r="K759" s="86">
        <f ca="1">IF(J759&gt;0,MIN(99,$B$12*Q759/(J759*12*(1-Inputs!$H$16))),99)</f>
        <v>3.6643635056531467</v>
      </c>
      <c r="L759" s="84">
        <f t="shared" ca="1" si="153"/>
        <v>1.0086587955377162</v>
      </c>
      <c r="M759" s="84">
        <f t="shared" ca="1" si="154"/>
        <v>1.0031967139452129</v>
      </c>
      <c r="N759" s="84">
        <f t="shared" ca="1" si="155"/>
        <v>0.99673762239009733</v>
      </c>
      <c r="O759" s="84">
        <f t="shared" ca="1" si="156"/>
        <v>0.9985728365336819</v>
      </c>
      <c r="P759" s="84">
        <f t="shared" ca="1" si="157"/>
        <v>1.3360412097397709</v>
      </c>
      <c r="Q759" s="84">
        <f t="shared" ca="1" si="158"/>
        <v>1.0354415749113746</v>
      </c>
    </row>
    <row r="760" spans="1:17" ht="15" customHeight="1" x14ac:dyDescent="0.2">
      <c r="A760" s="15">
        <v>721</v>
      </c>
      <c r="B760" s="84">
        <f t="shared" ref="B760:D779" ca="1" si="159">RAND()</f>
        <v>0.38467425069838634</v>
      </c>
      <c r="C760" s="84">
        <f t="shared" ca="1" si="159"/>
        <v>0.69086127338009296</v>
      </c>
      <c r="D760" s="84">
        <f t="shared" ca="1" si="159"/>
        <v>0.35481524064241188</v>
      </c>
      <c r="F760" s="84">
        <f t="shared" ref="F760:H779" ca="1" si="160">RAND()</f>
        <v>0.5366654677129431</v>
      </c>
      <c r="G760" s="84">
        <f t="shared" ca="1" si="160"/>
        <v>0.65118047460876294</v>
      </c>
      <c r="H760" s="84">
        <f t="shared" ca="1" si="160"/>
        <v>0.98611359691191025</v>
      </c>
      <c r="J760" s="85">
        <f t="shared" ca="1" si="152"/>
        <v>107443541.11130406</v>
      </c>
      <c r="K760" s="86">
        <f ca="1">IF(J760&gt;0,MIN(99,$B$12*Q760/(J760*12*(1-Inputs!$H$16))),99)</f>
        <v>6.1199717167286272</v>
      </c>
      <c r="L760" s="84">
        <f t="shared" ca="1" si="153"/>
        <v>0.98302849132647308</v>
      </c>
      <c r="M760" s="84">
        <f t="shared" ca="1" si="154"/>
        <v>0.99177071464696909</v>
      </c>
      <c r="N760" s="84">
        <f t="shared" ca="1" si="155"/>
        <v>0.99621851662523353</v>
      </c>
      <c r="O760" s="84">
        <f t="shared" ca="1" si="156"/>
        <v>1.0260711871028005</v>
      </c>
      <c r="P760" s="84">
        <f t="shared" ca="1" si="157"/>
        <v>1.3011446182382529</v>
      </c>
      <c r="Q760" s="84">
        <f t="shared" ca="1" si="158"/>
        <v>1.4426456475182716</v>
      </c>
    </row>
    <row r="761" spans="1:17" ht="15" customHeight="1" x14ac:dyDescent="0.2">
      <c r="A761" s="15">
        <v>722</v>
      </c>
      <c r="B761" s="84">
        <f t="shared" ca="1" si="159"/>
        <v>0.83011245575927717</v>
      </c>
      <c r="C761" s="84">
        <f t="shared" ca="1" si="159"/>
        <v>0.8026948740527905</v>
      </c>
      <c r="D761" s="84">
        <f t="shared" ca="1" si="159"/>
        <v>0.96035814554395316</v>
      </c>
      <c r="F761" s="84">
        <f t="shared" ca="1" si="160"/>
        <v>0.95787442938149103</v>
      </c>
      <c r="G761" s="84">
        <f t="shared" ca="1" si="160"/>
        <v>0.77620985879227089</v>
      </c>
      <c r="H761" s="84">
        <f t="shared" ca="1" si="160"/>
        <v>0.17332454714481738</v>
      </c>
      <c r="J761" s="85">
        <f t="shared" ca="1" si="152"/>
        <v>179088759.82652062</v>
      </c>
      <c r="K761" s="86">
        <f ca="1">IF(J761&gt;0,MIN(99,$B$12*Q761/(J761*12*(1-Inputs!$H$16))),99)</f>
        <v>2.4874563665158722</v>
      </c>
      <c r="L761" s="84">
        <f t="shared" ca="1" si="153"/>
        <v>1.1221617281794269</v>
      </c>
      <c r="M761" s="84">
        <f t="shared" ca="1" si="154"/>
        <v>1.053395091159538</v>
      </c>
      <c r="N761" s="84">
        <f t="shared" ca="1" si="155"/>
        <v>1.0670916738120666</v>
      </c>
      <c r="O761" s="84">
        <f t="shared" ca="1" si="156"/>
        <v>1.0859743963786368</v>
      </c>
      <c r="P761" s="84">
        <f t="shared" ca="1" si="157"/>
        <v>1.4129201824482016</v>
      </c>
      <c r="Q761" s="84">
        <f t="shared" ca="1" si="158"/>
        <v>0.97735815669595549</v>
      </c>
    </row>
    <row r="762" spans="1:17" ht="15" customHeight="1" x14ac:dyDescent="0.2">
      <c r="A762" s="15">
        <v>723</v>
      </c>
      <c r="B762" s="84">
        <f t="shared" ca="1" si="159"/>
        <v>5.0122831031656823E-2</v>
      </c>
      <c r="C762" s="84">
        <f t="shared" ca="1" si="159"/>
        <v>0.4549692248879651</v>
      </c>
      <c r="D762" s="84">
        <f t="shared" ca="1" si="159"/>
        <v>0.91683358599756992</v>
      </c>
      <c r="F762" s="84">
        <f t="shared" ca="1" si="160"/>
        <v>0.79063420970227938</v>
      </c>
      <c r="G762" s="84">
        <f t="shared" ca="1" si="160"/>
        <v>0.47147171708805913</v>
      </c>
      <c r="H762" s="84">
        <f t="shared" ca="1" si="160"/>
        <v>3.7679630372647654E-2</v>
      </c>
      <c r="J762" s="85">
        <f t="shared" ca="1" si="152"/>
        <v>8149698.7899381667</v>
      </c>
      <c r="K762" s="86">
        <f ca="1">IF(J762&gt;0,MIN(99,$B$12*Q762/(J762*12*(1-Inputs!$H$16))),99)</f>
        <v>50.617209604546041</v>
      </c>
      <c r="L762" s="84">
        <f t="shared" ca="1" si="153"/>
        <v>0.8500920667651477</v>
      </c>
      <c r="M762" s="84">
        <f t="shared" ca="1" si="154"/>
        <v>0.93229644624392183</v>
      </c>
      <c r="N762" s="84">
        <f t="shared" ca="1" si="155"/>
        <v>1.0566453410695873</v>
      </c>
      <c r="O762" s="84">
        <f t="shared" ca="1" si="156"/>
        <v>1.0541833815405728</v>
      </c>
      <c r="P762" s="84">
        <f t="shared" ca="1" si="157"/>
        <v>1.1714487750395275</v>
      </c>
      <c r="Q762" s="84">
        <f t="shared" ca="1" si="158"/>
        <v>0.90504401141107782</v>
      </c>
    </row>
    <row r="763" spans="1:17" ht="15" customHeight="1" x14ac:dyDescent="0.2">
      <c r="A763" s="15">
        <v>724</v>
      </c>
      <c r="B763" s="84">
        <f t="shared" ca="1" si="159"/>
        <v>0.406032412029245</v>
      </c>
      <c r="C763" s="84">
        <f t="shared" ca="1" si="159"/>
        <v>0.48525445810066081</v>
      </c>
      <c r="D763" s="84">
        <f t="shared" ca="1" si="159"/>
        <v>0.15733111652723553</v>
      </c>
      <c r="F763" s="84">
        <f t="shared" ca="1" si="160"/>
        <v>0.99657192688676954</v>
      </c>
      <c r="G763" s="84">
        <f t="shared" ca="1" si="160"/>
        <v>0.731600137522188</v>
      </c>
      <c r="H763" s="84">
        <f t="shared" ca="1" si="160"/>
        <v>0.4610727585299822</v>
      </c>
      <c r="J763" s="85">
        <f t="shared" ca="1" si="152"/>
        <v>99844040.863467172</v>
      </c>
      <c r="K763" s="86">
        <f ca="1">IF(J763&gt;0,MIN(99,$B$12*Q763/(J763*12*(1-Inputs!$H$16))),99)</f>
        <v>4.9389243388956698</v>
      </c>
      <c r="L763" s="84">
        <f t="shared" ca="1" si="153"/>
        <v>0.98872563335568819</v>
      </c>
      <c r="M763" s="84">
        <f t="shared" ca="1" si="154"/>
        <v>0.9943195522232311</v>
      </c>
      <c r="N763" s="84">
        <f t="shared" ca="1" si="155"/>
        <v>0.9770791607738647</v>
      </c>
      <c r="O763" s="84">
        <f t="shared" ca="1" si="156"/>
        <v>1.1044572637191454</v>
      </c>
      <c r="P763" s="84">
        <f t="shared" ca="1" si="157"/>
        <v>1.3701206717736567</v>
      </c>
      <c r="Q763" s="84">
        <f t="shared" ca="1" si="158"/>
        <v>1.081893381202744</v>
      </c>
    </row>
    <row r="764" spans="1:17" ht="15" customHeight="1" x14ac:dyDescent="0.2">
      <c r="A764" s="15">
        <v>725</v>
      </c>
      <c r="B764" s="84">
        <f t="shared" ca="1" si="159"/>
        <v>0.43668561241415327</v>
      </c>
      <c r="C764" s="84">
        <f t="shared" ca="1" si="159"/>
        <v>9.3284605950161303E-2</v>
      </c>
      <c r="D764" s="84">
        <f t="shared" ca="1" si="159"/>
        <v>0.81039678555556571</v>
      </c>
      <c r="F764" s="84">
        <f t="shared" ca="1" si="160"/>
        <v>0.58757870662803435</v>
      </c>
      <c r="G764" s="84">
        <f t="shared" ca="1" si="160"/>
        <v>0.10699539778617584</v>
      </c>
      <c r="H764" s="84">
        <f t="shared" ca="1" si="160"/>
        <v>0.50650098156914125</v>
      </c>
      <c r="J764" s="85">
        <f t="shared" ca="1" si="152"/>
        <v>119927490.06593351</v>
      </c>
      <c r="K764" s="86">
        <f ca="1">IF(J764&gt;0,MIN(99,$B$12*Q764/(J764*12*(1-Inputs!$H$16))),99)</f>
        <v>4.1821871356206124</v>
      </c>
      <c r="L764" s="84">
        <f t="shared" ca="1" si="153"/>
        <v>0.99664641074601734</v>
      </c>
      <c r="M764" s="84">
        <f t="shared" ca="1" si="154"/>
        <v>0.99786321937110078</v>
      </c>
      <c r="N764" s="84">
        <f t="shared" ca="1" si="155"/>
        <v>1.0394403344718548</v>
      </c>
      <c r="O764" s="84">
        <f t="shared" ca="1" si="156"/>
        <v>1.0309202830698845</v>
      </c>
      <c r="P764" s="84">
        <f t="shared" ca="1" si="157"/>
        <v>0.95884354885085321</v>
      </c>
      <c r="Q764" s="84">
        <f t="shared" ca="1" si="158"/>
        <v>1.1004039679737512</v>
      </c>
    </row>
    <row r="765" spans="1:17" ht="15" customHeight="1" x14ac:dyDescent="0.2">
      <c r="A765" s="15">
        <v>726</v>
      </c>
      <c r="B765" s="84">
        <f t="shared" ca="1" si="159"/>
        <v>0.61254898507974087</v>
      </c>
      <c r="C765" s="84">
        <f t="shared" ca="1" si="159"/>
        <v>0.71567026339232809</v>
      </c>
      <c r="D765" s="84">
        <f t="shared" ca="1" si="159"/>
        <v>0.25011558983963345</v>
      </c>
      <c r="F765" s="84">
        <f t="shared" ca="1" si="160"/>
        <v>0.76607040683944783</v>
      </c>
      <c r="G765" s="84">
        <f t="shared" ca="1" si="160"/>
        <v>0.90587801702850212</v>
      </c>
      <c r="H765" s="84">
        <f t="shared" ca="1" si="160"/>
        <v>0.14471746895109505</v>
      </c>
      <c r="J765" s="85">
        <f t="shared" ca="1" si="152"/>
        <v>139116988.85782957</v>
      </c>
      <c r="K765" s="86">
        <f ca="1">IF(J765&gt;0,MIN(99,$B$12*Q765/(J765*12*(1-Inputs!$H$16))),99)</f>
        <v>3.1638814532602679</v>
      </c>
      <c r="L765" s="84">
        <f t="shared" ca="1" si="153"/>
        <v>1.0441872738527278</v>
      </c>
      <c r="M765" s="84">
        <f t="shared" ca="1" si="154"/>
        <v>1.0189097172553365</v>
      </c>
      <c r="N765" s="84">
        <f t="shared" ca="1" si="155"/>
        <v>0.98702955985695939</v>
      </c>
      <c r="O765" s="84">
        <f t="shared" ca="1" si="156"/>
        <v>1.0508952155402047</v>
      </c>
      <c r="P765" s="84">
        <f t="shared" ca="1" si="157"/>
        <v>1.5710309105339171</v>
      </c>
      <c r="Q765" s="84">
        <f t="shared" ca="1" si="158"/>
        <v>0.96567349853396367</v>
      </c>
    </row>
    <row r="766" spans="1:17" ht="15" customHeight="1" x14ac:dyDescent="0.2">
      <c r="A766" s="15">
        <v>727</v>
      </c>
      <c r="B766" s="84">
        <f t="shared" ca="1" si="159"/>
        <v>0.33909854284511176</v>
      </c>
      <c r="C766" s="84">
        <f t="shared" ca="1" si="159"/>
        <v>0.93733987342725877</v>
      </c>
      <c r="D766" s="84">
        <f t="shared" ca="1" si="159"/>
        <v>0.8722901311440262</v>
      </c>
      <c r="F766" s="84">
        <f t="shared" ca="1" si="160"/>
        <v>6.3263531631365666E-2</v>
      </c>
      <c r="G766" s="84">
        <f t="shared" ca="1" si="160"/>
        <v>0.84345745518055248</v>
      </c>
      <c r="H766" s="84">
        <f t="shared" ca="1" si="160"/>
        <v>0.69796526929808256</v>
      </c>
      <c r="J766" s="85">
        <f t="shared" ca="1" si="152"/>
        <v>87245616.291237757</v>
      </c>
      <c r="K766" s="86">
        <f ca="1">IF(J766&gt;0,MIN(99,$B$12*Q766/(J766*12*(1-Inputs!$H$16))),99)</f>
        <v>6.2164661096679188</v>
      </c>
      <c r="L766" s="84">
        <f t="shared" ca="1" si="153"/>
        <v>0.97031663029572024</v>
      </c>
      <c r="M766" s="84">
        <f t="shared" ca="1" si="154"/>
        <v>0.98608357030455107</v>
      </c>
      <c r="N766" s="84">
        <f t="shared" ca="1" si="155"/>
        <v>1.0485746147454229</v>
      </c>
      <c r="O766" s="84">
        <f t="shared" ca="1" si="156"/>
        <v>0.98633048804196743</v>
      </c>
      <c r="P766" s="84">
        <f t="shared" ca="1" si="157"/>
        <v>1.4865308401862303</v>
      </c>
      <c r="Q766" s="84">
        <f t="shared" ca="1" si="158"/>
        <v>1.189918253088188</v>
      </c>
    </row>
    <row r="767" spans="1:17" ht="15" customHeight="1" x14ac:dyDescent="0.2">
      <c r="A767" s="15">
        <v>728</v>
      </c>
      <c r="B767" s="84">
        <f t="shared" ca="1" si="159"/>
        <v>0.67704625248887218</v>
      </c>
      <c r="C767" s="84">
        <f t="shared" ca="1" si="159"/>
        <v>0.22526060729265918</v>
      </c>
      <c r="D767" s="84">
        <f t="shared" ca="1" si="159"/>
        <v>0.66671515786545998</v>
      </c>
      <c r="F767" s="84">
        <f t="shared" ca="1" si="160"/>
        <v>0.23797643855354145</v>
      </c>
      <c r="G767" s="84">
        <f t="shared" ca="1" si="160"/>
        <v>0.45678027921666731</v>
      </c>
      <c r="H767" s="84">
        <f t="shared" ca="1" si="160"/>
        <v>0.71233716413443826</v>
      </c>
      <c r="J767" s="85">
        <f t="shared" ca="1" si="152"/>
        <v>169472234.11747229</v>
      </c>
      <c r="K767" s="86">
        <f ca="1">IF(J767&gt;0,MIN(99,$B$12*Q767/(J767*12*(1-Inputs!$H$16))),99)</f>
        <v>3.2211211739440282</v>
      </c>
      <c r="L767" s="84">
        <f t="shared" ca="1" si="153"/>
        <v>1.064272355200415</v>
      </c>
      <c r="M767" s="84">
        <f t="shared" ca="1" si="154"/>
        <v>1.0277926462370417</v>
      </c>
      <c r="N767" s="84">
        <f t="shared" ca="1" si="155"/>
        <v>1.0228407993209006</v>
      </c>
      <c r="O767" s="84">
        <f t="shared" ca="1" si="156"/>
        <v>1.0018483209907441</v>
      </c>
      <c r="P767" s="84">
        <f t="shared" ca="1" si="157"/>
        <v>1.1619063991590037</v>
      </c>
      <c r="Q767" s="84">
        <f t="shared" ca="1" si="158"/>
        <v>1.1976655533862306</v>
      </c>
    </row>
    <row r="768" spans="1:17" ht="15" customHeight="1" x14ac:dyDescent="0.2">
      <c r="A768" s="15">
        <v>729</v>
      </c>
      <c r="B768" s="84">
        <f t="shared" ca="1" si="159"/>
        <v>0.20521888880169714</v>
      </c>
      <c r="C768" s="84">
        <f t="shared" ca="1" si="159"/>
        <v>0.22178242717490748</v>
      </c>
      <c r="D768" s="84">
        <f t="shared" ca="1" si="159"/>
        <v>0.65302939716114394</v>
      </c>
      <c r="F768" s="84">
        <f t="shared" ca="1" si="160"/>
        <v>0.37965820994976163</v>
      </c>
      <c r="G768" s="84">
        <f t="shared" ca="1" si="160"/>
        <v>0.88874686313259921</v>
      </c>
      <c r="H768" s="84">
        <f t="shared" ca="1" si="160"/>
        <v>0.86783891134529878</v>
      </c>
      <c r="J768" s="85">
        <f t="shared" ca="1" si="152"/>
        <v>56871152.464613631</v>
      </c>
      <c r="K768" s="86">
        <f ca="1">IF(J768&gt;0,MIN(99,$B$12*Q768/(J768*12*(1-Inputs!$H$16))),99)</f>
        <v>10.409428575871265</v>
      </c>
      <c r="L768" s="84">
        <f t="shared" ca="1" si="153"/>
        <v>0.92694447995959228</v>
      </c>
      <c r="M768" s="84">
        <f t="shared" ca="1" si="154"/>
        <v>0.96667935570482544</v>
      </c>
      <c r="N768" s="84">
        <f t="shared" ca="1" si="155"/>
        <v>1.0214679156097921</v>
      </c>
      <c r="O768" s="84">
        <f t="shared" ca="1" si="156"/>
        <v>1.0125984317720111</v>
      </c>
      <c r="P768" s="84">
        <f t="shared" ca="1" si="157"/>
        <v>1.5455907545677536</v>
      </c>
      <c r="Q768" s="84">
        <f t="shared" ca="1" si="158"/>
        <v>1.2988196788571398</v>
      </c>
    </row>
    <row r="769" spans="1:17" ht="15" customHeight="1" x14ac:dyDescent="0.2">
      <c r="A769" s="15">
        <v>730</v>
      </c>
      <c r="B769" s="84">
        <f t="shared" ca="1" si="159"/>
        <v>0.49564724716438824</v>
      </c>
      <c r="C769" s="84">
        <f t="shared" ca="1" si="159"/>
        <v>0.85013413616138533</v>
      </c>
      <c r="D769" s="84">
        <f t="shared" ca="1" si="159"/>
        <v>0.47451838435911664</v>
      </c>
      <c r="F769" s="84">
        <f t="shared" ca="1" si="160"/>
        <v>0.47885019782266036</v>
      </c>
      <c r="G769" s="84">
        <f t="shared" ca="1" si="160"/>
        <v>0.16761457185899287</v>
      </c>
      <c r="H769" s="84">
        <f t="shared" ca="1" si="160"/>
        <v>0.10550475262316716</v>
      </c>
      <c r="J769" s="85">
        <f t="shared" ca="1" si="152"/>
        <v>138173320.7121582</v>
      </c>
      <c r="K769" s="86">
        <f ca="1">IF(J769&gt;0,MIN(99,$B$12*Q769/(J769*12*(1-Inputs!$H$16))),99)</f>
        <v>3.1257997460128415</v>
      </c>
      <c r="L769" s="84">
        <f t="shared" ca="1" si="153"/>
        <v>1.0116589596836516</v>
      </c>
      <c r="M769" s="84">
        <f t="shared" ca="1" si="154"/>
        <v>1.0045235816128348</v>
      </c>
      <c r="N769" s="84">
        <f t="shared" ca="1" si="155"/>
        <v>1.0055721202561028</v>
      </c>
      <c r="O769" s="84">
        <f t="shared" ca="1" si="156"/>
        <v>1.0208776471574139</v>
      </c>
      <c r="P769" s="84">
        <f t="shared" ca="1" si="157"/>
        <v>0.99511628585079248</v>
      </c>
      <c r="Q769" s="84">
        <f t="shared" ca="1" si="158"/>
        <v>0.94757869590904176</v>
      </c>
    </row>
    <row r="770" spans="1:17" ht="15" customHeight="1" x14ac:dyDescent="0.2">
      <c r="A770" s="15">
        <v>731</v>
      </c>
      <c r="B770" s="84">
        <f t="shared" ca="1" si="159"/>
        <v>0.22341317325347165</v>
      </c>
      <c r="C770" s="84">
        <f t="shared" ca="1" si="159"/>
        <v>0.30295408130199031</v>
      </c>
      <c r="D770" s="84">
        <f t="shared" ca="1" si="159"/>
        <v>0.23182011365618738</v>
      </c>
      <c r="F770" s="84">
        <f t="shared" ca="1" si="160"/>
        <v>0.64715578123071893</v>
      </c>
      <c r="G770" s="84">
        <f t="shared" ca="1" si="160"/>
        <v>0.9918574434426487</v>
      </c>
      <c r="H770" s="84">
        <f t="shared" ca="1" si="160"/>
        <v>0.17648354962060331</v>
      </c>
      <c r="J770" s="85">
        <f t="shared" ca="1" si="152"/>
        <v>55740378.061115608</v>
      </c>
      <c r="K770" s="86">
        <f ca="1">IF(J770&gt;0,MIN(99,$B$12*Q770/(J770*12*(1-Inputs!$H$16))),99)</f>
        <v>8.0020212461011351</v>
      </c>
      <c r="L770" s="84">
        <f t="shared" ca="1" si="153"/>
        <v>0.93353700511557403</v>
      </c>
      <c r="M770" s="84">
        <f t="shared" ca="1" si="154"/>
        <v>0.96962877767005839</v>
      </c>
      <c r="N770" s="84">
        <f t="shared" ca="1" si="155"/>
        <v>0.98523707083908107</v>
      </c>
      <c r="O770" s="84">
        <f t="shared" ca="1" si="156"/>
        <v>1.0369924085219493</v>
      </c>
      <c r="P770" s="84">
        <f t="shared" ca="1" si="157"/>
        <v>1.7769589448318963</v>
      </c>
      <c r="Q770" s="84">
        <f t="shared" ca="1" si="158"/>
        <v>0.97858724666291252</v>
      </c>
    </row>
    <row r="771" spans="1:17" ht="15" customHeight="1" x14ac:dyDescent="0.2">
      <c r="A771" s="15">
        <v>732</v>
      </c>
      <c r="B771" s="84">
        <f t="shared" ca="1" si="159"/>
        <v>0.17152977869915209</v>
      </c>
      <c r="C771" s="84">
        <f t="shared" ca="1" si="159"/>
        <v>0.94275454063963848</v>
      </c>
      <c r="D771" s="84">
        <f t="shared" ca="1" si="159"/>
        <v>0.79041385973446909</v>
      </c>
      <c r="F771" s="84">
        <f t="shared" ca="1" si="160"/>
        <v>0.58031005925611567</v>
      </c>
      <c r="G771" s="84">
        <f t="shared" ca="1" si="160"/>
        <v>0.2288749849318944</v>
      </c>
      <c r="H771" s="84">
        <f t="shared" ca="1" si="160"/>
        <v>4.4515068987445727E-2</v>
      </c>
      <c r="J771" s="85">
        <f t="shared" ca="1" si="152"/>
        <v>61845900.047668859</v>
      </c>
      <c r="K771" s="86">
        <f ca="1">IF(J771&gt;0,MIN(99,$B$12*Q771/(J771*12*(1-Inputs!$H$16))),99)</f>
        <v>6.7105153861835225</v>
      </c>
      <c r="L771" s="84">
        <f t="shared" ca="1" si="153"/>
        <v>0.91391400254709609</v>
      </c>
      <c r="M771" s="84">
        <f t="shared" ca="1" si="154"/>
        <v>0.96084966595946042</v>
      </c>
      <c r="N771" s="84">
        <f t="shared" ca="1" si="155"/>
        <v>1.0368228469977088</v>
      </c>
      <c r="O771" s="84">
        <f t="shared" ca="1" si="156"/>
        <v>1.0302103704328383</v>
      </c>
      <c r="P771" s="84">
        <f t="shared" ca="1" si="157"/>
        <v>1.0277290877802709</v>
      </c>
      <c r="Q771" s="84">
        <f t="shared" ca="1" si="158"/>
        <v>0.91053518416605694</v>
      </c>
    </row>
    <row r="772" spans="1:17" ht="15" customHeight="1" x14ac:dyDescent="0.2">
      <c r="A772" s="15">
        <v>733</v>
      </c>
      <c r="B772" s="84">
        <f t="shared" ca="1" si="159"/>
        <v>0.51173451642029544</v>
      </c>
      <c r="C772" s="84">
        <f t="shared" ca="1" si="159"/>
        <v>0.51839534857694358</v>
      </c>
      <c r="D772" s="84">
        <f t="shared" ca="1" si="159"/>
        <v>0.66138372595739003</v>
      </c>
      <c r="F772" s="84">
        <f t="shared" ca="1" si="160"/>
        <v>0.23606290320933698</v>
      </c>
      <c r="G772" s="84">
        <f t="shared" ca="1" si="160"/>
        <v>0.85988843034013995</v>
      </c>
      <c r="H772" s="84">
        <f t="shared" ca="1" si="160"/>
        <v>0.18714937681067167</v>
      </c>
      <c r="J772" s="85">
        <f t="shared" ca="1" si="152"/>
        <v>121415952.34860288</v>
      </c>
      <c r="K772" s="86">
        <f ca="1">IF(J772&gt;0,MIN(99,$B$12*Q772/(J772*12*(1-Inputs!$H$16))),99)</f>
        <v>3.6888977325163941</v>
      </c>
      <c r="L772" s="84">
        <f t="shared" ca="1" si="153"/>
        <v>1.0158928715912867</v>
      </c>
      <c r="M772" s="84">
        <f t="shared" ca="1" si="154"/>
        <v>1.006396092763737</v>
      </c>
      <c r="N772" s="84">
        <f t="shared" ca="1" si="155"/>
        <v>1.0223026863619848</v>
      </c>
      <c r="O772" s="84">
        <f t="shared" ca="1" si="156"/>
        <v>1.0017103134673413</v>
      </c>
      <c r="P772" s="84">
        <f t="shared" ca="1" si="157"/>
        <v>1.5068232320531281</v>
      </c>
      <c r="Q772" s="84">
        <f t="shared" ca="1" si="158"/>
        <v>0.9826578039427788</v>
      </c>
    </row>
    <row r="773" spans="1:17" ht="15" customHeight="1" x14ac:dyDescent="0.2">
      <c r="A773" s="15">
        <v>734</v>
      </c>
      <c r="B773" s="84">
        <f t="shared" ca="1" si="159"/>
        <v>0.85018768410843204</v>
      </c>
      <c r="C773" s="84">
        <f t="shared" ca="1" si="159"/>
        <v>0.23033562478351044</v>
      </c>
      <c r="D773" s="84">
        <f t="shared" ca="1" si="159"/>
        <v>0.44256901504847113</v>
      </c>
      <c r="F773" s="84">
        <f t="shared" ca="1" si="160"/>
        <v>0.44299477009501986</v>
      </c>
      <c r="G773" s="84">
        <f t="shared" ca="1" si="160"/>
        <v>9.285636983583323E-2</v>
      </c>
      <c r="H773" s="84">
        <f t="shared" ca="1" si="160"/>
        <v>0.92001922455675822</v>
      </c>
      <c r="J773" s="85">
        <f t="shared" ca="1" si="152"/>
        <v>230729942.23258358</v>
      </c>
      <c r="K773" s="86">
        <f ca="1">IF(J773&gt;0,MIN(99,$B$12*Q773/(J773*12*(1-Inputs!$H$16))),99)</f>
        <v>2.6591091797679143</v>
      </c>
      <c r="L773" s="84">
        <f t="shared" ca="1" si="153"/>
        <v>1.1314758088854335</v>
      </c>
      <c r="M773" s="84">
        <f t="shared" ca="1" si="154"/>
        <v>1.0575143832853255</v>
      </c>
      <c r="N773" s="84">
        <f t="shared" ca="1" si="155"/>
        <v>1.0030317811026772</v>
      </c>
      <c r="O773" s="84">
        <f t="shared" ca="1" si="156"/>
        <v>1.0178007553690156</v>
      </c>
      <c r="P773" s="84">
        <f t="shared" ca="1" si="157"/>
        <v>0.94898140769513473</v>
      </c>
      <c r="Q773" s="84">
        <f t="shared" ca="1" si="158"/>
        <v>1.3460775095476705</v>
      </c>
    </row>
    <row r="774" spans="1:17" ht="15" customHeight="1" x14ac:dyDescent="0.2">
      <c r="A774" s="15">
        <v>735</v>
      </c>
      <c r="B774" s="84">
        <f t="shared" ca="1" si="159"/>
        <v>0.37066551811777504</v>
      </c>
      <c r="C774" s="84">
        <f t="shared" ca="1" si="159"/>
        <v>0.86447108667384165</v>
      </c>
      <c r="D774" s="84">
        <f t="shared" ca="1" si="159"/>
        <v>7.3205770282397831E-2</v>
      </c>
      <c r="F774" s="84">
        <f t="shared" ca="1" si="160"/>
        <v>0.37154750115227086</v>
      </c>
      <c r="G774" s="84">
        <f t="shared" ca="1" si="160"/>
        <v>0.29401299330503206</v>
      </c>
      <c r="H774" s="84">
        <f t="shared" ca="1" si="160"/>
        <v>0.52939545614895267</v>
      </c>
      <c r="J774" s="85">
        <f t="shared" ca="1" si="152"/>
        <v>122669480.31465973</v>
      </c>
      <c r="K774" s="86">
        <f ca="1">IF(J774&gt;0,MIN(99,$B$12*Q774/(J774*12*(1-Inputs!$H$16))),99)</f>
        <v>4.1245675174819176</v>
      </c>
      <c r="L774" s="84">
        <f t="shared" ca="1" si="153"/>
        <v>0.97920546219004445</v>
      </c>
      <c r="M774" s="84">
        <f t="shared" ca="1" si="154"/>
        <v>0.99006033420215933</v>
      </c>
      <c r="N774" s="84">
        <f t="shared" ca="1" si="155"/>
        <v>0.96495351757223236</v>
      </c>
      <c r="O774" s="84">
        <f t="shared" ca="1" si="156"/>
        <v>1.0119518052640579</v>
      </c>
      <c r="P774" s="84">
        <f t="shared" ca="1" si="157"/>
        <v>1.0637754765371392</v>
      </c>
      <c r="Q774" s="84">
        <f t="shared" ca="1" si="158"/>
        <v>1.1100559883941949</v>
      </c>
    </row>
    <row r="775" spans="1:17" ht="15" customHeight="1" x14ac:dyDescent="0.2">
      <c r="A775" s="15">
        <v>736</v>
      </c>
      <c r="B775" s="84">
        <f t="shared" ca="1" si="159"/>
        <v>0.80965806448721178</v>
      </c>
      <c r="C775" s="84">
        <f t="shared" ca="1" si="159"/>
        <v>0.11082310149296659</v>
      </c>
      <c r="D775" s="84">
        <f t="shared" ca="1" si="159"/>
        <v>2.7432656562409008E-2</v>
      </c>
      <c r="F775" s="84">
        <f t="shared" ca="1" si="160"/>
        <v>0.41946880309203494</v>
      </c>
      <c r="G775" s="84">
        <f t="shared" ca="1" si="160"/>
        <v>0.9370526742957821</v>
      </c>
      <c r="H775" s="84">
        <f t="shared" ca="1" si="160"/>
        <v>0.89810450212691539</v>
      </c>
      <c r="J775" s="85">
        <f t="shared" ca="1" si="152"/>
        <v>202893807.54962748</v>
      </c>
      <c r="K775" s="86">
        <f ca="1">IF(J775&gt;0,MIN(99,$B$12*Q775/(J775*12*(1-Inputs!$H$16))),99)</f>
        <v>2.9760575452104954</v>
      </c>
      <c r="L775" s="84">
        <f t="shared" ca="1" si="153"/>
        <v>1.1132223249857744</v>
      </c>
      <c r="M775" s="84">
        <f t="shared" ca="1" si="154"/>
        <v>1.049441505792696</v>
      </c>
      <c r="N775" s="84">
        <f t="shared" ca="1" si="155"/>
        <v>0.95486156713754955</v>
      </c>
      <c r="O775" s="84">
        <f t="shared" ca="1" si="156"/>
        <v>1.0158354687017903</v>
      </c>
      <c r="P775" s="84">
        <f t="shared" ca="1" si="157"/>
        <v>1.6241872673264102</v>
      </c>
      <c r="Q775" s="84">
        <f t="shared" ca="1" si="158"/>
        <v>1.3247686988319709</v>
      </c>
    </row>
    <row r="776" spans="1:17" ht="15" customHeight="1" x14ac:dyDescent="0.2">
      <c r="A776" s="15">
        <v>737</v>
      </c>
      <c r="B776" s="84">
        <f t="shared" ca="1" si="159"/>
        <v>0.26456081467935155</v>
      </c>
      <c r="C776" s="84">
        <f t="shared" ca="1" si="159"/>
        <v>0.84359477657777993</v>
      </c>
      <c r="D776" s="84">
        <f t="shared" ca="1" si="159"/>
        <v>0.82936968179912052</v>
      </c>
      <c r="F776" s="84">
        <f t="shared" ca="1" si="160"/>
        <v>0.83564502799182305</v>
      </c>
      <c r="G776" s="84">
        <f t="shared" ca="1" si="160"/>
        <v>0.84915599390922114</v>
      </c>
      <c r="H776" s="84">
        <f t="shared" ca="1" si="160"/>
        <v>0.8168424030517909</v>
      </c>
      <c r="J776" s="85">
        <f t="shared" ca="1" si="152"/>
        <v>60427006.435575321</v>
      </c>
      <c r="K776" s="86">
        <f ca="1">IF(J776&gt;0,MIN(99,$B$12*Q776/(J776*12*(1-Inputs!$H$16))),99)</f>
        <v>9.5123974081206288</v>
      </c>
      <c r="L776" s="84">
        <f t="shared" ca="1" si="153"/>
        <v>0.94751982973393822</v>
      </c>
      <c r="M776" s="84">
        <f t="shared" ca="1" si="154"/>
        <v>0.97588453689579036</v>
      </c>
      <c r="N776" s="84">
        <f t="shared" ca="1" si="155"/>
        <v>1.0420565357672249</v>
      </c>
      <c r="O776" s="84">
        <f t="shared" ca="1" si="156"/>
        <v>1.0607550090713374</v>
      </c>
      <c r="P776" s="84">
        <f t="shared" ca="1" si="157"/>
        <v>1.4934422729895769</v>
      </c>
      <c r="Q776" s="84">
        <f t="shared" ca="1" si="158"/>
        <v>1.2611043016698402</v>
      </c>
    </row>
    <row r="777" spans="1:17" ht="15" customHeight="1" x14ac:dyDescent="0.2">
      <c r="A777" s="15">
        <v>738</v>
      </c>
      <c r="B777" s="84">
        <f t="shared" ca="1" si="159"/>
        <v>0.64742929462235133</v>
      </c>
      <c r="C777" s="84">
        <f t="shared" ca="1" si="159"/>
        <v>0.62434271870085922</v>
      </c>
      <c r="D777" s="84">
        <f t="shared" ca="1" si="159"/>
        <v>0.23612239120914746</v>
      </c>
      <c r="F777" s="84">
        <f t="shared" ca="1" si="160"/>
        <v>0.3673566473819958</v>
      </c>
      <c r="G777" s="84">
        <f t="shared" ca="1" si="160"/>
        <v>0.22842643079613256</v>
      </c>
      <c r="H777" s="84">
        <f t="shared" ca="1" si="160"/>
        <v>0.71337841515534695</v>
      </c>
      <c r="J777" s="85">
        <f t="shared" ca="1" si="152"/>
        <v>174383355.23924953</v>
      </c>
      <c r="K777" s="86">
        <f ca="1">IF(J777&gt;0,MIN(99,$B$12*Q777/(J777*12*(1-Inputs!$H$16))),99)</f>
        <v>3.1318919651510275</v>
      </c>
      <c r="L777" s="84">
        <f t="shared" ca="1" si="153"/>
        <v>1.054821726799789</v>
      </c>
      <c r="M777" s="84">
        <f t="shared" ca="1" si="154"/>
        <v>1.0236129638418339</v>
      </c>
      <c r="N777" s="84">
        <f t="shared" ca="1" si="155"/>
        <v>0.98566476746577303</v>
      </c>
      <c r="O777" s="84">
        <f t="shared" ca="1" si="156"/>
        <v>1.0116193242001399</v>
      </c>
      <c r="P777" s="84">
        <f t="shared" ca="1" si="157"/>
        <v>1.0274862575865753</v>
      </c>
      <c r="Q777" s="84">
        <f t="shared" ca="1" si="158"/>
        <v>1.1982342895920737</v>
      </c>
    </row>
    <row r="778" spans="1:17" ht="15" customHeight="1" x14ac:dyDescent="0.2">
      <c r="A778" s="15">
        <v>739</v>
      </c>
      <c r="B778" s="84">
        <f t="shared" ca="1" si="159"/>
        <v>0.5045256224172856</v>
      </c>
      <c r="C778" s="84">
        <f t="shared" ca="1" si="159"/>
        <v>0.14594485990880779</v>
      </c>
      <c r="D778" s="84">
        <f t="shared" ca="1" si="159"/>
        <v>0.79880667369315184</v>
      </c>
      <c r="F778" s="84">
        <f t="shared" ca="1" si="160"/>
        <v>0.97691140801511511</v>
      </c>
      <c r="G778" s="84">
        <f t="shared" ca="1" si="160"/>
        <v>0.50357769059918833</v>
      </c>
      <c r="H778" s="84">
        <f t="shared" ca="1" si="160"/>
        <v>0.70089029781982626</v>
      </c>
      <c r="J778" s="85">
        <f t="shared" ca="1" si="152"/>
        <v>113330697.19790004</v>
      </c>
      <c r="K778" s="86">
        <f ca="1">IF(J778&gt;0,MIN(99,$B$12*Q778/(J778*12*(1-Inputs!$H$16))),99)</f>
        <v>4.7919159220084762</v>
      </c>
      <c r="L778" s="84">
        <f t="shared" ca="1" si="153"/>
        <v>1.0139871135027558</v>
      </c>
      <c r="M778" s="84">
        <f t="shared" ca="1" si="154"/>
        <v>1.0055532426172187</v>
      </c>
      <c r="N778" s="84">
        <f t="shared" ca="1" si="155"/>
        <v>1.0379062866984654</v>
      </c>
      <c r="O778" s="84">
        <f t="shared" ca="1" si="156"/>
        <v>1.0926893987315678</v>
      </c>
      <c r="P778" s="84">
        <f t="shared" ca="1" si="157"/>
        <v>1.1927750999447362</v>
      </c>
      <c r="Q778" s="84">
        <f t="shared" ca="1" si="158"/>
        <v>1.1914798205492096</v>
      </c>
    </row>
    <row r="779" spans="1:17" ht="15" customHeight="1" x14ac:dyDescent="0.2">
      <c r="A779" s="15">
        <v>740</v>
      </c>
      <c r="B779" s="84">
        <f t="shared" ca="1" si="159"/>
        <v>0.38206849690137246</v>
      </c>
      <c r="C779" s="84">
        <f t="shared" ca="1" si="159"/>
        <v>0.60915015905728265</v>
      </c>
      <c r="D779" s="84">
        <f t="shared" ca="1" si="159"/>
        <v>0.91660030280068028</v>
      </c>
      <c r="F779" s="84">
        <f t="shared" ca="1" si="160"/>
        <v>0.55829683353957427</v>
      </c>
      <c r="G779" s="84">
        <f t="shared" ca="1" si="160"/>
        <v>0.20308301276567942</v>
      </c>
      <c r="H779" s="84">
        <f t="shared" ca="1" si="160"/>
        <v>0.63216856409492739</v>
      </c>
      <c r="J779" s="85">
        <f t="shared" ca="1" si="152"/>
        <v>104696825.57524331</v>
      </c>
      <c r="K779" s="86">
        <f ca="1">IF(J779&gt;0,MIN(99,$B$12*Q779/(J779*12*(1-Inputs!$H$16))),99)</f>
        <v>5.0352441023181944</v>
      </c>
      <c r="L779" s="84">
        <f t="shared" ca="1" si="153"/>
        <v>0.98232270956507484</v>
      </c>
      <c r="M779" s="84">
        <f t="shared" ca="1" si="154"/>
        <v>0.99145495578667264</v>
      </c>
      <c r="N779" s="84">
        <f t="shared" ca="1" si="155"/>
        <v>1.0565980510941186</v>
      </c>
      <c r="O779" s="84">
        <f t="shared" ca="1" si="156"/>
        <v>1.0280970939996044</v>
      </c>
      <c r="P779" s="84">
        <f t="shared" ca="1" si="157"/>
        <v>1.0138791203712485</v>
      </c>
      <c r="Q779" s="84">
        <f t="shared" ca="1" si="158"/>
        <v>1.1566021222949239</v>
      </c>
    </row>
    <row r="780" spans="1:17" ht="15" customHeight="1" x14ac:dyDescent="0.2">
      <c r="A780" s="15">
        <v>741</v>
      </c>
      <c r="B780" s="84">
        <f t="shared" ref="B780:D799" ca="1" si="161">RAND()</f>
        <v>8.9245775949607475E-2</v>
      </c>
      <c r="C780" s="84">
        <f t="shared" ca="1" si="161"/>
        <v>0.72533253661614372</v>
      </c>
      <c r="D780" s="84">
        <f t="shared" ca="1" si="161"/>
        <v>2.5303851984959658E-2</v>
      </c>
      <c r="F780" s="84">
        <f t="shared" ref="F780:H799" ca="1" si="162">RAND()</f>
        <v>7.8760756381932917E-2</v>
      </c>
      <c r="G780" s="84">
        <f t="shared" ca="1" si="162"/>
        <v>0.73364529307950366</v>
      </c>
      <c r="H780" s="84">
        <f t="shared" ca="1" si="162"/>
        <v>0.80647313961436051</v>
      </c>
      <c r="J780" s="85">
        <f t="shared" ca="1" si="152"/>
        <v>46471975.064970329</v>
      </c>
      <c r="K780" s="86">
        <f ca="1">IF(J780&gt;0,MIN(99,$B$12*Q780/(J780*12*(1-Inputs!$H$16))),99)</f>
        <v>12.30027158239189</v>
      </c>
      <c r="L780" s="84">
        <f t="shared" ca="1" si="153"/>
        <v>0.8752005478744046</v>
      </c>
      <c r="M780" s="84">
        <f t="shared" ca="1" si="154"/>
        <v>0.94352969965518618</v>
      </c>
      <c r="N780" s="84">
        <f t="shared" ca="1" si="155"/>
        <v>0.95423104885936638</v>
      </c>
      <c r="O780" s="84">
        <f t="shared" ca="1" si="156"/>
        <v>0.98823445262860843</v>
      </c>
      <c r="P780" s="84">
        <f t="shared" ca="1" si="157"/>
        <v>1.3720011930239289</v>
      </c>
      <c r="Q780" s="84">
        <f t="shared" ca="1" si="158"/>
        <v>1.2541104087019039</v>
      </c>
    </row>
    <row r="781" spans="1:17" ht="15" customHeight="1" x14ac:dyDescent="0.2">
      <c r="A781" s="15">
        <v>742</v>
      </c>
      <c r="B781" s="84">
        <f t="shared" ca="1" si="161"/>
        <v>0.76643222596061322</v>
      </c>
      <c r="C781" s="84">
        <f t="shared" ca="1" si="161"/>
        <v>0.37940108615001711</v>
      </c>
      <c r="D781" s="84">
        <f t="shared" ca="1" si="161"/>
        <v>0.25118036421475431</v>
      </c>
      <c r="F781" s="84">
        <f t="shared" ca="1" si="162"/>
        <v>0.78378712915108184</v>
      </c>
      <c r="G781" s="84">
        <f t="shared" ca="1" si="162"/>
        <v>6.2398482132451027E-2</v>
      </c>
      <c r="H781" s="84">
        <f t="shared" ca="1" si="162"/>
        <v>0.79123685583196524</v>
      </c>
      <c r="J781" s="85">
        <f t="shared" ca="1" si="152"/>
        <v>201897223.1703791</v>
      </c>
      <c r="K781" s="86">
        <f ca="1">IF(J781&gt;0,MIN(99,$B$12*Q781/(J781*12*(1-Inputs!$H$16))),99)</f>
        <v>2.8087806506035595</v>
      </c>
      <c r="L781" s="84">
        <f t="shared" ca="1" si="153"/>
        <v>1.0957918279474519</v>
      </c>
      <c r="M781" s="84">
        <f t="shared" ca="1" si="154"/>
        <v>1.0417326066039421</v>
      </c>
      <c r="N781" s="84">
        <f t="shared" ca="1" si="155"/>
        <v>0.98713182786456899</v>
      </c>
      <c r="O781" s="84">
        <f t="shared" ca="1" si="156"/>
        <v>1.053248261367856</v>
      </c>
      <c r="P781" s="84">
        <f t="shared" ca="1" si="157"/>
        <v>0.92477497744784065</v>
      </c>
      <c r="Q781" s="84">
        <f t="shared" ca="1" si="158"/>
        <v>1.2441653781953792</v>
      </c>
    </row>
    <row r="782" spans="1:17" ht="15" customHeight="1" x14ac:dyDescent="0.2">
      <c r="A782" s="15">
        <v>743</v>
      </c>
      <c r="B782" s="84">
        <f t="shared" ca="1" si="161"/>
        <v>0.42897845169421578</v>
      </c>
      <c r="C782" s="84">
        <f t="shared" ca="1" si="161"/>
        <v>0.37361981869261462</v>
      </c>
      <c r="D782" s="84">
        <f t="shared" ca="1" si="161"/>
        <v>0.84914306140142493</v>
      </c>
      <c r="F782" s="84">
        <f t="shared" ca="1" si="162"/>
        <v>0.87766258895320137</v>
      </c>
      <c r="G782" s="84">
        <f t="shared" ca="1" si="162"/>
        <v>0.14771744400344344</v>
      </c>
      <c r="H782" s="84">
        <f t="shared" ca="1" si="162"/>
        <v>0.99881571725259333</v>
      </c>
      <c r="J782" s="85">
        <f t="shared" ca="1" si="152"/>
        <v>110269034.81524082</v>
      </c>
      <c r="K782" s="86">
        <f ca="1">IF(J782&gt;0,MIN(99,$B$12*Q782/(J782*12*(1-Inputs!$H$16))),99)</f>
        <v>6.165019280067578</v>
      </c>
      <c r="L782" s="84">
        <f t="shared" ca="1" si="153"/>
        <v>0.99468176031614297</v>
      </c>
      <c r="M782" s="84">
        <f t="shared" ca="1" si="154"/>
        <v>0.99698425675893421</v>
      </c>
      <c r="N782" s="84">
        <f t="shared" ca="1" si="155"/>
        <v>1.0449431152980391</v>
      </c>
      <c r="O782" s="84">
        <f t="shared" ca="1" si="156"/>
        <v>1.06776530243388</v>
      </c>
      <c r="P782" s="84">
        <f t="shared" ca="1" si="157"/>
        <v>0.98406898320864089</v>
      </c>
      <c r="Q782" s="84">
        <f t="shared" ca="1" si="158"/>
        <v>1.4914817847340196</v>
      </c>
    </row>
    <row r="783" spans="1:17" ht="15" customHeight="1" x14ac:dyDescent="0.2">
      <c r="A783" s="15">
        <v>744</v>
      </c>
      <c r="B783" s="84">
        <f t="shared" ca="1" si="161"/>
        <v>0.56261049990396095</v>
      </c>
      <c r="C783" s="84">
        <f t="shared" ca="1" si="161"/>
        <v>0.89029065236960503</v>
      </c>
      <c r="D783" s="84">
        <f t="shared" ca="1" si="161"/>
        <v>7.5594797213961451E-3</v>
      </c>
      <c r="F783" s="84">
        <f t="shared" ca="1" si="162"/>
        <v>0.64992119250905078</v>
      </c>
      <c r="G783" s="84">
        <f t="shared" ca="1" si="162"/>
        <v>0.66634816643214778</v>
      </c>
      <c r="H783" s="84">
        <f t="shared" ca="1" si="162"/>
        <v>0.59303860744898396</v>
      </c>
      <c r="J783" s="85">
        <f t="shared" ca="1" si="152"/>
        <v>149351081.14162099</v>
      </c>
      <c r="K783" s="86">
        <f ca="1">IF(J783&gt;0,MIN(99,$B$12*Q783/(J783*12*(1-Inputs!$H$16))),99)</f>
        <v>3.4735899898889095</v>
      </c>
      <c r="L783" s="84">
        <f t="shared" ca="1" si="153"/>
        <v>1.0297632648578003</v>
      </c>
      <c r="M783" s="84">
        <f t="shared" ca="1" si="154"/>
        <v>1.0125304825728654</v>
      </c>
      <c r="N783" s="84">
        <f t="shared" ca="1" si="155"/>
        <v>0.94729456503916054</v>
      </c>
      <c r="O783" s="84">
        <f t="shared" ca="1" si="156"/>
        <v>1.0372862712743767</v>
      </c>
      <c r="P783" s="84">
        <f t="shared" ca="1" si="157"/>
        <v>1.3134907940470186</v>
      </c>
      <c r="Q783" s="84">
        <f t="shared" ca="1" si="158"/>
        <v>1.1381955066412464</v>
      </c>
    </row>
    <row r="784" spans="1:17" ht="15" customHeight="1" x14ac:dyDescent="0.2">
      <c r="A784" s="15">
        <v>745</v>
      </c>
      <c r="B784" s="84">
        <f t="shared" ca="1" si="161"/>
        <v>0.18092657240590981</v>
      </c>
      <c r="C784" s="84">
        <f t="shared" ca="1" si="161"/>
        <v>0.81766566175570976</v>
      </c>
      <c r="D784" s="84">
        <f t="shared" ca="1" si="161"/>
        <v>0.80455792904694889</v>
      </c>
      <c r="F784" s="84">
        <f t="shared" ca="1" si="162"/>
        <v>0.42105328316733825</v>
      </c>
      <c r="G784" s="84">
        <f t="shared" ca="1" si="162"/>
        <v>0.31446805933492206</v>
      </c>
      <c r="H784" s="84">
        <f t="shared" ca="1" si="162"/>
        <v>0.986390184889544</v>
      </c>
      <c r="J784" s="85">
        <f t="shared" ca="1" si="152"/>
        <v>64521458.774770871</v>
      </c>
      <c r="K784" s="86">
        <f ca="1">IF(J784&gt;0,MIN(99,$B$12*Q784/(J784*12*(1-Inputs!$H$16))),99)</f>
        <v>10.196082685994975</v>
      </c>
      <c r="L784" s="84">
        <f t="shared" ca="1" si="153"/>
        <v>0.91766828447719151</v>
      </c>
      <c r="M784" s="84">
        <f t="shared" ca="1" si="154"/>
        <v>0.96252928967363827</v>
      </c>
      <c r="N784" s="84">
        <f t="shared" ca="1" si="155"/>
        <v>1.0386618262044118</v>
      </c>
      <c r="O784" s="84">
        <f t="shared" ca="1" si="156"/>
        <v>1.0159665659273336</v>
      </c>
      <c r="P784" s="84">
        <f t="shared" ca="1" si="157"/>
        <v>1.0754354191246573</v>
      </c>
      <c r="Q784" s="84">
        <f t="shared" ca="1" si="158"/>
        <v>1.4433360797928281</v>
      </c>
    </row>
    <row r="785" spans="1:17" ht="15" customHeight="1" x14ac:dyDescent="0.2">
      <c r="A785" s="15">
        <v>746</v>
      </c>
      <c r="B785" s="84">
        <f t="shared" ca="1" si="161"/>
        <v>0.55809971315098283</v>
      </c>
      <c r="C785" s="84">
        <f t="shared" ca="1" si="161"/>
        <v>0.84236094425195496</v>
      </c>
      <c r="D785" s="84">
        <f t="shared" ca="1" si="161"/>
        <v>0.34790895512562947</v>
      </c>
      <c r="F785" s="84">
        <f t="shared" ca="1" si="162"/>
        <v>0.60440379040430625</v>
      </c>
      <c r="G785" s="84">
        <f t="shared" ca="1" si="162"/>
        <v>0.55436138840773441</v>
      </c>
      <c r="H785" s="84">
        <f t="shared" ca="1" si="162"/>
        <v>0.38878429880444554</v>
      </c>
      <c r="J785" s="85">
        <f t="shared" ca="1" si="152"/>
        <v>141732154.26283789</v>
      </c>
      <c r="K785" s="86">
        <f ca="1">IF(J785&gt;0,MIN(99,$B$12*Q785/(J785*12*(1-Inputs!$H$16))),99)</f>
        <v>3.3894846014361595</v>
      </c>
      <c r="L785" s="84">
        <f t="shared" ca="1" si="153"/>
        <v>1.028501948401737</v>
      </c>
      <c r="M785" s="84">
        <f t="shared" ca="1" si="154"/>
        <v>1.0119726464203143</v>
      </c>
      <c r="N785" s="84">
        <f t="shared" ca="1" si="155"/>
        <v>0.99565826080377362</v>
      </c>
      <c r="O785" s="84">
        <f t="shared" ca="1" si="156"/>
        <v>1.0325879459036997</v>
      </c>
      <c r="P785" s="84">
        <f t="shared" ca="1" si="157"/>
        <v>1.2279693010412749</v>
      </c>
      <c r="Q785" s="84">
        <f t="shared" ca="1" si="158"/>
        <v>1.0539790898883119</v>
      </c>
    </row>
    <row r="786" spans="1:17" ht="15" customHeight="1" x14ac:dyDescent="0.2">
      <c r="A786" s="15">
        <v>747</v>
      </c>
      <c r="B786" s="84">
        <f t="shared" ca="1" si="161"/>
        <v>0.76367417371386548</v>
      </c>
      <c r="C786" s="84">
        <f t="shared" ca="1" si="161"/>
        <v>1.7068044093621726E-2</v>
      </c>
      <c r="D786" s="84">
        <f t="shared" ca="1" si="161"/>
        <v>0.29757827875871945</v>
      </c>
      <c r="F786" s="84">
        <f t="shared" ca="1" si="162"/>
        <v>0.17364190617451103</v>
      </c>
      <c r="G786" s="84">
        <f t="shared" ca="1" si="162"/>
        <v>0.51845808735291676</v>
      </c>
      <c r="H786" s="84">
        <f t="shared" ca="1" si="162"/>
        <v>0.92955704439200282</v>
      </c>
      <c r="J786" s="85">
        <f t="shared" ca="1" si="152"/>
        <v>198945750.01418722</v>
      </c>
      <c r="K786" s="86">
        <f ca="1">IF(J786&gt;0,MIN(99,$B$12*Q786/(J786*12*(1-Inputs!$H$16))),99)</f>
        <v>3.1072693680959813</v>
      </c>
      <c r="L786" s="84">
        <f t="shared" ca="1" si="153"/>
        <v>1.0947368559179567</v>
      </c>
      <c r="M786" s="84">
        <f t="shared" ca="1" si="154"/>
        <v>1.0412660293741332</v>
      </c>
      <c r="N786" s="84">
        <f t="shared" ca="1" si="155"/>
        <v>0.99139493222220254</v>
      </c>
      <c r="O786" s="84">
        <f t="shared" ca="1" si="156"/>
        <v>0.99713020984661904</v>
      </c>
      <c r="P786" s="84">
        <f t="shared" ca="1" si="157"/>
        <v>1.2028930831400382</v>
      </c>
      <c r="Q786" s="84">
        <f t="shared" ca="1" si="158"/>
        <v>1.3562617417792353</v>
      </c>
    </row>
    <row r="787" spans="1:17" ht="15" customHeight="1" x14ac:dyDescent="0.2">
      <c r="A787" s="15">
        <v>748</v>
      </c>
      <c r="B787" s="84">
        <f t="shared" ca="1" si="161"/>
        <v>0.32926922503085765</v>
      </c>
      <c r="C787" s="84">
        <f t="shared" ca="1" si="161"/>
        <v>0.93645456695597629</v>
      </c>
      <c r="D787" s="84">
        <f t="shared" ca="1" si="161"/>
        <v>0.32188717269649536</v>
      </c>
      <c r="F787" s="84">
        <f t="shared" ca="1" si="162"/>
        <v>0.47489818577279708</v>
      </c>
      <c r="G787" s="84">
        <f t="shared" ca="1" si="162"/>
        <v>0.90076426442908919</v>
      </c>
      <c r="H787" s="84">
        <f t="shared" ca="1" si="162"/>
        <v>0.87773755062893477</v>
      </c>
      <c r="J787" s="85">
        <f t="shared" ca="1" si="152"/>
        <v>88156520.137753621</v>
      </c>
      <c r="K787" s="86">
        <f ca="1">IF(J787&gt;0,MIN(99,$B$12*Q787/(J787*12*(1-Inputs!$H$16))),99)</f>
        <v>6.7572916866808495</v>
      </c>
      <c r="L787" s="84">
        <f t="shared" ca="1" si="153"/>
        <v>0.967465030111892</v>
      </c>
      <c r="M787" s="84">
        <f t="shared" ca="1" si="154"/>
        <v>0.98480779630001591</v>
      </c>
      <c r="N787" s="84">
        <f t="shared" ca="1" si="155"/>
        <v>0.99349565796792605</v>
      </c>
      <c r="O787" s="84">
        <f t="shared" ca="1" si="156"/>
        <v>1.0205334250010969</v>
      </c>
      <c r="P787" s="84">
        <f t="shared" ca="1" si="157"/>
        <v>1.5632105766672255</v>
      </c>
      <c r="Q787" s="84">
        <f t="shared" ca="1" si="158"/>
        <v>1.3069442014309303</v>
      </c>
    </row>
    <row r="788" spans="1:17" ht="15" customHeight="1" x14ac:dyDescent="0.2">
      <c r="A788" s="15">
        <v>749</v>
      </c>
      <c r="B788" s="84">
        <f t="shared" ca="1" si="161"/>
        <v>0.91530317561429375</v>
      </c>
      <c r="C788" s="84">
        <f t="shared" ca="1" si="161"/>
        <v>0.85348482890226063</v>
      </c>
      <c r="D788" s="84">
        <f t="shared" ca="1" si="161"/>
        <v>0.86188076697911653</v>
      </c>
      <c r="F788" s="84">
        <f t="shared" ca="1" si="162"/>
        <v>0.59908073859758226</v>
      </c>
      <c r="G788" s="84">
        <f t="shared" ca="1" si="162"/>
        <v>3.3889733417816648E-2</v>
      </c>
      <c r="H788" s="84">
        <f t="shared" ca="1" si="162"/>
        <v>0.81524076239559928</v>
      </c>
      <c r="J788" s="85">
        <f t="shared" ca="1" si="152"/>
        <v>247581775.55238473</v>
      </c>
      <c r="K788" s="86">
        <f ca="1">IF(J788&gt;0,MIN(99,$B$12*Q788/(J788*12*(1-Inputs!$H$16))),99)</f>
        <v>2.3196680175512707</v>
      </c>
      <c r="L788" s="84">
        <f t="shared" ca="1" si="153"/>
        <v>1.1670842302856779</v>
      </c>
      <c r="M788" s="84">
        <f t="shared" ca="1" si="154"/>
        <v>1.0732627426259478</v>
      </c>
      <c r="N788" s="84">
        <f t="shared" ca="1" si="155"/>
        <v>1.0469039662782798</v>
      </c>
      <c r="O788" s="84">
        <f t="shared" ca="1" si="156"/>
        <v>1.0320565675403399</v>
      </c>
      <c r="P788" s="84">
        <f t="shared" ca="1" si="157"/>
        <v>0.89581832071691225</v>
      </c>
      <c r="Q788" s="84">
        <f t="shared" ca="1" si="158"/>
        <v>1.2600113270975739</v>
      </c>
    </row>
    <row r="789" spans="1:17" ht="15" customHeight="1" x14ac:dyDescent="0.2">
      <c r="A789" s="15">
        <v>750</v>
      </c>
      <c r="B789" s="84">
        <f t="shared" ca="1" si="161"/>
        <v>7.1862842380478353E-2</v>
      </c>
      <c r="C789" s="84">
        <f t="shared" ca="1" si="161"/>
        <v>0.23010812346209886</v>
      </c>
      <c r="D789" s="84">
        <f t="shared" ca="1" si="161"/>
        <v>0.70721326110473659</v>
      </c>
      <c r="F789" s="84">
        <f t="shared" ca="1" si="162"/>
        <v>0.39969383872941389</v>
      </c>
      <c r="G789" s="84">
        <f t="shared" ca="1" si="162"/>
        <v>0.70780225989477752</v>
      </c>
      <c r="H789" s="84">
        <f t="shared" ca="1" si="162"/>
        <v>0.47220654272528861</v>
      </c>
      <c r="J789" s="85">
        <f t="shared" ca="1" si="152"/>
        <v>22793639.457447961</v>
      </c>
      <c r="K789" s="86">
        <f ca="1">IF(J789&gt;0,MIN(99,$B$12*Q789/(J789*12*(1-Inputs!$H$16))),99)</f>
        <v>21.723427840627963</v>
      </c>
      <c r="L789" s="84">
        <f t="shared" ca="1" si="153"/>
        <v>0.86491423562375325</v>
      </c>
      <c r="M789" s="84">
        <f t="shared" ca="1" si="154"/>
        <v>0.93892771868803171</v>
      </c>
      <c r="N789" s="84">
        <f t="shared" ca="1" si="155"/>
        <v>1.0270775123072875</v>
      </c>
      <c r="O789" s="84">
        <f t="shared" ca="1" si="156"/>
        <v>1.0142141299960765</v>
      </c>
      <c r="P789" s="84">
        <f t="shared" ca="1" si="157"/>
        <v>1.3487440604370313</v>
      </c>
      <c r="Q789" s="84">
        <f t="shared" ca="1" si="158"/>
        <v>1.0863555102623068</v>
      </c>
    </row>
    <row r="790" spans="1:17" ht="15" customHeight="1" x14ac:dyDescent="0.2">
      <c r="A790" s="15">
        <v>751</v>
      </c>
      <c r="B790" s="84">
        <f t="shared" ca="1" si="161"/>
        <v>0.95709149938483296</v>
      </c>
      <c r="C790" s="84">
        <f t="shared" ca="1" si="161"/>
        <v>0.2920757685088835</v>
      </c>
      <c r="D790" s="84">
        <f t="shared" ca="1" si="161"/>
        <v>0.29603788257771724</v>
      </c>
      <c r="F790" s="84">
        <f t="shared" ca="1" si="162"/>
        <v>0.53088469353780776</v>
      </c>
      <c r="G790" s="84">
        <f t="shared" ca="1" si="162"/>
        <v>0.84812856693972438</v>
      </c>
      <c r="H790" s="84">
        <f t="shared" ca="1" si="162"/>
        <v>0.64739890109948262</v>
      </c>
      <c r="J790" s="85">
        <f t="shared" ca="1" si="152"/>
        <v>265454228.88998353</v>
      </c>
      <c r="K790" s="86">
        <f ca="1">IF(J790&gt;0,MIN(99,$B$12*Q790/(J790*12*(1-Inputs!$H$16))),99)</f>
        <v>1.9986858004675505</v>
      </c>
      <c r="L790" s="84">
        <f t="shared" ca="1" si="153"/>
        <v>1.1981890708649774</v>
      </c>
      <c r="M790" s="84">
        <f t="shared" ca="1" si="154"/>
        <v>1.0870193256872855</v>
      </c>
      <c r="N790" s="84">
        <f t="shared" ca="1" si="155"/>
        <v>0.99125897289721554</v>
      </c>
      <c r="O790" s="84">
        <f t="shared" ca="1" si="156"/>
        <v>1.0255378359862088</v>
      </c>
      <c r="P790" s="84">
        <f t="shared" ca="1" si="157"/>
        <v>1.4921866401719366</v>
      </c>
      <c r="Q790" s="84">
        <f t="shared" ca="1" si="158"/>
        <v>1.1640298486524714</v>
      </c>
    </row>
    <row r="791" spans="1:17" ht="15" customHeight="1" x14ac:dyDescent="0.2">
      <c r="A791" s="15">
        <v>752</v>
      </c>
      <c r="B791" s="84">
        <f t="shared" ca="1" si="161"/>
        <v>0.18141110207141953</v>
      </c>
      <c r="C791" s="84">
        <f t="shared" ca="1" si="161"/>
        <v>0.19028724695404198</v>
      </c>
      <c r="D791" s="84">
        <f t="shared" ca="1" si="161"/>
        <v>0.73332376851337822</v>
      </c>
      <c r="F791" s="84">
        <f t="shared" ca="1" si="162"/>
        <v>0.30566815658385893</v>
      </c>
      <c r="G791" s="84">
        <f t="shared" ca="1" si="162"/>
        <v>0.92207650582722811</v>
      </c>
      <c r="H791" s="84">
        <f t="shared" ca="1" si="162"/>
        <v>0.58922006402892935</v>
      </c>
      <c r="J791" s="85">
        <f t="shared" ca="1" si="152"/>
        <v>48172710.806472018</v>
      </c>
      <c r="K791" s="86">
        <f ca="1">IF(J791&gt;0,MIN(99,$B$12*Q791/(J791*12*(1-Inputs!$H$16))),99)</f>
        <v>10.752721600075276</v>
      </c>
      <c r="L791" s="84">
        <f t="shared" ca="1" si="153"/>
        <v>0.91785919285448414</v>
      </c>
      <c r="M791" s="84">
        <f t="shared" ca="1" si="154"/>
        <v>0.9626146999448183</v>
      </c>
      <c r="N791" s="84">
        <f t="shared" ca="1" si="155"/>
        <v>1.0299663745119538</v>
      </c>
      <c r="O791" s="84">
        <f t="shared" ca="1" si="156"/>
        <v>1.0068470211261327</v>
      </c>
      <c r="P791" s="84">
        <f t="shared" ca="1" si="157"/>
        <v>1.5973193053687345</v>
      </c>
      <c r="Q791" s="84">
        <f t="shared" ca="1" si="158"/>
        <v>1.1364476342664023</v>
      </c>
    </row>
    <row r="792" spans="1:17" ht="15" customHeight="1" x14ac:dyDescent="0.2">
      <c r="A792" s="15">
        <v>753</v>
      </c>
      <c r="B792" s="84">
        <f t="shared" ca="1" si="161"/>
        <v>0.36425993253764177</v>
      </c>
      <c r="C792" s="84">
        <f t="shared" ca="1" si="161"/>
        <v>0.19456375984345797</v>
      </c>
      <c r="D792" s="84">
        <f t="shared" ca="1" si="161"/>
        <v>0.74891267065278355</v>
      </c>
      <c r="F792" s="84">
        <f t="shared" ca="1" si="162"/>
        <v>0.40913489094425748</v>
      </c>
      <c r="G792" s="84">
        <f t="shared" ca="1" si="162"/>
        <v>0.51003876326582975</v>
      </c>
      <c r="H792" s="84">
        <f t="shared" ca="1" si="162"/>
        <v>0.78586302965976707</v>
      </c>
      <c r="J792" s="85">
        <f t="shared" ca="1" si="152"/>
        <v>101819847.25777335</v>
      </c>
      <c r="K792" s="86">
        <f ca="1">IF(J792&gt;0,MIN(99,$B$12*Q792/(J792*12*(1-Inputs!$H$16))),99)</f>
        <v>5.554181929521957</v>
      </c>
      <c r="L792" s="84">
        <f t="shared" ca="1" si="153"/>
        <v>0.97743330361006486</v>
      </c>
      <c r="M792" s="84">
        <f t="shared" ca="1" si="154"/>
        <v>0.98926749028909133</v>
      </c>
      <c r="N792" s="84">
        <f t="shared" ca="1" si="155"/>
        <v>1.0317589516965986</v>
      </c>
      <c r="O792" s="84">
        <f t="shared" ca="1" si="156"/>
        <v>1.0149848108358506</v>
      </c>
      <c r="P792" s="84">
        <f t="shared" ca="1" si="157"/>
        <v>1.197149438595531</v>
      </c>
      <c r="Q792" s="84">
        <f t="shared" ca="1" si="158"/>
        <v>1.2407448572502966</v>
      </c>
    </row>
    <row r="793" spans="1:17" ht="15" customHeight="1" x14ac:dyDescent="0.2">
      <c r="A793" s="15">
        <v>754</v>
      </c>
      <c r="B793" s="84">
        <f t="shared" ca="1" si="161"/>
        <v>0.39696437880826574</v>
      </c>
      <c r="C793" s="84">
        <f t="shared" ca="1" si="161"/>
        <v>8.6929092178318346E-2</v>
      </c>
      <c r="D793" s="84">
        <f t="shared" ca="1" si="161"/>
        <v>0.56783663232789472</v>
      </c>
      <c r="F793" s="84">
        <f t="shared" ca="1" si="162"/>
        <v>0.85753411814111935</v>
      </c>
      <c r="G793" s="84">
        <f t="shared" ca="1" si="162"/>
        <v>3.4555643012897153E-2</v>
      </c>
      <c r="H793" s="84">
        <f t="shared" ca="1" si="162"/>
        <v>0.45723551234484483</v>
      </c>
      <c r="J793" s="85">
        <f t="shared" ca="1" si="152"/>
        <v>115008172.91604267</v>
      </c>
      <c r="K793" s="86">
        <f ca="1">IF(J793&gt;0,MIN(99,$B$12*Q793/(J793*12*(1-Inputs!$H$16))),99)</f>
        <v>4.2816616750099277</v>
      </c>
      <c r="L793" s="84">
        <f t="shared" ca="1" si="153"/>
        <v>0.98632556072545952</v>
      </c>
      <c r="M793" s="84">
        <f t="shared" ca="1" si="154"/>
        <v>0.99324578659226836</v>
      </c>
      <c r="N793" s="84">
        <f t="shared" ca="1" si="155"/>
        <v>1.0134709088040674</v>
      </c>
      <c r="O793" s="84">
        <f t="shared" ca="1" si="156"/>
        <v>1.0642779061721517</v>
      </c>
      <c r="P793" s="84">
        <f t="shared" ca="1" si="157"/>
        <v>0.89661151903111991</v>
      </c>
      <c r="Q793" s="84">
        <f t="shared" ca="1" si="158"/>
        <v>1.0803662112636643</v>
      </c>
    </row>
    <row r="794" spans="1:17" ht="15" customHeight="1" x14ac:dyDescent="0.2">
      <c r="A794" s="15">
        <v>755</v>
      </c>
      <c r="B794" s="84">
        <f t="shared" ca="1" si="161"/>
        <v>0.12616211403267952</v>
      </c>
      <c r="C794" s="84">
        <f t="shared" ca="1" si="161"/>
        <v>0.48083724849462051</v>
      </c>
      <c r="D794" s="84">
        <f t="shared" ca="1" si="161"/>
        <v>3.1121828199720536E-2</v>
      </c>
      <c r="F794" s="84">
        <f t="shared" ca="1" si="162"/>
        <v>0.81515638676063484</v>
      </c>
      <c r="G794" s="84">
        <f t="shared" ca="1" si="162"/>
        <v>0.9127770279956603</v>
      </c>
      <c r="H794" s="84">
        <f t="shared" ca="1" si="162"/>
        <v>0.67916148356910433</v>
      </c>
      <c r="J794" s="85">
        <f t="shared" ca="1" si="152"/>
        <v>39055499.138980284</v>
      </c>
      <c r="K794" s="86">
        <f ca="1">IF(J794&gt;0,MIN(99,$B$12*Q794/(J794*12*(1-Inputs!$H$16))),99)</f>
        <v>13.771782948272749</v>
      </c>
      <c r="L794" s="84">
        <f t="shared" ca="1" si="153"/>
        <v>0.89413537605881999</v>
      </c>
      <c r="M794" s="84">
        <f t="shared" ca="1" si="154"/>
        <v>0.95200092984902973</v>
      </c>
      <c r="N794" s="84">
        <f t="shared" ca="1" si="155"/>
        <v>0.95589884151927773</v>
      </c>
      <c r="O794" s="84">
        <f t="shared" ca="1" si="156"/>
        <v>1.057664700087787</v>
      </c>
      <c r="P794" s="84">
        <f t="shared" ca="1" si="157"/>
        <v>1.581926257521622</v>
      </c>
      <c r="Q794" s="84">
        <f t="shared" ca="1" si="158"/>
        <v>1.1800551466078144</v>
      </c>
    </row>
    <row r="795" spans="1:17" ht="15" customHeight="1" x14ac:dyDescent="0.2">
      <c r="A795" s="15">
        <v>756</v>
      </c>
      <c r="B795" s="84">
        <f t="shared" ca="1" si="161"/>
        <v>0.75966959169962223</v>
      </c>
      <c r="C795" s="84">
        <f t="shared" ca="1" si="161"/>
        <v>9.6050908498698906E-2</v>
      </c>
      <c r="D795" s="84">
        <f t="shared" ca="1" si="161"/>
        <v>0.98520039167927398</v>
      </c>
      <c r="F795" s="84">
        <f t="shared" ca="1" si="162"/>
        <v>0.30846120499160745</v>
      </c>
      <c r="G795" s="84">
        <f t="shared" ca="1" si="162"/>
        <v>0.11290293130254581</v>
      </c>
      <c r="H795" s="84">
        <f t="shared" ca="1" si="162"/>
        <v>0.68974197454619357</v>
      </c>
      <c r="J795" s="85">
        <f t="shared" ca="1" si="152"/>
        <v>185257346.88265437</v>
      </c>
      <c r="K795" s="86">
        <f ca="1">IF(J795&gt;0,MIN(99,$B$12*Q795/(J795*12*(1-Inputs!$H$16))),99)</f>
        <v>2.9168974393966089</v>
      </c>
      <c r="L795" s="84">
        <f t="shared" ca="1" si="153"/>
        <v>1.0932159766610334</v>
      </c>
      <c r="M795" s="84">
        <f t="shared" ca="1" si="154"/>
        <v>1.0405933976732635</v>
      </c>
      <c r="N795" s="84">
        <f t="shared" ca="1" si="155"/>
        <v>1.0761533712939417</v>
      </c>
      <c r="O795" s="84">
        <f t="shared" ca="1" si="156"/>
        <v>1.0070583968916851</v>
      </c>
      <c r="P795" s="84">
        <f t="shared" ca="1" si="157"/>
        <v>0.96276970754247915</v>
      </c>
      <c r="Q795" s="84">
        <f t="shared" ca="1" si="158"/>
        <v>1.185568196924804</v>
      </c>
    </row>
    <row r="796" spans="1:17" ht="15" customHeight="1" x14ac:dyDescent="0.2">
      <c r="A796" s="15">
        <v>757</v>
      </c>
      <c r="B796" s="84">
        <f t="shared" ca="1" si="161"/>
        <v>1.1937235408180924E-2</v>
      </c>
      <c r="C796" s="84">
        <f t="shared" ca="1" si="161"/>
        <v>0.78063959261235616</v>
      </c>
      <c r="D796" s="84">
        <f t="shared" ca="1" si="161"/>
        <v>4.7336087361478207E-2</v>
      </c>
      <c r="F796" s="84">
        <f t="shared" ca="1" si="162"/>
        <v>0.44317074306159543</v>
      </c>
      <c r="G796" s="84">
        <f t="shared" ca="1" si="162"/>
        <v>5.0704722381633816E-2</v>
      </c>
      <c r="H796" s="84">
        <f t="shared" ca="1" si="162"/>
        <v>4.3454574842317295E-2</v>
      </c>
      <c r="J796" s="85">
        <f t="shared" ca="1" si="152"/>
        <v>17663112.743085429</v>
      </c>
      <c r="K796" s="86">
        <f ca="1">IF(J796&gt;0,MIN(99,$B$12*Q796/(J796*12*(1-Inputs!$H$16))),99)</f>
        <v>23.475071557069395</v>
      </c>
      <c r="L796" s="84">
        <f t="shared" ca="1" si="153"/>
        <v>0.81164613190256718</v>
      </c>
      <c r="M796" s="84">
        <f t="shared" ca="1" si="154"/>
        <v>0.91509616530836557</v>
      </c>
      <c r="N796" s="84">
        <f t="shared" ca="1" si="155"/>
        <v>0.95985673743372002</v>
      </c>
      <c r="O796" s="84">
        <f t="shared" ca="1" si="156"/>
        <v>1.0178156103973235</v>
      </c>
      <c r="P796" s="84">
        <f t="shared" ca="1" si="157"/>
        <v>0.91392490140767557</v>
      </c>
      <c r="Q796" s="84">
        <f t="shared" ca="1" si="158"/>
        <v>0.90971238478394401</v>
      </c>
    </row>
    <row r="797" spans="1:17" ht="15" customHeight="1" x14ac:dyDescent="0.2">
      <c r="A797" s="15">
        <v>758</v>
      </c>
      <c r="B797" s="84">
        <f t="shared" ca="1" si="161"/>
        <v>0.64925547617260859</v>
      </c>
      <c r="C797" s="84">
        <f t="shared" ca="1" si="161"/>
        <v>0.42136202451950144</v>
      </c>
      <c r="D797" s="84">
        <f t="shared" ca="1" si="161"/>
        <v>0.74956239531459468</v>
      </c>
      <c r="F797" s="84">
        <f t="shared" ca="1" si="162"/>
        <v>0.49304733585690996</v>
      </c>
      <c r="G797" s="84">
        <f t="shared" ca="1" si="162"/>
        <v>0.17117955269798368</v>
      </c>
      <c r="H797" s="84">
        <f t="shared" ca="1" si="162"/>
        <v>0.76333663034868204</v>
      </c>
      <c r="J797" s="85">
        <f t="shared" ca="1" si="152"/>
        <v>163719245.5041936</v>
      </c>
      <c r="K797" s="86">
        <f ca="1">IF(J797&gt;0,MIN(99,$B$12*Q797/(J797*12*(1-Inputs!$H$16))),99)</f>
        <v>3.4155679005431292</v>
      </c>
      <c r="L797" s="84">
        <f t="shared" ca="1" si="153"/>
        <v>1.0553926867650663</v>
      </c>
      <c r="M797" s="84">
        <f t="shared" ca="1" si="154"/>
        <v>1.023865479464507</v>
      </c>
      <c r="N797" s="84">
        <f t="shared" ca="1" si="155"/>
        <v>1.0318348552356047</v>
      </c>
      <c r="O797" s="84">
        <f t="shared" ca="1" si="156"/>
        <v>1.0221251191796283</v>
      </c>
      <c r="P797" s="84">
        <f t="shared" ca="1" si="157"/>
        <v>0.99702494643665418</v>
      </c>
      <c r="Q797" s="84">
        <f t="shared" ca="1" si="158"/>
        <v>1.2268531981845654</v>
      </c>
    </row>
    <row r="798" spans="1:17" ht="15" customHeight="1" x14ac:dyDescent="0.2">
      <c r="A798" s="15">
        <v>759</v>
      </c>
      <c r="B798" s="84">
        <f t="shared" ca="1" si="161"/>
        <v>2.0848255501532131E-3</v>
      </c>
      <c r="C798" s="84">
        <f t="shared" ca="1" si="161"/>
        <v>0.80134954072323039</v>
      </c>
      <c r="D798" s="84">
        <f t="shared" ca="1" si="161"/>
        <v>0.29670211636300936</v>
      </c>
      <c r="F798" s="84">
        <f t="shared" ca="1" si="162"/>
        <v>0.83278014822965929</v>
      </c>
      <c r="G798" s="84">
        <f t="shared" ca="1" si="162"/>
        <v>0.48850769457327203</v>
      </c>
      <c r="H798" s="84">
        <f t="shared" ca="1" si="162"/>
        <v>0.57770573590560292</v>
      </c>
      <c r="J798" s="85">
        <f t="shared" ca="1" si="152"/>
        <v>-17877333.303909734</v>
      </c>
      <c r="K798" s="86">
        <f ca="1">IF(J798&gt;0,MIN(99,$B$12*Q798/(J798*12*(1-Inputs!$H$16))),99)</f>
        <v>99</v>
      </c>
      <c r="L798" s="84">
        <f t="shared" ca="1" si="153"/>
        <v>0.79031479266566274</v>
      </c>
      <c r="M798" s="84">
        <f t="shared" ca="1" si="154"/>
        <v>0.90555276289357556</v>
      </c>
      <c r="N798" s="84">
        <f t="shared" ca="1" si="155"/>
        <v>0.99131764315160353</v>
      </c>
      <c r="O798" s="84">
        <f t="shared" ca="1" si="156"/>
        <v>1.0603117500984971</v>
      </c>
      <c r="P798" s="84">
        <f t="shared" ca="1" si="157"/>
        <v>1.1826816005731242</v>
      </c>
      <c r="Q798" s="84">
        <f t="shared" ca="1" si="158"/>
        <v>1.1312257660734228</v>
      </c>
    </row>
    <row r="799" spans="1:17" ht="15" customHeight="1" x14ac:dyDescent="0.2">
      <c r="A799" s="15">
        <v>760</v>
      </c>
      <c r="B799" s="84">
        <f t="shared" ca="1" si="161"/>
        <v>0.23821569225615202</v>
      </c>
      <c r="C799" s="84">
        <f t="shared" ca="1" si="161"/>
        <v>0.4183676648146295</v>
      </c>
      <c r="D799" s="84">
        <f t="shared" ca="1" si="161"/>
        <v>0.38487849496432325</v>
      </c>
      <c r="F799" s="84">
        <f t="shared" ca="1" si="162"/>
        <v>0.65246832598626081</v>
      </c>
      <c r="G799" s="84">
        <f t="shared" ca="1" si="162"/>
        <v>0.94455172913136354</v>
      </c>
      <c r="H799" s="84">
        <f t="shared" ca="1" si="162"/>
        <v>8.6288536047691045E-2</v>
      </c>
      <c r="J799" s="85">
        <f t="shared" ca="1" si="152"/>
        <v>61672958.32227771</v>
      </c>
      <c r="K799" s="86">
        <f ca="1">IF(J799&gt;0,MIN(99,$B$12*Q799/(J799*12*(1-Inputs!$H$16))),99)</f>
        <v>6.9283871312960006</v>
      </c>
      <c r="L799" s="84">
        <f t="shared" ca="1" si="153"/>
        <v>0.93870481171552989</v>
      </c>
      <c r="M799" s="84">
        <f t="shared" ca="1" si="154"/>
        <v>0.97194079650007459</v>
      </c>
      <c r="N799" s="84">
        <f t="shared" ca="1" si="155"/>
        <v>0.99859606196801598</v>
      </c>
      <c r="O799" s="84">
        <f t="shared" ca="1" si="156"/>
        <v>1.0375579676131372</v>
      </c>
      <c r="P799" s="84">
        <f t="shared" ca="1" si="157"/>
        <v>1.6388489976993015</v>
      </c>
      <c r="Q799" s="84">
        <f t="shared" ca="1" si="158"/>
        <v>0.93746889945668532</v>
      </c>
    </row>
    <row r="800" spans="1:17" ht="15" customHeight="1" x14ac:dyDescent="0.2">
      <c r="A800" s="15">
        <v>761</v>
      </c>
      <c r="B800" s="84">
        <f t="shared" ref="B800:D819" ca="1" si="163">RAND()</f>
        <v>0.25579660605833709</v>
      </c>
      <c r="C800" s="84">
        <f t="shared" ca="1" si="163"/>
        <v>0.49840542127899523</v>
      </c>
      <c r="D800" s="84">
        <f t="shared" ca="1" si="163"/>
        <v>0.50217908517582543</v>
      </c>
      <c r="F800" s="84">
        <f t="shared" ref="F800:H819" ca="1" si="164">RAND()</f>
        <v>0.72132507563488457</v>
      </c>
      <c r="G800" s="84">
        <f t="shared" ca="1" si="164"/>
        <v>5.3426839236420998E-2</v>
      </c>
      <c r="H800" s="84">
        <f t="shared" ca="1" si="164"/>
        <v>0.46005150479133483</v>
      </c>
      <c r="J800" s="85">
        <f t="shared" ca="1" si="152"/>
        <v>89813352.730250105</v>
      </c>
      <c r="K800" s="86">
        <f ca="1">IF(J800&gt;0,MIN(99,$B$12*Q800/(J800*12*(1-Inputs!$H$16))),99)</f>
        <v>5.4884563548260585</v>
      </c>
      <c r="L800" s="84">
        <f t="shared" ca="1" si="153"/>
        <v>0.94463819788468317</v>
      </c>
      <c r="M800" s="84">
        <f t="shared" ca="1" si="154"/>
        <v>0.97459532706028507</v>
      </c>
      <c r="N800" s="84">
        <f t="shared" ca="1" si="155"/>
        <v>1.0078345738440753</v>
      </c>
      <c r="O800" s="84">
        <f t="shared" ca="1" si="156"/>
        <v>1.0453219568893533</v>
      </c>
      <c r="P800" s="84">
        <f t="shared" ca="1" si="157"/>
        <v>0.9165538743125563</v>
      </c>
      <c r="Q800" s="84">
        <f t="shared" ca="1" si="158"/>
        <v>1.0814864071039831</v>
      </c>
    </row>
    <row r="801" spans="1:17" ht="15" customHeight="1" x14ac:dyDescent="0.2">
      <c r="A801" s="15">
        <v>762</v>
      </c>
      <c r="B801" s="84">
        <f t="shared" ca="1" si="163"/>
        <v>5.4925226087438106E-2</v>
      </c>
      <c r="C801" s="84">
        <f t="shared" ca="1" si="163"/>
        <v>0.78297179944495365</v>
      </c>
      <c r="D801" s="84">
        <f t="shared" ca="1" si="163"/>
        <v>0.91715277217859315</v>
      </c>
      <c r="F801" s="84">
        <f t="shared" ca="1" si="164"/>
        <v>0.82385450605148847</v>
      </c>
      <c r="G801" s="84">
        <f t="shared" ca="1" si="164"/>
        <v>0.33807638004350815</v>
      </c>
      <c r="H801" s="84">
        <f t="shared" ca="1" si="164"/>
        <v>0.7806639234591588</v>
      </c>
      <c r="J801" s="85">
        <f t="shared" ca="1" si="152"/>
        <v>12614196.353865847</v>
      </c>
      <c r="K801" s="86">
        <f ca="1">IF(J801&gt;0,MIN(99,$B$12*Q801/(J801*12*(1-Inputs!$H$16))),99)</f>
        <v>44.714390352030286</v>
      </c>
      <c r="L801" s="84">
        <f t="shared" ca="1" si="153"/>
        <v>0.85360717483052539</v>
      </c>
      <c r="M801" s="84">
        <f t="shared" ca="1" si="154"/>
        <v>0.93386906624807697</v>
      </c>
      <c r="N801" s="84">
        <f t="shared" ca="1" si="155"/>
        <v>1.0567101524453089</v>
      </c>
      <c r="O801" s="84">
        <f t="shared" ca="1" si="156"/>
        <v>1.0589545752876361</v>
      </c>
      <c r="P801" s="84">
        <f t="shared" ca="1" si="157"/>
        <v>1.0891112239508665</v>
      </c>
      <c r="Q801" s="84">
        <f t="shared" ca="1" si="158"/>
        <v>1.2374761635606162</v>
      </c>
    </row>
    <row r="802" spans="1:17" ht="15" customHeight="1" x14ac:dyDescent="0.2">
      <c r="A802" s="15">
        <v>763</v>
      </c>
      <c r="B802" s="84">
        <f t="shared" ca="1" si="163"/>
        <v>0.96666336097672456</v>
      </c>
      <c r="C802" s="84">
        <f t="shared" ca="1" si="163"/>
        <v>0.32988756348664383</v>
      </c>
      <c r="D802" s="84">
        <f t="shared" ca="1" si="163"/>
        <v>0.12495418976630512</v>
      </c>
      <c r="F802" s="84">
        <f t="shared" ca="1" si="164"/>
        <v>9.0259360671335442E-2</v>
      </c>
      <c r="G802" s="84">
        <f t="shared" ca="1" si="164"/>
        <v>0.23875903757517025</v>
      </c>
      <c r="H802" s="84">
        <f t="shared" ca="1" si="164"/>
        <v>0.40391279280204873</v>
      </c>
      <c r="J802" s="85">
        <f t="shared" ca="1" si="152"/>
        <v>301090753.18638855</v>
      </c>
      <c r="K802" s="86">
        <f ca="1">IF(J802&gt;0,MIN(99,$B$12*Q802/(J802*12*(1-Inputs!$H$16))),99)</f>
        <v>1.6041563050132381</v>
      </c>
      <c r="L802" s="84">
        <f t="shared" ca="1" si="153"/>
        <v>1.2072963231005849</v>
      </c>
      <c r="M802" s="84">
        <f t="shared" ca="1" si="154"/>
        <v>1.0910471448146748</v>
      </c>
      <c r="N802" s="84">
        <f t="shared" ca="1" si="155"/>
        <v>0.97292829926215385</v>
      </c>
      <c r="O802" s="84">
        <f t="shared" ca="1" si="156"/>
        <v>0.98952824502350767</v>
      </c>
      <c r="P802" s="84">
        <f t="shared" ca="1" si="157"/>
        <v>1.033097976652686</v>
      </c>
      <c r="Q802" s="84">
        <f t="shared" ca="1" si="158"/>
        <v>1.0596783026947572</v>
      </c>
    </row>
    <row r="803" spans="1:17" ht="15" customHeight="1" x14ac:dyDescent="0.2">
      <c r="A803" s="15">
        <v>764</v>
      </c>
      <c r="B803" s="84">
        <f t="shared" ca="1" si="163"/>
        <v>0.32695381105812893</v>
      </c>
      <c r="C803" s="84">
        <f t="shared" ca="1" si="163"/>
        <v>0.82173134828254923</v>
      </c>
      <c r="D803" s="84">
        <f t="shared" ca="1" si="163"/>
        <v>0.87876180812122029</v>
      </c>
      <c r="F803" s="84">
        <f t="shared" ca="1" si="164"/>
        <v>0.32344330745566985</v>
      </c>
      <c r="G803" s="84">
        <f t="shared" ca="1" si="164"/>
        <v>0.9691316169053682</v>
      </c>
      <c r="H803" s="84">
        <f t="shared" ca="1" si="164"/>
        <v>0.3551695603855205</v>
      </c>
      <c r="J803" s="85">
        <f t="shared" ca="1" si="152"/>
        <v>73057405.672463045</v>
      </c>
      <c r="K803" s="86">
        <f ca="1">IF(J803&gt;0,MIN(99,$B$12*Q803/(J803*12*(1-Inputs!$H$16))),99)</f>
        <v>6.4981743459480237</v>
      </c>
      <c r="L803" s="84">
        <f t="shared" ca="1" si="153"/>
        <v>0.96678713133064875</v>
      </c>
      <c r="M803" s="84">
        <f t="shared" ca="1" si="154"/>
        <v>0.98450451197294908</v>
      </c>
      <c r="N803" s="84">
        <f t="shared" ca="1" si="155"/>
        <v>1.0496478081665748</v>
      </c>
      <c r="O803" s="84">
        <f t="shared" ca="1" si="156"/>
        <v>1.0081995894357034</v>
      </c>
      <c r="P803" s="84">
        <f t="shared" ca="1" si="157"/>
        <v>1.6956954467665915</v>
      </c>
      <c r="Q803" s="84">
        <f t="shared" ca="1" si="158"/>
        <v>1.0415630069114372</v>
      </c>
    </row>
    <row r="804" spans="1:17" ht="15" customHeight="1" x14ac:dyDescent="0.2">
      <c r="A804" s="15">
        <v>765</v>
      </c>
      <c r="B804" s="84">
        <f t="shared" ca="1" si="163"/>
        <v>0.29060133554122869</v>
      </c>
      <c r="C804" s="84">
        <f t="shared" ca="1" si="163"/>
        <v>0.98229317233976032</v>
      </c>
      <c r="D804" s="84">
        <f t="shared" ca="1" si="163"/>
        <v>0.22264617786780883</v>
      </c>
      <c r="F804" s="84">
        <f t="shared" ca="1" si="164"/>
        <v>0.67629015174836637</v>
      </c>
      <c r="G804" s="84">
        <f t="shared" ca="1" si="164"/>
        <v>0.66866681354630209</v>
      </c>
      <c r="H804" s="84">
        <f t="shared" ca="1" si="164"/>
        <v>0.51824777916584353</v>
      </c>
      <c r="J804" s="85">
        <f t="shared" ca="1" si="152"/>
        <v>88070369.5999742</v>
      </c>
      <c r="K804" s="86">
        <f ca="1">IF(J804&gt;0,MIN(99,$B$12*Q804/(J804*12*(1-Inputs!$H$16))),99)</f>
        <v>5.7204640988216582</v>
      </c>
      <c r="L804" s="84">
        <f t="shared" ca="1" si="153"/>
        <v>0.95581108994856545</v>
      </c>
      <c r="M804" s="84">
        <f t="shared" ca="1" si="154"/>
        <v>0.97959395391246928</v>
      </c>
      <c r="N804" s="84">
        <f t="shared" ca="1" si="155"/>
        <v>0.98431161427295555</v>
      </c>
      <c r="O804" s="84">
        <f t="shared" ca="1" si="156"/>
        <v>1.0401488154058698</v>
      </c>
      <c r="P804" s="84">
        <f t="shared" ca="1" si="157"/>
        <v>1.3154026613333585</v>
      </c>
      <c r="Q804" s="84">
        <f t="shared" ca="1" si="158"/>
        <v>1.1053276260049265</v>
      </c>
    </row>
    <row r="805" spans="1:17" ht="15" customHeight="1" x14ac:dyDescent="0.2">
      <c r="A805" s="15">
        <v>766</v>
      </c>
      <c r="B805" s="84">
        <f t="shared" ca="1" si="163"/>
        <v>0.92677057772913518</v>
      </c>
      <c r="C805" s="84">
        <f t="shared" ca="1" si="163"/>
        <v>0.87010225040095812</v>
      </c>
      <c r="D805" s="84">
        <f t="shared" ca="1" si="163"/>
        <v>1.5986184863287178E-2</v>
      </c>
      <c r="F805" s="84">
        <f t="shared" ca="1" si="164"/>
        <v>0.85374130732560927</v>
      </c>
      <c r="G805" s="84">
        <f t="shared" ca="1" si="164"/>
        <v>0.18156263136567807</v>
      </c>
      <c r="H805" s="84">
        <f t="shared" ca="1" si="164"/>
        <v>0.41337359874837198</v>
      </c>
      <c r="J805" s="85">
        <f t="shared" ca="1" si="152"/>
        <v>268523939.29289961</v>
      </c>
      <c r="K805" s="86">
        <f ca="1">IF(J805&gt;0,MIN(99,$B$12*Q805/(J805*12*(1-Inputs!$H$16))),99)</f>
        <v>1.8048219600126547</v>
      </c>
      <c r="L805" s="84">
        <f t="shared" ca="1" si="153"/>
        <v>1.1746553660515724</v>
      </c>
      <c r="M805" s="84">
        <f t="shared" ca="1" si="154"/>
        <v>1.0766111911661891</v>
      </c>
      <c r="N805" s="84">
        <f t="shared" ca="1" si="155"/>
        <v>0.95109247420821297</v>
      </c>
      <c r="O805" s="84">
        <f t="shared" ca="1" si="156"/>
        <v>1.0636490279847433</v>
      </c>
      <c r="P805" s="84">
        <f t="shared" ca="1" si="157"/>
        <v>1.0024935693700416</v>
      </c>
      <c r="Q805" s="84">
        <f t="shared" ca="1" si="158"/>
        <v>1.0632791987625563</v>
      </c>
    </row>
    <row r="806" spans="1:17" ht="15" customHeight="1" x14ac:dyDescent="0.2">
      <c r="A806" s="15">
        <v>767</v>
      </c>
      <c r="B806" s="84">
        <f t="shared" ca="1" si="163"/>
        <v>0.95800060410608368</v>
      </c>
      <c r="C806" s="84">
        <f t="shared" ca="1" si="163"/>
        <v>0.19024889542241852</v>
      </c>
      <c r="D806" s="84">
        <f t="shared" ca="1" si="163"/>
        <v>0.63785016267133265</v>
      </c>
      <c r="F806" s="84">
        <f t="shared" ca="1" si="164"/>
        <v>0.56530343423633389</v>
      </c>
      <c r="G806" s="84">
        <f t="shared" ca="1" si="164"/>
        <v>0.2138505223279944</v>
      </c>
      <c r="H806" s="84">
        <f t="shared" ca="1" si="164"/>
        <v>0.98118479409714299</v>
      </c>
      <c r="J806" s="85">
        <f t="shared" ca="1" si="152"/>
        <v>276030283.91523087</v>
      </c>
      <c r="K806" s="86">
        <f ca="1">IF(J806&gt;0,MIN(99,$B$12*Q806/(J806*12*(1-Inputs!$H$16))),99)</f>
        <v>2.3634889377059438</v>
      </c>
      <c r="L806" s="84">
        <f t="shared" ca="1" si="153"/>
        <v>1.1990071257589667</v>
      </c>
      <c r="M806" s="84">
        <f t="shared" ca="1" si="154"/>
        <v>1.0873811227545045</v>
      </c>
      <c r="N806" s="84">
        <f t="shared" ca="1" si="155"/>
        <v>1.0199765174802928</v>
      </c>
      <c r="O806" s="84">
        <f t="shared" ca="1" si="156"/>
        <v>1.0287638970484039</v>
      </c>
      <c r="P806" s="84">
        <f t="shared" ca="1" si="157"/>
        <v>1.0196334741641739</v>
      </c>
      <c r="Q806" s="84">
        <f t="shared" ca="1" si="158"/>
        <v>1.4313315605234902</v>
      </c>
    </row>
    <row r="807" spans="1:17" ht="15" customHeight="1" x14ac:dyDescent="0.2">
      <c r="A807" s="15">
        <v>768</v>
      </c>
      <c r="B807" s="84">
        <f t="shared" ca="1" si="163"/>
        <v>0.96819407497437582</v>
      </c>
      <c r="C807" s="84">
        <f t="shared" ca="1" si="163"/>
        <v>0.73157962247894726</v>
      </c>
      <c r="D807" s="84">
        <f t="shared" ca="1" si="163"/>
        <v>0.36037879488239355</v>
      </c>
      <c r="F807" s="84">
        <f t="shared" ca="1" si="164"/>
        <v>0.76242573638579059</v>
      </c>
      <c r="G807" s="84">
        <f t="shared" ca="1" si="164"/>
        <v>0.14641065098171635</v>
      </c>
      <c r="H807" s="84">
        <f t="shared" ca="1" si="164"/>
        <v>2.7387135317018529E-3</v>
      </c>
      <c r="J807" s="85">
        <f t="shared" ca="1" si="152"/>
        <v>287942335.30468261</v>
      </c>
      <c r="K807" s="86">
        <f ca="1">IF(J807&gt;0,MIN(99,$B$12*Q807/(J807*12*(1-Inputs!$H$16))),99)</f>
        <v>1.3595945033586583</v>
      </c>
      <c r="L807" s="84">
        <f t="shared" ca="1" si="153"/>
        <v>1.2088689581888858</v>
      </c>
      <c r="M807" s="84">
        <f t="shared" ca="1" si="154"/>
        <v>1.091742666309544</v>
      </c>
      <c r="N807" s="84">
        <f t="shared" ca="1" si="155"/>
        <v>0.99666589267315087</v>
      </c>
      <c r="O807" s="84">
        <f t="shared" ca="1" si="156"/>
        <v>1.0504223292293038</v>
      </c>
      <c r="P807" s="84">
        <f t="shared" ca="1" si="157"/>
        <v>0.98331809885907751</v>
      </c>
      <c r="Q807" s="84">
        <f t="shared" ca="1" si="158"/>
        <v>0.85890447236786693</v>
      </c>
    </row>
    <row r="808" spans="1:17" ht="15" customHeight="1" x14ac:dyDescent="0.2">
      <c r="A808" s="15">
        <v>769</v>
      </c>
      <c r="B808" s="84">
        <f t="shared" ca="1" si="163"/>
        <v>0.64088745519370693</v>
      </c>
      <c r="C808" s="84">
        <f t="shared" ca="1" si="163"/>
        <v>0.80131612605014479</v>
      </c>
      <c r="D808" s="84">
        <f t="shared" ca="1" si="163"/>
        <v>0.86060378570933582</v>
      </c>
      <c r="F808" s="84">
        <f t="shared" ca="1" si="164"/>
        <v>0.74799530681047854</v>
      </c>
      <c r="G808" s="84">
        <f t="shared" ca="1" si="164"/>
        <v>0.61850928769872615</v>
      </c>
      <c r="H808" s="84">
        <f t="shared" ca="1" si="164"/>
        <v>0.84306590988516139</v>
      </c>
      <c r="J808" s="85">
        <f t="shared" ref="J808:J871" ca="1" si="165">$B$5*L808*M808-$B$6*L808*N808-$B$7*L808*M808-$B$8*L808*M808-$B$9*O808-$B$10*P808-$B$11</f>
        <v>143509134.06528848</v>
      </c>
      <c r="K808" s="86">
        <f ca="1">IF(J808&gt;0,MIN(99,$B$12*Q808/(J808*12*(1-Inputs!$H$16))),99)</f>
        <v>4.0645193224624032</v>
      </c>
      <c r="L808" s="84">
        <f t="shared" ref="L808:L871" ca="1" si="166">IF($D$16=$B$16,$C$16,IF(B808&lt;($C$16-$B$16)/($D$16-$B$16),$B$16+SQRT(B808*($D$16-$B$16)*($C$16-$B$16)),$D$16-SQRT((1-B808)*($D$16-$B$16)*($D$16-$C$16))))</f>
        <v>1.0527884455954972</v>
      </c>
      <c r="M808" s="84">
        <f t="shared" ref="M808:M871" ca="1" si="167">IF($D$17=$B$17,$C$17,IF(IF($B$33=1,B808,C808)&lt;($C$17-$B$17)/($D$17-$B$17),$B$17+SQRT(IF($B$33=1,B808,C808)*($D$17-$B$17)*($C$17-$B$17)),$D$17-SQRT((1-IF($B$33=1,B808,C808))*($D$17-$B$17)*($D$17-$C$17))))</f>
        <v>1.0227137146814793</v>
      </c>
      <c r="N808" s="84">
        <f t="shared" ref="N808:N871" ca="1" si="168">IF($D$18=$B$18,$C$18,IF(D808&lt;($C$18-$B$18)/($D$18-$B$18),$B$18+SQRT(D808*($D$18-$B$18)*($C$18-$B$18)),$D$18-SQRT((1-D808)*($D$18-$B$18)*($D$18-$C$18))))</f>
        <v>1.0467034170741392</v>
      </c>
      <c r="O808" s="84">
        <f t="shared" ref="O808:O871" ca="1" si="169">IF($D$19=$B$19,$C$19,IF(F808&lt;($C$19-$B$19)/($D$19-$B$19),$B$19+SQRT(F808*($D$19-$B$19)*($C$19-$B$19)),$D$19-SQRT((1-F808)*($D$19-$B$19)*($D$19-$C$19))))</f>
        <v>1.0485847210107462</v>
      </c>
      <c r="P808" s="84">
        <f t="shared" ref="P808:P871" ca="1" si="170">IF($D$20=$B$20,$C$20,IF(G808&lt;($C$20-$B$20)/($D$20-$B$20),$B$20+SQRT(G808*($D$20-$B$20)*($C$20-$B$20)),$D$20-SQRT((1-G808)*($D$20-$B$20)*($D$20-$C$20))))</f>
        <v>1.2754318816209893</v>
      </c>
      <c r="Q808" s="84">
        <f t="shared" ref="Q808:Q871" ca="1" si="171">IF($D$21=$B$21,$C$21,IF(H808&lt;($C$21-$B$21)/($D$21-$B$21),$B$21+SQRT(H808*($D$21-$B$21)*($C$21-$B$21)),$D$21-SQRT((1-H808)*($D$21-$B$21)*($D$21-$C$21))))</f>
        <v>1.2797309631061617</v>
      </c>
    </row>
    <row r="809" spans="1:17" ht="15" customHeight="1" x14ac:dyDescent="0.2">
      <c r="A809" s="15">
        <v>770</v>
      </c>
      <c r="B809" s="84">
        <f t="shared" ca="1" si="163"/>
        <v>0.96586147310586612</v>
      </c>
      <c r="C809" s="84">
        <f t="shared" ca="1" si="163"/>
        <v>0.59286987900209287</v>
      </c>
      <c r="D809" s="84">
        <f t="shared" ca="1" si="163"/>
        <v>0.41313506233505237</v>
      </c>
      <c r="F809" s="84">
        <f t="shared" ca="1" si="164"/>
        <v>0.7234074662829848</v>
      </c>
      <c r="G809" s="84">
        <f t="shared" ca="1" si="164"/>
        <v>0.61684469452621926</v>
      </c>
      <c r="H809" s="84">
        <f t="shared" ca="1" si="164"/>
        <v>0.62032929264390624</v>
      </c>
      <c r="J809" s="85">
        <f t="shared" ca="1" si="165"/>
        <v>274732977.21801102</v>
      </c>
      <c r="K809" s="86">
        <f ca="1">IF(J809&gt;0,MIN(99,$B$12*Q809/(J809*12*(1-Inputs!$H$16))),99)</f>
        <v>1.909455876056172</v>
      </c>
      <c r="L809" s="84">
        <f t="shared" ca="1" si="166"/>
        <v>1.2064868811982448</v>
      </c>
      <c r="M809" s="84">
        <f t="shared" ca="1" si="167"/>
        <v>1.0906891569724133</v>
      </c>
      <c r="N809" s="84">
        <f t="shared" ca="1" si="168"/>
        <v>1.000755142020213</v>
      </c>
      <c r="O809" s="84">
        <f t="shared" ca="1" si="169"/>
        <v>1.0455709284343626</v>
      </c>
      <c r="P809" s="84">
        <f t="shared" ca="1" si="170"/>
        <v>1.2741518918247325</v>
      </c>
      <c r="Q809" s="84">
        <f t="shared" ca="1" si="171"/>
        <v>1.1509338441690486</v>
      </c>
    </row>
    <row r="810" spans="1:17" ht="15" customHeight="1" x14ac:dyDescent="0.2">
      <c r="A810" s="15">
        <v>771</v>
      </c>
      <c r="B810" s="84">
        <f t="shared" ca="1" si="163"/>
        <v>0.81086262467974146</v>
      </c>
      <c r="C810" s="84">
        <f t="shared" ca="1" si="163"/>
        <v>5.6062537844381088E-2</v>
      </c>
      <c r="D810" s="84">
        <f t="shared" ca="1" si="163"/>
        <v>0.54331339056893235</v>
      </c>
      <c r="F810" s="84">
        <f t="shared" ca="1" si="164"/>
        <v>0.35022595078266305</v>
      </c>
      <c r="G810" s="84">
        <f t="shared" ca="1" si="164"/>
        <v>0.86097455100710663</v>
      </c>
      <c r="H810" s="84">
        <f t="shared" ca="1" si="164"/>
        <v>0.72083116173058603</v>
      </c>
      <c r="J810" s="85">
        <f t="shared" ca="1" si="165"/>
        <v>195074269.74746352</v>
      </c>
      <c r="K810" s="86">
        <f ca="1">IF(J810&gt;0,MIN(99,$B$12*Q810/(J810*12*(1-Inputs!$H$16))),99)</f>
        <v>2.8092847069726035</v>
      </c>
      <c r="L810" s="84">
        <f t="shared" ca="1" si="166"/>
        <v>1.1137350344726555</v>
      </c>
      <c r="M810" s="84">
        <f t="shared" ca="1" si="167"/>
        <v>1.049668259266151</v>
      </c>
      <c r="N810" s="84">
        <f t="shared" ca="1" si="168"/>
        <v>1.0113187028477588</v>
      </c>
      <c r="O810" s="84">
        <f t="shared" ca="1" si="169"/>
        <v>1.0102715787734322</v>
      </c>
      <c r="P810" s="84">
        <f t="shared" ca="1" si="170"/>
        <v>1.5082055200554927</v>
      </c>
      <c r="Q810" s="84">
        <f t="shared" ca="1" si="171"/>
        <v>1.2023355444004857</v>
      </c>
    </row>
    <row r="811" spans="1:17" ht="15" customHeight="1" x14ac:dyDescent="0.2">
      <c r="A811" s="15">
        <v>772</v>
      </c>
      <c r="B811" s="84">
        <f t="shared" ca="1" si="163"/>
        <v>0.52233269187476428</v>
      </c>
      <c r="C811" s="84">
        <f t="shared" ca="1" si="163"/>
        <v>0.73448356291916006</v>
      </c>
      <c r="D811" s="84">
        <f t="shared" ca="1" si="163"/>
        <v>0.32825428119750166</v>
      </c>
      <c r="F811" s="84">
        <f t="shared" ca="1" si="164"/>
        <v>0.34572317929583596</v>
      </c>
      <c r="G811" s="84">
        <f t="shared" ca="1" si="164"/>
        <v>0.53033087011541069</v>
      </c>
      <c r="H811" s="84">
        <f t="shared" ca="1" si="164"/>
        <v>0.34399378332290331</v>
      </c>
      <c r="J811" s="85">
        <f t="shared" ca="1" si="165"/>
        <v>139433673.00234514</v>
      </c>
      <c r="K811" s="86">
        <f ca="1">IF(J811&gt;0,MIN(99,$B$12*Q811/(J811*12*(1-Inputs!$H$16))),99)</f>
        <v>3.3915128248311972</v>
      </c>
      <c r="L811" s="84">
        <f t="shared" ca="1" si="166"/>
        <v>1.0187203580710713</v>
      </c>
      <c r="M811" s="84">
        <f t="shared" ca="1" si="167"/>
        <v>1.0076465911392165</v>
      </c>
      <c r="N811" s="84">
        <f t="shared" ca="1" si="168"/>
        <v>0.99403265586818501</v>
      </c>
      <c r="O811" s="84">
        <f t="shared" ca="1" si="169"/>
        <v>1.0099202844394612</v>
      </c>
      <c r="P811" s="84">
        <f t="shared" ca="1" si="170"/>
        <v>1.2110786902333064</v>
      </c>
      <c r="Q811" s="84">
        <f t="shared" ca="1" si="171"/>
        <v>1.0375070892613794</v>
      </c>
    </row>
    <row r="812" spans="1:17" ht="15" customHeight="1" x14ac:dyDescent="0.2">
      <c r="A812" s="15">
        <v>773</v>
      </c>
      <c r="B812" s="84">
        <f t="shared" ca="1" si="163"/>
        <v>0.92902685628741122</v>
      </c>
      <c r="C812" s="84">
        <f t="shared" ca="1" si="163"/>
        <v>0.21735000937888371</v>
      </c>
      <c r="D812" s="84">
        <f t="shared" ca="1" si="163"/>
        <v>0.43418594600282856</v>
      </c>
      <c r="F812" s="84">
        <f t="shared" ca="1" si="164"/>
        <v>0.51750702845523455</v>
      </c>
      <c r="G812" s="84">
        <f t="shared" ca="1" si="164"/>
        <v>0.44912876267714497</v>
      </c>
      <c r="H812" s="84">
        <f t="shared" ca="1" si="164"/>
        <v>0.41989234195255487</v>
      </c>
      <c r="J812" s="85">
        <f t="shared" ca="1" si="165"/>
        <v>257548405.46544385</v>
      </c>
      <c r="K812" s="86">
        <f ca="1">IF(J812&gt;0,MIN(99,$B$12*Q812/(J812*12*(1-Inputs!$H$16))),99)</f>
        <v>1.886156097243993</v>
      </c>
      <c r="L812" s="84">
        <f t="shared" ca="1" si="166"/>
        <v>1.1762133244790525</v>
      </c>
      <c r="M812" s="84">
        <f t="shared" ca="1" si="167"/>
        <v>1.0773002216873102</v>
      </c>
      <c r="N812" s="84">
        <f t="shared" ca="1" si="168"/>
        <v>1.0023773745193107</v>
      </c>
      <c r="O812" s="84">
        <f t="shared" ca="1" si="169"/>
        <v>1.0243160368894775</v>
      </c>
      <c r="P812" s="84">
        <f t="shared" ca="1" si="170"/>
        <v>1.1569876823524716</v>
      </c>
      <c r="Q812" s="84">
        <f t="shared" ca="1" si="171"/>
        <v>1.0657772331058029</v>
      </c>
    </row>
    <row r="813" spans="1:17" ht="15" customHeight="1" x14ac:dyDescent="0.2">
      <c r="A813" s="15">
        <v>774</v>
      </c>
      <c r="B813" s="84">
        <f t="shared" ca="1" si="163"/>
        <v>0.63677114919745725</v>
      </c>
      <c r="C813" s="84">
        <f t="shared" ca="1" si="163"/>
        <v>0.27610673736703761</v>
      </c>
      <c r="D813" s="84">
        <f t="shared" ca="1" si="163"/>
        <v>0.87333654102336578</v>
      </c>
      <c r="F813" s="84">
        <f t="shared" ca="1" si="164"/>
        <v>0.60379518499365725</v>
      </c>
      <c r="G813" s="84">
        <f t="shared" ca="1" si="164"/>
        <v>0.50030042558575927</v>
      </c>
      <c r="H813" s="84">
        <f t="shared" ca="1" si="164"/>
        <v>6.0399648411961993E-2</v>
      </c>
      <c r="J813" s="85">
        <f t="shared" ca="1" si="165"/>
        <v>148007433.06930023</v>
      </c>
      <c r="K813" s="86">
        <f ca="1">IF(J813&gt;0,MIN(99,$B$12*Q813/(J813*12*(1-Inputs!$H$16))),99)</f>
        <v>2.8388871971200507</v>
      </c>
      <c r="L813" s="84">
        <f t="shared" ca="1" si="166"/>
        <v>1.0515185310023454</v>
      </c>
      <c r="M813" s="84">
        <f t="shared" ca="1" si="167"/>
        <v>1.0221520758736236</v>
      </c>
      <c r="N813" s="84">
        <f t="shared" ca="1" si="168"/>
        <v>1.0487462655373154</v>
      </c>
      <c r="O813" s="84">
        <f t="shared" ca="1" si="169"/>
        <v>1.032527011064623</v>
      </c>
      <c r="P813" s="84">
        <f t="shared" ca="1" si="170"/>
        <v>1.1905671752061222</v>
      </c>
      <c r="Q813" s="84">
        <f t="shared" ca="1" si="171"/>
        <v>0.92185285332832856</v>
      </c>
    </row>
    <row r="814" spans="1:17" ht="15" customHeight="1" x14ac:dyDescent="0.2">
      <c r="A814" s="15">
        <v>775</v>
      </c>
      <c r="B814" s="84">
        <f t="shared" ca="1" si="163"/>
        <v>0.22767622122625042</v>
      </c>
      <c r="C814" s="84">
        <f t="shared" ca="1" si="163"/>
        <v>0.56931369068805082</v>
      </c>
      <c r="D814" s="84">
        <f t="shared" ca="1" si="163"/>
        <v>0.58455480915672975</v>
      </c>
      <c r="F814" s="84">
        <f t="shared" ca="1" si="164"/>
        <v>0.75903878763759425</v>
      </c>
      <c r="G814" s="84">
        <f t="shared" ca="1" si="164"/>
        <v>0.96556860305556136</v>
      </c>
      <c r="H814" s="84">
        <f t="shared" ca="1" si="164"/>
        <v>0.99799396932486484</v>
      </c>
      <c r="J814" s="85">
        <f t="shared" ca="1" si="165"/>
        <v>52032727.494134083</v>
      </c>
      <c r="K814" s="86">
        <f ca="1">IF(J814&gt;0,MIN(99,$B$12*Q814/(J814*12*(1-Inputs!$H$16))),99)</f>
        <v>13.011858246119049</v>
      </c>
      <c r="L814" s="84">
        <f t="shared" ca="1" si="166"/>
        <v>0.9350424159026387</v>
      </c>
      <c r="M814" s="84">
        <f t="shared" ca="1" si="167"/>
        <v>0.97030228160626075</v>
      </c>
      <c r="N814" s="84">
        <f t="shared" ca="1" si="168"/>
        <v>1.0149733283244353</v>
      </c>
      <c r="O814" s="84">
        <f t="shared" ca="1" si="169"/>
        <v>1.049986122730312</v>
      </c>
      <c r="P814" s="84">
        <f t="shared" ca="1" si="170"/>
        <v>1.6863165487618699</v>
      </c>
      <c r="Q814" s="84">
        <f t="shared" ca="1" si="171"/>
        <v>1.4854083347862876</v>
      </c>
    </row>
    <row r="815" spans="1:17" ht="15" customHeight="1" x14ac:dyDescent="0.2">
      <c r="A815" s="15">
        <v>776</v>
      </c>
      <c r="B815" s="84">
        <f t="shared" ca="1" si="163"/>
        <v>0.51780921428343696</v>
      </c>
      <c r="C815" s="84">
        <f t="shared" ca="1" si="163"/>
        <v>0.62461771763974039</v>
      </c>
      <c r="D815" s="84">
        <f t="shared" ca="1" si="163"/>
        <v>0.75723385186897396</v>
      </c>
      <c r="F815" s="84">
        <f t="shared" ca="1" si="164"/>
        <v>0.48647535877971282</v>
      </c>
      <c r="G815" s="84">
        <f t="shared" ca="1" si="164"/>
        <v>0.7280409873482494</v>
      </c>
      <c r="H815" s="84">
        <f t="shared" ca="1" si="164"/>
        <v>0.24042558185455398</v>
      </c>
      <c r="J815" s="85">
        <f t="shared" ca="1" si="165"/>
        <v>122261163.30935059</v>
      </c>
      <c r="K815" s="86">
        <f ca="1">IF(J815&gt;0,MIN(99,$B$12*Q815/(J815*12*(1-Inputs!$H$16))),99)</f>
        <v>3.7334606901655998</v>
      </c>
      <c r="L815" s="84">
        <f t="shared" ca="1" si="166"/>
        <v>1.0175097418618959</v>
      </c>
      <c r="M815" s="84">
        <f t="shared" ca="1" si="167"/>
        <v>1.0071111779325659</v>
      </c>
      <c r="N815" s="84">
        <f t="shared" ca="1" si="168"/>
        <v>1.0327386225405224</v>
      </c>
      <c r="O815" s="84">
        <f t="shared" ca="1" si="169"/>
        <v>1.0215455110433245</v>
      </c>
      <c r="P815" s="84">
        <f t="shared" ca="1" si="170"/>
        <v>1.3668650354861533</v>
      </c>
      <c r="Q815" s="84">
        <f t="shared" ca="1" si="171"/>
        <v>1.001451792337952</v>
      </c>
    </row>
    <row r="816" spans="1:17" ht="15" customHeight="1" x14ac:dyDescent="0.2">
      <c r="A816" s="15">
        <v>777</v>
      </c>
      <c r="B816" s="84">
        <f t="shared" ca="1" si="163"/>
        <v>0.12024779295248389</v>
      </c>
      <c r="C816" s="84">
        <f t="shared" ca="1" si="163"/>
        <v>7.144070007554526E-2</v>
      </c>
      <c r="D816" s="84">
        <f t="shared" ca="1" si="163"/>
        <v>0.54438101279783246</v>
      </c>
      <c r="F816" s="84">
        <f t="shared" ca="1" si="164"/>
        <v>0.6859601234984698</v>
      </c>
      <c r="G816" s="84">
        <f t="shared" ca="1" si="164"/>
        <v>0.35798726935752645</v>
      </c>
      <c r="H816" s="84">
        <f t="shared" ca="1" si="164"/>
        <v>0.23965104348254196</v>
      </c>
      <c r="J816" s="85">
        <f t="shared" ca="1" si="165"/>
        <v>47458318.783439323</v>
      </c>
      <c r="K816" s="86">
        <f ca="1">IF(J816&gt;0,MIN(99,$B$12*Q816/(J816*12*(1-Inputs!$H$16))),99)</f>
        <v>9.6155685842227552</v>
      </c>
      <c r="L816" s="84">
        <f t="shared" ca="1" si="166"/>
        <v>0.89130940076861565</v>
      </c>
      <c r="M816" s="84">
        <f t="shared" ca="1" si="167"/>
        <v>0.95073662013508475</v>
      </c>
      <c r="N816" s="84">
        <f t="shared" ca="1" si="168"/>
        <v>1.0114111782778166</v>
      </c>
      <c r="O816" s="84">
        <f t="shared" ca="1" si="169"/>
        <v>1.0412276389216879</v>
      </c>
      <c r="P816" s="84">
        <f t="shared" ca="1" si="170"/>
        <v>1.1008359708847268</v>
      </c>
      <c r="Q816" s="84">
        <f t="shared" ca="1" si="171"/>
        <v>1.0011917459172062</v>
      </c>
    </row>
    <row r="817" spans="1:17" ht="15" customHeight="1" x14ac:dyDescent="0.2">
      <c r="A817" s="15">
        <v>778</v>
      </c>
      <c r="B817" s="84">
        <f t="shared" ca="1" si="163"/>
        <v>9.1611744915155557E-2</v>
      </c>
      <c r="C817" s="84">
        <f t="shared" ca="1" si="163"/>
        <v>8.7750706086967001E-2</v>
      </c>
      <c r="D817" s="84">
        <f t="shared" ca="1" si="163"/>
        <v>0.68632138570527312</v>
      </c>
      <c r="F817" s="84">
        <f t="shared" ca="1" si="164"/>
        <v>0.82278163764333323</v>
      </c>
      <c r="G817" s="84">
        <f t="shared" ca="1" si="164"/>
        <v>0.16221258976588349</v>
      </c>
      <c r="H817" s="84">
        <f t="shared" ca="1" si="164"/>
        <v>0.70485052905727641</v>
      </c>
      <c r="J817" s="85">
        <f t="shared" ca="1" si="165"/>
        <v>36579836.731596649</v>
      </c>
      <c r="K817" s="86">
        <f ca="1">IF(J817&gt;0,MIN(99,$B$12*Q817/(J817*12*(1-Inputs!$H$16))),99)</f>
        <v>14.872685180068393</v>
      </c>
      <c r="L817" s="84">
        <f t="shared" ca="1" si="166"/>
        <v>0.87652005369854269</v>
      </c>
      <c r="M817" s="84">
        <f t="shared" ca="1" si="167"/>
        <v>0.94412003179179316</v>
      </c>
      <c r="N817" s="84">
        <f t="shared" ca="1" si="168"/>
        <v>1.0248576924713191</v>
      </c>
      <c r="O817" s="84">
        <f t="shared" ca="1" si="169"/>
        <v>1.0587937798389591</v>
      </c>
      <c r="P817" s="84">
        <f t="shared" ca="1" si="170"/>
        <v>0.99218500166813584</v>
      </c>
      <c r="Q817" s="84">
        <f t="shared" ca="1" si="171"/>
        <v>1.1936062637361931</v>
      </c>
    </row>
    <row r="818" spans="1:17" ht="15" customHeight="1" x14ac:dyDescent="0.2">
      <c r="A818" s="15">
        <v>779</v>
      </c>
      <c r="B818" s="84">
        <f t="shared" ca="1" si="163"/>
        <v>0.81052500077387102</v>
      </c>
      <c r="C818" s="84">
        <f t="shared" ca="1" si="163"/>
        <v>2.9149308740231805E-2</v>
      </c>
      <c r="D818" s="84">
        <f t="shared" ca="1" si="163"/>
        <v>8.1434373376565672E-2</v>
      </c>
      <c r="F818" s="84">
        <f t="shared" ca="1" si="164"/>
        <v>0.64905781007311103</v>
      </c>
      <c r="G818" s="84">
        <f t="shared" ca="1" si="164"/>
        <v>0.2716063581572935</v>
      </c>
      <c r="H818" s="84">
        <f t="shared" ca="1" si="164"/>
        <v>0.46403323664302187</v>
      </c>
      <c r="J818" s="85">
        <f t="shared" ca="1" si="165"/>
        <v>218502520.49375147</v>
      </c>
      <c r="K818" s="86">
        <f ca="1">IF(J818&gt;0,MIN(99,$B$12*Q818/(J818*12*(1-Inputs!$H$16))),99)</f>
        <v>2.2592915121770742</v>
      </c>
      <c r="L818" s="84">
        <f t="shared" ca="1" si="166"/>
        <v>1.1135911638304992</v>
      </c>
      <c r="M818" s="84">
        <f t="shared" ca="1" si="167"/>
        <v>1.0496046303131632</v>
      </c>
      <c r="N818" s="84">
        <f t="shared" ca="1" si="168"/>
        <v>0.9663769862815299</v>
      </c>
      <c r="O818" s="84">
        <f t="shared" ca="1" si="169"/>
        <v>1.0371944008683647</v>
      </c>
      <c r="P818" s="84">
        <f t="shared" ca="1" si="170"/>
        <v>1.0511953201815105</v>
      </c>
      <c r="Q818" s="84">
        <f t="shared" ca="1" si="171"/>
        <v>1.0830753287976735</v>
      </c>
    </row>
    <row r="819" spans="1:17" ht="15" customHeight="1" x14ac:dyDescent="0.2">
      <c r="A819" s="15">
        <v>780</v>
      </c>
      <c r="B819" s="84">
        <f t="shared" ca="1" si="163"/>
        <v>6.4789107195204032E-2</v>
      </c>
      <c r="C819" s="84">
        <f t="shared" ca="1" si="163"/>
        <v>0.33099807398666048</v>
      </c>
      <c r="D819" s="84">
        <f t="shared" ca="1" si="163"/>
        <v>0.90291775440217448</v>
      </c>
      <c r="F819" s="84">
        <f t="shared" ca="1" si="164"/>
        <v>0.17383427979731725</v>
      </c>
      <c r="G819" s="84">
        <f t="shared" ca="1" si="164"/>
        <v>0.93785944441826352</v>
      </c>
      <c r="H819" s="84">
        <f t="shared" ca="1" si="164"/>
        <v>0.62064016045259263</v>
      </c>
      <c r="J819" s="85">
        <f t="shared" ca="1" si="165"/>
        <v>7358092.1552573293</v>
      </c>
      <c r="K819" s="86">
        <f ca="1">IF(J819&gt;0,MIN(99,$B$12*Q819/(J819*12*(1-Inputs!$H$16))),99)</f>
        <v>71.303512542137327</v>
      </c>
      <c r="L819" s="84">
        <f t="shared" ca="1" si="166"/>
        <v>0.86037432025767735</v>
      </c>
      <c r="M819" s="84">
        <f t="shared" ca="1" si="167"/>
        <v>0.93689661136812208</v>
      </c>
      <c r="N819" s="84">
        <f t="shared" ca="1" si="168"/>
        <v>1.0539315507707143</v>
      </c>
      <c r="O819" s="84">
        <f t="shared" ca="1" si="169"/>
        <v>0.99714529744078928</v>
      </c>
      <c r="P819" s="84">
        <f t="shared" ca="1" si="170"/>
        <v>1.6257210816996901</v>
      </c>
      <c r="Q819" s="84">
        <f t="shared" ca="1" si="171"/>
        <v>1.1510815388683442</v>
      </c>
    </row>
    <row r="820" spans="1:17" ht="15" customHeight="1" x14ac:dyDescent="0.2">
      <c r="A820" s="15">
        <v>781</v>
      </c>
      <c r="B820" s="84">
        <f t="shared" ref="B820:D839" ca="1" si="172">RAND()</f>
        <v>0.71487730926541104</v>
      </c>
      <c r="C820" s="84">
        <f t="shared" ca="1" si="172"/>
        <v>0.45608675694209522</v>
      </c>
      <c r="D820" s="84">
        <f t="shared" ca="1" si="172"/>
        <v>0.65340434349555254</v>
      </c>
      <c r="F820" s="84">
        <f t="shared" ref="F820:H839" ca="1" si="173">RAND()</f>
        <v>0.78012699681705544</v>
      </c>
      <c r="G820" s="84">
        <f t="shared" ca="1" si="173"/>
        <v>0.61063810016963915</v>
      </c>
      <c r="H820" s="84">
        <f t="shared" ca="1" si="173"/>
        <v>4.5387282524944617E-4</v>
      </c>
      <c r="J820" s="85">
        <f t="shared" ca="1" si="165"/>
        <v>166696358.70963311</v>
      </c>
      <c r="K820" s="86">
        <f ca="1">IF(J820&gt;0,MIN(99,$B$12*Q820/(J820*12*(1-Inputs!$H$16))),99)</f>
        <v>2.3208807303864791</v>
      </c>
      <c r="L820" s="84">
        <f t="shared" ca="1" si="166"/>
        <v>1.0769990657193609</v>
      </c>
      <c r="M820" s="84">
        <f t="shared" ca="1" si="167"/>
        <v>1.0334212251685151</v>
      </c>
      <c r="N820" s="84">
        <f t="shared" ca="1" si="168"/>
        <v>1.0215051636988137</v>
      </c>
      <c r="O820" s="84">
        <f t="shared" ca="1" si="169"/>
        <v>1.0527544598053391</v>
      </c>
      <c r="P820" s="84">
        <f t="shared" ca="1" si="170"/>
        <v>1.2694036684357322</v>
      </c>
      <c r="Q820" s="84">
        <f t="shared" ca="1" si="171"/>
        <v>0.84880685328177252</v>
      </c>
    </row>
    <row r="821" spans="1:17" ht="15" customHeight="1" x14ac:dyDescent="0.2">
      <c r="A821" s="15">
        <v>782</v>
      </c>
      <c r="B821" s="84">
        <f t="shared" ca="1" si="172"/>
        <v>0.86745088133477855</v>
      </c>
      <c r="C821" s="84">
        <f t="shared" ca="1" si="172"/>
        <v>0.4019693916688406</v>
      </c>
      <c r="D821" s="84">
        <f t="shared" ca="1" si="172"/>
        <v>0.83524505899095824</v>
      </c>
      <c r="F821" s="84">
        <f t="shared" ca="1" si="173"/>
        <v>0.64169820814545908</v>
      </c>
      <c r="G821" s="84">
        <f t="shared" ca="1" si="173"/>
        <v>0.19814825336335029</v>
      </c>
      <c r="H821" s="84">
        <f t="shared" ca="1" si="173"/>
        <v>0.78257577300888503</v>
      </c>
      <c r="J821" s="85">
        <f t="shared" ca="1" si="165"/>
        <v>222184928.45820707</v>
      </c>
      <c r="K821" s="86">
        <f ca="1">IF(J821&gt;0,MIN(99,$B$12*Q821/(J821*12*(1-Inputs!$H$16))),99)</f>
        <v>2.541044926760752</v>
      </c>
      <c r="L821" s="84">
        <f t="shared" ca="1" si="166"/>
        <v>1.1399981340259773</v>
      </c>
      <c r="M821" s="84">
        <f t="shared" ca="1" si="167"/>
        <v>1.061283509617053</v>
      </c>
      <c r="N821" s="84">
        <f t="shared" ca="1" si="168"/>
        <v>1.0428959170427161</v>
      </c>
      <c r="O821" s="84">
        <f t="shared" ca="1" si="169"/>
        <v>1.0364158263288512</v>
      </c>
      <c r="P821" s="84">
        <f t="shared" ca="1" si="170"/>
        <v>1.0112548895372873</v>
      </c>
      <c r="Q821" s="84">
        <f t="shared" ca="1" si="171"/>
        <v>1.2386735985628183</v>
      </c>
    </row>
    <row r="822" spans="1:17" ht="15" customHeight="1" x14ac:dyDescent="0.2">
      <c r="A822" s="15">
        <v>783</v>
      </c>
      <c r="B822" s="84">
        <f t="shared" ca="1" si="172"/>
        <v>0.15534545452044946</v>
      </c>
      <c r="C822" s="84">
        <f t="shared" ca="1" si="172"/>
        <v>0.88920474432639995</v>
      </c>
      <c r="D822" s="84">
        <f t="shared" ca="1" si="172"/>
        <v>0.75688554191064961</v>
      </c>
      <c r="F822" s="84">
        <f t="shared" ca="1" si="173"/>
        <v>0.82266601959478503</v>
      </c>
      <c r="G822" s="84">
        <f t="shared" ca="1" si="173"/>
        <v>0.52087302896329768</v>
      </c>
      <c r="H822" s="84">
        <f t="shared" ca="1" si="173"/>
        <v>0.65285813693422667</v>
      </c>
      <c r="J822" s="85">
        <f t="shared" ca="1" si="165"/>
        <v>46817713.51242815</v>
      </c>
      <c r="K822" s="86">
        <f ca="1">IF(J822&gt;0,MIN(99,$B$12*Q822/(J822*12*(1-Inputs!$H$16))),99)</f>
        <v>11.358753602086059</v>
      </c>
      <c r="L822" s="84">
        <f t="shared" ca="1" si="166"/>
        <v>0.90719819829918469</v>
      </c>
      <c r="M822" s="84">
        <f t="shared" ca="1" si="167"/>
        <v>0.9578450903083503</v>
      </c>
      <c r="N822" s="84">
        <f t="shared" ca="1" si="168"/>
        <v>1.0326972816350934</v>
      </c>
      <c r="O822" s="84">
        <f t="shared" ca="1" si="169"/>
        <v>1.0587764807465703</v>
      </c>
      <c r="P822" s="84">
        <f t="shared" ca="1" si="170"/>
        <v>1.2045498006888224</v>
      </c>
      <c r="Q822" s="84">
        <f t="shared" ca="1" si="171"/>
        <v>1.1667312223433861</v>
      </c>
    </row>
    <row r="823" spans="1:17" ht="15" customHeight="1" x14ac:dyDescent="0.2">
      <c r="A823" s="15">
        <v>784</v>
      </c>
      <c r="B823" s="84">
        <f t="shared" ca="1" si="172"/>
        <v>0.81872022608261508</v>
      </c>
      <c r="C823" s="84">
        <f t="shared" ca="1" si="172"/>
        <v>0.76785592304832151</v>
      </c>
      <c r="D823" s="84">
        <f t="shared" ca="1" si="172"/>
        <v>0.90507159884411548</v>
      </c>
      <c r="F823" s="84">
        <f t="shared" ca="1" si="173"/>
        <v>0.59980430597205714</v>
      </c>
      <c r="G823" s="84">
        <f t="shared" ca="1" si="173"/>
        <v>0.22144032659261215</v>
      </c>
      <c r="H823" s="84">
        <f t="shared" ca="1" si="173"/>
        <v>0.21610987694967942</v>
      </c>
      <c r="J823" s="85">
        <f t="shared" ca="1" si="165"/>
        <v>201999771.44477832</v>
      </c>
      <c r="K823" s="86">
        <f ca="1">IF(J823&gt;0,MIN(99,$B$12*Q823/(J823*12*(1-Inputs!$H$16))),99)</f>
        <v>2.2409799016149168</v>
      </c>
      <c r="L823" s="84">
        <f t="shared" ca="1" si="166"/>
        <v>1.1171203974110637</v>
      </c>
      <c r="M823" s="84">
        <f t="shared" ca="1" si="167"/>
        <v>1.0511654868869214</v>
      </c>
      <c r="N823" s="84">
        <f t="shared" ca="1" si="168"/>
        <v>1.0543382162959818</v>
      </c>
      <c r="O823" s="84">
        <f t="shared" ca="1" si="169"/>
        <v>1.0321285902502699</v>
      </c>
      <c r="P823" s="84">
        <f t="shared" ca="1" si="170"/>
        <v>1.023713316674395</v>
      </c>
      <c r="Q823" s="84">
        <f t="shared" ca="1" si="171"/>
        <v>0.99315899657880724</v>
      </c>
    </row>
    <row r="824" spans="1:17" ht="15" customHeight="1" x14ac:dyDescent="0.2">
      <c r="A824" s="15">
        <v>785</v>
      </c>
      <c r="B824" s="84">
        <f t="shared" ca="1" si="172"/>
        <v>0.58516313912884887</v>
      </c>
      <c r="C824" s="84">
        <f t="shared" ca="1" si="172"/>
        <v>0.22271248846251912</v>
      </c>
      <c r="D824" s="84">
        <f t="shared" ca="1" si="172"/>
        <v>0.66540367682718315</v>
      </c>
      <c r="F824" s="84">
        <f t="shared" ca="1" si="173"/>
        <v>0.23677625710880801</v>
      </c>
      <c r="G824" s="84">
        <f t="shared" ca="1" si="173"/>
        <v>0.38865199879573897</v>
      </c>
      <c r="H824" s="84">
        <f t="shared" ca="1" si="173"/>
        <v>0.89179463984487295</v>
      </c>
      <c r="J824" s="85">
        <f t="shared" ca="1" si="165"/>
        <v>150537235.30463856</v>
      </c>
      <c r="K824" s="86">
        <f ca="1">IF(J824&gt;0,MIN(99,$B$12*Q824/(J824*12*(1-Inputs!$H$16))),99)</f>
        <v>3.9938704602786812</v>
      </c>
      <c r="L824" s="84">
        <f t="shared" ca="1" si="166"/>
        <v>1.0361693730490511</v>
      </c>
      <c r="M824" s="84">
        <f t="shared" ca="1" si="167"/>
        <v>1.0153636801649952</v>
      </c>
      <c r="N824" s="84">
        <f t="shared" ca="1" si="168"/>
        <v>1.0227080319136268</v>
      </c>
      <c r="O824" s="84">
        <f t="shared" ca="1" si="169"/>
        <v>1.0017617415720002</v>
      </c>
      <c r="P824" s="84">
        <f t="shared" ca="1" si="170"/>
        <v>1.1192547972840425</v>
      </c>
      <c r="Q824" s="84">
        <f t="shared" ca="1" si="171"/>
        <v>1.3190700260122392</v>
      </c>
    </row>
    <row r="825" spans="1:17" ht="15" customHeight="1" x14ac:dyDescent="0.2">
      <c r="A825" s="15">
        <v>786</v>
      </c>
      <c r="B825" s="84">
        <f t="shared" ca="1" si="172"/>
        <v>0.81513052684229947</v>
      </c>
      <c r="C825" s="84">
        <f t="shared" ca="1" si="172"/>
        <v>0.23298270985094083</v>
      </c>
      <c r="D825" s="84">
        <f t="shared" ca="1" si="172"/>
        <v>3.6442588449049018E-2</v>
      </c>
      <c r="F825" s="84">
        <f t="shared" ca="1" si="173"/>
        <v>0.786581818070484</v>
      </c>
      <c r="G825" s="84">
        <f t="shared" ca="1" si="173"/>
        <v>0.22851507331454457</v>
      </c>
      <c r="H825" s="84">
        <f t="shared" ca="1" si="173"/>
        <v>0.50406561568220665</v>
      </c>
      <c r="J825" s="85">
        <f t="shared" ca="1" si="165"/>
        <v>220376454.95715034</v>
      </c>
      <c r="K825" s="86">
        <f ca="1">IF(J825&gt;0,MIN(99,$B$12*Q825/(J825*12*(1-Inputs!$H$16))),99)</f>
        <v>2.2738240950108981</v>
      </c>
      <c r="L825" s="84">
        <f t="shared" ca="1" si="166"/>
        <v>1.1155648954615582</v>
      </c>
      <c r="M825" s="84">
        <f t="shared" ca="1" si="167"/>
        <v>1.0504775427800905</v>
      </c>
      <c r="N825" s="84">
        <f t="shared" ca="1" si="168"/>
        <v>0.95729193798442391</v>
      </c>
      <c r="O825" s="84">
        <f t="shared" ca="1" si="169"/>
        <v>1.0536281233196618</v>
      </c>
      <c r="P825" s="84">
        <f t="shared" ca="1" si="170"/>
        <v>1.0275342396862142</v>
      </c>
      <c r="Q825" s="84">
        <f t="shared" ca="1" si="171"/>
        <v>1.0993905466492551</v>
      </c>
    </row>
    <row r="826" spans="1:17" ht="15" customHeight="1" x14ac:dyDescent="0.2">
      <c r="A826" s="15">
        <v>787</v>
      </c>
      <c r="B826" s="84">
        <f t="shared" ca="1" si="172"/>
        <v>0.49662095356458391</v>
      </c>
      <c r="C826" s="84">
        <f t="shared" ca="1" si="172"/>
        <v>0.79162253172119235</v>
      </c>
      <c r="D826" s="84">
        <f t="shared" ca="1" si="172"/>
        <v>0.23217209629459457</v>
      </c>
      <c r="F826" s="84">
        <f t="shared" ca="1" si="173"/>
        <v>0.19703636501437771</v>
      </c>
      <c r="G826" s="84">
        <f t="shared" ca="1" si="173"/>
        <v>0.43626987397374151</v>
      </c>
      <c r="H826" s="84">
        <f t="shared" ca="1" si="173"/>
        <v>0.61769198721844243</v>
      </c>
      <c r="J826" s="85">
        <f t="shared" ca="1" si="165"/>
        <v>140637236.02703249</v>
      </c>
      <c r="K826" s="86">
        <f ca="1">IF(J826&gt;0,MIN(99,$B$12*Q826/(J826*12*(1-Inputs!$H$16))),99)</f>
        <v>3.7260437401061459</v>
      </c>
      <c r="L826" s="84">
        <f t="shared" ca="1" si="166"/>
        <v>1.0119132863771534</v>
      </c>
      <c r="M826" s="84">
        <f t="shared" ca="1" si="167"/>
        <v>1.0046360614140077</v>
      </c>
      <c r="N826" s="84">
        <f t="shared" ca="1" si="168"/>
        <v>0.98527221029137857</v>
      </c>
      <c r="O826" s="84">
        <f t="shared" ca="1" si="169"/>
        <v>0.9989075394484439</v>
      </c>
      <c r="P826" s="84">
        <f t="shared" ca="1" si="170"/>
        <v>1.1487977703572307</v>
      </c>
      <c r="Q826" s="84">
        <f t="shared" ca="1" si="171"/>
        <v>1.1496832729422652</v>
      </c>
    </row>
    <row r="827" spans="1:17" ht="15" customHeight="1" x14ac:dyDescent="0.2">
      <c r="A827" s="15">
        <v>788</v>
      </c>
      <c r="B827" s="84">
        <f t="shared" ca="1" si="172"/>
        <v>0.17755249727618927</v>
      </c>
      <c r="C827" s="84">
        <f t="shared" ca="1" si="172"/>
        <v>0.80947497324776929</v>
      </c>
      <c r="D827" s="84">
        <f t="shared" ca="1" si="172"/>
        <v>0.9893494758826763</v>
      </c>
      <c r="F827" s="84">
        <f t="shared" ca="1" si="173"/>
        <v>0.25430206063991589</v>
      </c>
      <c r="G827" s="84">
        <f t="shared" ca="1" si="173"/>
        <v>0.49675221082902332</v>
      </c>
      <c r="H827" s="84">
        <f t="shared" ca="1" si="173"/>
        <v>0.91194350320439577</v>
      </c>
      <c r="J827" s="85">
        <f t="shared" ca="1" si="165"/>
        <v>53725236.307519749</v>
      </c>
      <c r="K827" s="86">
        <f ca="1">IF(J827&gt;0,MIN(99,$B$12*Q827/(J827*12*(1-Inputs!$H$16))),99)</f>
        <v>11.350685282758782</v>
      </c>
      <c r="L827" s="84">
        <f t="shared" ca="1" si="166"/>
        <v>0.91633172306163713</v>
      </c>
      <c r="M827" s="84">
        <f t="shared" ca="1" si="167"/>
        <v>0.96193132705633344</v>
      </c>
      <c r="N827" s="84">
        <f t="shared" ca="1" si="168"/>
        <v>1.0783123259003737</v>
      </c>
      <c r="O827" s="84">
        <f t="shared" ca="1" si="169"/>
        <v>1.0030328709913199</v>
      </c>
      <c r="P827" s="84">
        <f t="shared" ca="1" si="170"/>
        <v>1.18818485648542</v>
      </c>
      <c r="Q827" s="84">
        <f t="shared" ca="1" si="171"/>
        <v>1.3379206537829127</v>
      </c>
    </row>
    <row r="828" spans="1:17" ht="15" customHeight="1" x14ac:dyDescent="0.2">
      <c r="A828" s="15">
        <v>789</v>
      </c>
      <c r="B828" s="84">
        <f t="shared" ca="1" si="172"/>
        <v>0.46807269322803313</v>
      </c>
      <c r="C828" s="84">
        <f t="shared" ca="1" si="172"/>
        <v>0.92847229281740951</v>
      </c>
      <c r="D828" s="84">
        <f t="shared" ca="1" si="172"/>
        <v>1.3704228010189112E-2</v>
      </c>
      <c r="F828" s="84">
        <f t="shared" ca="1" si="173"/>
        <v>0.63814309215832732</v>
      </c>
      <c r="G828" s="84">
        <f t="shared" ca="1" si="173"/>
        <v>0.749731052576185</v>
      </c>
      <c r="H828" s="84">
        <f t="shared" ca="1" si="173"/>
        <v>0.25179010022278692</v>
      </c>
      <c r="J828" s="85">
        <f t="shared" ca="1" si="165"/>
        <v>127747985.73153038</v>
      </c>
      <c r="K828" s="86">
        <f ca="1">IF(J828&gt;0,MIN(99,$B$12*Q828/(J828*12*(1-Inputs!$H$16))),99)</f>
        <v>3.5867756468325935</v>
      </c>
      <c r="L828" s="84">
        <f t="shared" ca="1" si="166"/>
        <v>1.0045559120979985</v>
      </c>
      <c r="M828" s="84">
        <f t="shared" ca="1" si="167"/>
        <v>1.0013821521028023</v>
      </c>
      <c r="N828" s="84">
        <f t="shared" ca="1" si="168"/>
        <v>0.9501912148952204</v>
      </c>
      <c r="O828" s="84">
        <f t="shared" ca="1" si="169"/>
        <v>1.0360425943488694</v>
      </c>
      <c r="P828" s="84">
        <f t="shared" ca="1" si="170"/>
        <v>1.3870511560527135</v>
      </c>
      <c r="Q828" s="84">
        <f t="shared" ca="1" si="171"/>
        <v>1.0052827141046725</v>
      </c>
    </row>
    <row r="829" spans="1:17" ht="15" customHeight="1" x14ac:dyDescent="0.2">
      <c r="A829" s="15">
        <v>790</v>
      </c>
      <c r="B829" s="84">
        <f t="shared" ca="1" si="172"/>
        <v>0.21088284380151257</v>
      </c>
      <c r="C829" s="84">
        <f t="shared" ca="1" si="172"/>
        <v>0.76970529581320657</v>
      </c>
      <c r="D829" s="84">
        <f t="shared" ca="1" si="172"/>
        <v>0.96581974856575037</v>
      </c>
      <c r="F829" s="84">
        <f t="shared" ca="1" si="173"/>
        <v>0.87812331013100153</v>
      </c>
      <c r="G829" s="84">
        <f t="shared" ca="1" si="173"/>
        <v>0.88315184755499232</v>
      </c>
      <c r="H829" s="84">
        <f t="shared" ca="1" si="173"/>
        <v>0.49421580515774965</v>
      </c>
      <c r="J829" s="85">
        <f t="shared" ca="1" si="165"/>
        <v>39881285.425964788</v>
      </c>
      <c r="K829" s="86">
        <f ca="1">IF(J829&gt;0,MIN(99,$B$12*Q829/(J829*12*(1-Inputs!$H$16))),99)</f>
        <v>12.518166264422931</v>
      </c>
      <c r="L829" s="84">
        <f t="shared" ca="1" si="166"/>
        <v>0.92902701038347191</v>
      </c>
      <c r="M829" s="84">
        <f t="shared" ca="1" si="167"/>
        <v>0.96761105650688961</v>
      </c>
      <c r="N829" s="84">
        <f t="shared" ca="1" si="168"/>
        <v>1.0687558661363175</v>
      </c>
      <c r="O829" s="84">
        <f t="shared" ca="1" si="169"/>
        <v>1.0678483622294508</v>
      </c>
      <c r="P829" s="84">
        <f t="shared" ca="1" si="170"/>
        <v>1.5377130723764956</v>
      </c>
      <c r="Q829" s="84">
        <f t="shared" ca="1" si="171"/>
        <v>1.0953169405149936</v>
      </c>
    </row>
    <row r="830" spans="1:17" ht="15" customHeight="1" x14ac:dyDescent="0.2">
      <c r="A830" s="15">
        <v>791</v>
      </c>
      <c r="B830" s="84">
        <f t="shared" ca="1" si="172"/>
        <v>0.2217389226887807</v>
      </c>
      <c r="C830" s="84">
        <f t="shared" ca="1" si="172"/>
        <v>0.39717572993266892</v>
      </c>
      <c r="D830" s="84">
        <f t="shared" ca="1" si="172"/>
        <v>0.68773366797492741</v>
      </c>
      <c r="F830" s="84">
        <f t="shared" ca="1" si="173"/>
        <v>0.27362387549966238</v>
      </c>
      <c r="G830" s="84">
        <f t="shared" ca="1" si="173"/>
        <v>0.98879018606110336</v>
      </c>
      <c r="H830" s="84">
        <f t="shared" ca="1" si="173"/>
        <v>0.40002446859121776</v>
      </c>
      <c r="J830" s="85">
        <f t="shared" ca="1" si="165"/>
        <v>53346470.300999686</v>
      </c>
      <c r="K830" s="86">
        <f ca="1">IF(J830&gt;0,MIN(99,$B$12*Q830/(J830*12*(1-Inputs!$H$16))),99)</f>
        <v>9.0413827836890519</v>
      </c>
      <c r="L830" s="84">
        <f t="shared" ca="1" si="166"/>
        <v>0.93294185259926454</v>
      </c>
      <c r="M830" s="84">
        <f t="shared" ca="1" si="167"/>
        <v>0.96936251309575117</v>
      </c>
      <c r="N830" s="84">
        <f t="shared" ca="1" si="168"/>
        <v>1.0250053761704034</v>
      </c>
      <c r="O830" s="84">
        <f t="shared" ca="1" si="169"/>
        <v>1.0044517007741167</v>
      </c>
      <c r="P830" s="84">
        <f t="shared" ca="1" si="170"/>
        <v>1.7620862986943859</v>
      </c>
      <c r="Q830" s="84">
        <f t="shared" ca="1" si="171"/>
        <v>1.0582066516674766</v>
      </c>
    </row>
    <row r="831" spans="1:17" ht="15" customHeight="1" x14ac:dyDescent="0.2">
      <c r="A831" s="15">
        <v>792</v>
      </c>
      <c r="B831" s="84">
        <f t="shared" ca="1" si="172"/>
        <v>0.1299026027325062</v>
      </c>
      <c r="C831" s="84">
        <f t="shared" ca="1" si="172"/>
        <v>0.35363469516178314</v>
      </c>
      <c r="D831" s="84">
        <f t="shared" ca="1" si="172"/>
        <v>0.43958770323139462</v>
      </c>
      <c r="F831" s="84">
        <f t="shared" ca="1" si="173"/>
        <v>0.62395486308607306</v>
      </c>
      <c r="G831" s="84">
        <f t="shared" ca="1" si="173"/>
        <v>0.77954622129469975</v>
      </c>
      <c r="H831" s="84">
        <f t="shared" ca="1" si="173"/>
        <v>0.40206834743010555</v>
      </c>
      <c r="J831" s="85">
        <f t="shared" ca="1" si="165"/>
        <v>41285265.405669913</v>
      </c>
      <c r="K831" s="86">
        <f ca="1">IF(J831&gt;0,MIN(99,$B$12*Q831/(J831*12*(1-Inputs!$H$16))),99)</f>
        <v>11.691293965522322</v>
      </c>
      <c r="L831" s="84">
        <f t="shared" ca="1" si="166"/>
        <v>0.89588855532020784</v>
      </c>
      <c r="M831" s="84">
        <f t="shared" ca="1" si="167"/>
        <v>0.95278528262739359</v>
      </c>
      <c r="N831" s="84">
        <f t="shared" ca="1" si="168"/>
        <v>1.0027984910751311</v>
      </c>
      <c r="O831" s="84">
        <f t="shared" ca="1" si="169"/>
        <v>1.0345710045624505</v>
      </c>
      <c r="P831" s="84">
        <f t="shared" ca="1" si="170"/>
        <v>1.4162860258329537</v>
      </c>
      <c r="Q831" s="84">
        <f t="shared" ca="1" si="171"/>
        <v>1.0589796214129503</v>
      </c>
    </row>
    <row r="832" spans="1:17" ht="15" customHeight="1" x14ac:dyDescent="0.2">
      <c r="A832" s="15">
        <v>793</v>
      </c>
      <c r="B832" s="84">
        <f t="shared" ca="1" si="172"/>
        <v>0.89010193628676415</v>
      </c>
      <c r="C832" s="84">
        <f t="shared" ca="1" si="172"/>
        <v>0.61570742859875649</v>
      </c>
      <c r="D832" s="84">
        <f t="shared" ca="1" si="172"/>
        <v>0.99082998418594481</v>
      </c>
      <c r="F832" s="84">
        <f t="shared" ca="1" si="173"/>
        <v>0.27480877864408271</v>
      </c>
      <c r="G832" s="84">
        <f t="shared" ca="1" si="173"/>
        <v>6.2237347865856885E-2</v>
      </c>
      <c r="H832" s="84">
        <f t="shared" ca="1" si="173"/>
        <v>0.72804184297422692</v>
      </c>
      <c r="J832" s="85">
        <f t="shared" ca="1" si="165"/>
        <v>231232389.17939931</v>
      </c>
      <c r="K832" s="86">
        <f ca="1">IF(J832&gt;0,MIN(99,$B$12*Q832/(J832*12*(1-Inputs!$H$16))),99)</f>
        <v>2.37791809392633</v>
      </c>
      <c r="L832" s="84">
        <f t="shared" ca="1" si="166"/>
        <v>1.1520732585619795</v>
      </c>
      <c r="M832" s="84">
        <f t="shared" ca="1" si="167"/>
        <v>1.0666239148582248</v>
      </c>
      <c r="N832" s="84">
        <f t="shared" ca="1" si="168"/>
        <v>1.0791829596132732</v>
      </c>
      <c r="O832" s="84">
        <f t="shared" ca="1" si="169"/>
        <v>1.0045393205524988</v>
      </c>
      <c r="P832" s="84">
        <f t="shared" ca="1" si="170"/>
        <v>0.92463274457839884</v>
      </c>
      <c r="Q832" s="84">
        <f t="shared" ca="1" si="171"/>
        <v>1.2063560301200238</v>
      </c>
    </row>
    <row r="833" spans="1:17" ht="15" customHeight="1" x14ac:dyDescent="0.2">
      <c r="A833" s="15">
        <v>794</v>
      </c>
      <c r="B833" s="84">
        <f t="shared" ca="1" si="172"/>
        <v>0.12344351232106554</v>
      </c>
      <c r="C833" s="84">
        <f t="shared" ca="1" si="172"/>
        <v>0.90125160235451585</v>
      </c>
      <c r="D833" s="84">
        <f t="shared" ca="1" si="172"/>
        <v>0.83733099589369464</v>
      </c>
      <c r="F833" s="84">
        <f t="shared" ca="1" si="173"/>
        <v>0.9874746423099362</v>
      </c>
      <c r="G833" s="84">
        <f t="shared" ca="1" si="173"/>
        <v>0.26942381420810291</v>
      </c>
      <c r="H833" s="84">
        <f t="shared" ca="1" si="173"/>
        <v>0.48020075208229829</v>
      </c>
      <c r="J833" s="85">
        <f t="shared" ca="1" si="165"/>
        <v>34835920.536928728</v>
      </c>
      <c r="K833" s="86">
        <f ca="1">IF(J833&gt;0,MIN(99,$B$12*Q833/(J833*12*(1-Inputs!$H$16))),99)</f>
        <v>14.256248896260971</v>
      </c>
      <c r="L833" s="84">
        <f t="shared" ca="1" si="166"/>
        <v>0.89284479257107574</v>
      </c>
      <c r="M833" s="84">
        <f t="shared" ca="1" si="167"/>
        <v>0.95142353724200024</v>
      </c>
      <c r="N833" s="84">
        <f t="shared" ca="1" si="168"/>
        <v>1.0431975140303542</v>
      </c>
      <c r="O833" s="84">
        <f t="shared" ca="1" si="169"/>
        <v>1.0977332961904387</v>
      </c>
      <c r="P833" s="84">
        <f t="shared" ca="1" si="170"/>
        <v>1.0499803424425118</v>
      </c>
      <c r="Q833" s="84">
        <f t="shared" ca="1" si="171"/>
        <v>1.0895884768873758</v>
      </c>
    </row>
    <row r="834" spans="1:17" ht="15" customHeight="1" x14ac:dyDescent="0.2">
      <c r="A834" s="15">
        <v>795</v>
      </c>
      <c r="B834" s="84">
        <f t="shared" ca="1" si="172"/>
        <v>0.53878897301487771</v>
      </c>
      <c r="C834" s="84">
        <f t="shared" ca="1" si="172"/>
        <v>0.10810565615644052</v>
      </c>
      <c r="D834" s="84">
        <f t="shared" ca="1" si="172"/>
        <v>0.1300573652509891</v>
      </c>
      <c r="F834" s="84">
        <f t="shared" ca="1" si="173"/>
        <v>0.23136355897225158</v>
      </c>
      <c r="G834" s="84">
        <f t="shared" ca="1" si="173"/>
        <v>0.77598165320247969</v>
      </c>
      <c r="H834" s="84">
        <f t="shared" ca="1" si="173"/>
        <v>0.86511174349012587</v>
      </c>
      <c r="J834" s="85">
        <f t="shared" ca="1" si="165"/>
        <v>140956534.78168696</v>
      </c>
      <c r="K834" s="86">
        <f ca="1">IF(J834&gt;0,MIN(99,$B$12*Q834/(J834*12*(1-Inputs!$H$16))),99)</f>
        <v>4.1927856808050619</v>
      </c>
      <c r="L834" s="84">
        <f t="shared" ca="1" si="166"/>
        <v>1.0231736387697778</v>
      </c>
      <c r="M834" s="84">
        <f t="shared" ca="1" si="167"/>
        <v>1.0096161214337387</v>
      </c>
      <c r="N834" s="84">
        <f t="shared" ca="1" si="168"/>
        <v>0.97361554392402083</v>
      </c>
      <c r="O834" s="84">
        <f t="shared" ca="1" si="169"/>
        <v>1.0013721201938046</v>
      </c>
      <c r="P834" s="84">
        <f t="shared" ca="1" si="170"/>
        <v>1.4126908801072755</v>
      </c>
      <c r="Q834" s="84">
        <f t="shared" ca="1" si="171"/>
        <v>1.2966352367092755</v>
      </c>
    </row>
    <row r="835" spans="1:17" ht="15" customHeight="1" x14ac:dyDescent="0.2">
      <c r="A835" s="15">
        <v>796</v>
      </c>
      <c r="B835" s="84">
        <f t="shared" ca="1" si="172"/>
        <v>0.89542179149488765</v>
      </c>
      <c r="C835" s="84">
        <f t="shared" ca="1" si="172"/>
        <v>0.52306594676312923</v>
      </c>
      <c r="D835" s="84">
        <f t="shared" ca="1" si="172"/>
        <v>8.422450102090473E-2</v>
      </c>
      <c r="F835" s="84">
        <f t="shared" ca="1" si="173"/>
        <v>0.90929982763518458</v>
      </c>
      <c r="G835" s="84">
        <f t="shared" ca="1" si="173"/>
        <v>0.51338362991666497</v>
      </c>
      <c r="H835" s="84">
        <f t="shared" ca="1" si="173"/>
        <v>5.3815133487653988E-2</v>
      </c>
      <c r="J835" s="85">
        <f t="shared" ca="1" si="165"/>
        <v>239547949.6605438</v>
      </c>
      <c r="K835" s="86">
        <f ca="1">IF(J835&gt;0,MIN(99,$B$12*Q835/(J835*12*(1-Inputs!$H$16))),99)</f>
        <v>1.7455045914727858</v>
      </c>
      <c r="L835" s="84">
        <f t="shared" ca="1" si="166"/>
        <v>1.1550854317880728</v>
      </c>
      <c r="M835" s="84">
        <f t="shared" ca="1" si="167"/>
        <v>1.0679560937219694</v>
      </c>
      <c r="N835" s="84">
        <f t="shared" ca="1" si="168"/>
        <v>0.96684317437720058</v>
      </c>
      <c r="O835" s="84">
        <f t="shared" ca="1" si="169"/>
        <v>1.0738890259324101</v>
      </c>
      <c r="P835" s="84">
        <f t="shared" ca="1" si="170"/>
        <v>1.1994253451231194</v>
      </c>
      <c r="Q835" s="84">
        <f t="shared" ca="1" si="171"/>
        <v>0.91736759472237561</v>
      </c>
    </row>
    <row r="836" spans="1:17" ht="15" customHeight="1" x14ac:dyDescent="0.2">
      <c r="A836" s="15">
        <v>797</v>
      </c>
      <c r="B836" s="84">
        <f t="shared" ca="1" si="172"/>
        <v>0.8056326345880781</v>
      </c>
      <c r="C836" s="84">
        <f t="shared" ca="1" si="172"/>
        <v>0.30358865406622504</v>
      </c>
      <c r="D836" s="84">
        <f t="shared" ca="1" si="172"/>
        <v>0.44710850555073034</v>
      </c>
      <c r="F836" s="84">
        <f t="shared" ca="1" si="173"/>
        <v>0.84926486928101974</v>
      </c>
      <c r="G836" s="84">
        <f t="shared" ca="1" si="173"/>
        <v>0.1616431697339249</v>
      </c>
      <c r="H836" s="84">
        <f t="shared" ca="1" si="173"/>
        <v>0.95024908620884974</v>
      </c>
      <c r="J836" s="85">
        <f t="shared" ca="1" si="165"/>
        <v>205981964.64730728</v>
      </c>
      <c r="K836" s="86">
        <f ca="1">IF(J836&gt;0,MIN(99,$B$12*Q836/(J836*12*(1-Inputs!$H$16))),99)</f>
        <v>3.0559987624325125</v>
      </c>
      <c r="L836" s="84">
        <f t="shared" ca="1" si="166"/>
        <v>1.1115206045272394</v>
      </c>
      <c r="M836" s="84">
        <f t="shared" ca="1" si="167"/>
        <v>1.0486888943534787</v>
      </c>
      <c r="N836" s="84">
        <f t="shared" ca="1" si="168"/>
        <v>1.0033882012949862</v>
      </c>
      <c r="O836" s="84">
        <f t="shared" ca="1" si="169"/>
        <v>1.0629171999194256</v>
      </c>
      <c r="P836" s="84">
        <f t="shared" ca="1" si="170"/>
        <v>0.99187319131865181</v>
      </c>
      <c r="Q836" s="84">
        <f t="shared" ca="1" si="171"/>
        <v>1.3810592517406728</v>
      </c>
    </row>
    <row r="837" spans="1:17" ht="15" customHeight="1" x14ac:dyDescent="0.2">
      <c r="A837" s="15">
        <v>798</v>
      </c>
      <c r="B837" s="84">
        <f t="shared" ca="1" si="172"/>
        <v>0.42618756992780227</v>
      </c>
      <c r="C837" s="84">
        <f t="shared" ca="1" si="172"/>
        <v>0.61000687200234038</v>
      </c>
      <c r="D837" s="84">
        <f t="shared" ca="1" si="172"/>
        <v>0.24144571700138728</v>
      </c>
      <c r="F837" s="84">
        <f t="shared" ca="1" si="173"/>
        <v>0.26189546428816468</v>
      </c>
      <c r="G837" s="84">
        <f t="shared" ca="1" si="173"/>
        <v>0.56052844033778748</v>
      </c>
      <c r="H837" s="84">
        <f t="shared" ca="1" si="173"/>
        <v>0.60508503079878617</v>
      </c>
      <c r="J837" s="85">
        <f t="shared" ca="1" si="165"/>
        <v>123667516.90944402</v>
      </c>
      <c r="K837" s="86">
        <f ca="1">IF(J837&gt;0,MIN(99,$B$12*Q837/(J837*12*(1-Inputs!$H$16))),99)</f>
        <v>4.2155168519871209</v>
      </c>
      <c r="L837" s="84">
        <f t="shared" ca="1" si="166"/>
        <v>0.9939659827847187</v>
      </c>
      <c r="M837" s="84">
        <f t="shared" ca="1" si="167"/>
        <v>0.99666402590300984</v>
      </c>
      <c r="N837" s="84">
        <f t="shared" ca="1" si="168"/>
        <v>0.98618861052272255</v>
      </c>
      <c r="O837" s="84">
        <f t="shared" ca="1" si="169"/>
        <v>1.0035882477735247</v>
      </c>
      <c r="P837" s="84">
        <f t="shared" ca="1" si="170"/>
        <v>1.2323769797735937</v>
      </c>
      <c r="Q837" s="84">
        <f t="shared" ca="1" si="171"/>
        <v>1.1437639709939804</v>
      </c>
    </row>
    <row r="838" spans="1:17" ht="15" customHeight="1" x14ac:dyDescent="0.2">
      <c r="A838" s="15">
        <v>799</v>
      </c>
      <c r="B838" s="84">
        <f t="shared" ca="1" si="172"/>
        <v>0.78710952930849154</v>
      </c>
      <c r="C838" s="84">
        <f t="shared" ca="1" si="172"/>
        <v>0.87577605754718901</v>
      </c>
      <c r="D838" s="84">
        <f t="shared" ca="1" si="172"/>
        <v>0.73020095106957517</v>
      </c>
      <c r="F838" s="84">
        <f t="shared" ca="1" si="173"/>
        <v>0.2033476638783146</v>
      </c>
      <c r="G838" s="84">
        <f t="shared" ca="1" si="173"/>
        <v>0.85749911508134802</v>
      </c>
      <c r="H838" s="84">
        <f t="shared" ca="1" si="173"/>
        <v>0.58356019295883299</v>
      </c>
      <c r="J838" s="85">
        <f t="shared" ca="1" si="165"/>
        <v>185163593.30874532</v>
      </c>
      <c r="K838" s="86">
        <f ca="1">IF(J838&gt;0,MIN(99,$B$12*Q838/(J838*12*(1-Inputs!$H$16))),99)</f>
        <v>2.7911193902787477</v>
      </c>
      <c r="L838" s="84">
        <f t="shared" ca="1" si="166"/>
        <v>1.103908095690993</v>
      </c>
      <c r="M838" s="84">
        <f t="shared" ca="1" si="167"/>
        <v>1.0453221479512906</v>
      </c>
      <c r="N838" s="84">
        <f t="shared" ca="1" si="168"/>
        <v>1.0296136363678023</v>
      </c>
      <c r="O838" s="84">
        <f t="shared" ca="1" si="169"/>
        <v>0.99936867737237511</v>
      </c>
      <c r="P838" s="84">
        <f t="shared" ca="1" si="170"/>
        <v>1.5038011236022906</v>
      </c>
      <c r="Q838" s="84">
        <f t="shared" ca="1" si="171"/>
        <v>1.1338718030077795</v>
      </c>
    </row>
    <row r="839" spans="1:17" ht="15" customHeight="1" x14ac:dyDescent="0.2">
      <c r="A839" s="15">
        <v>800</v>
      </c>
      <c r="B839" s="84">
        <f t="shared" ca="1" si="172"/>
        <v>0.58186532487303477</v>
      </c>
      <c r="C839" s="84">
        <f t="shared" ca="1" si="172"/>
        <v>0.93360430830964014</v>
      </c>
      <c r="D839" s="84">
        <f t="shared" ca="1" si="172"/>
        <v>0.54816316401482079</v>
      </c>
      <c r="F839" s="84">
        <f t="shared" ca="1" si="173"/>
        <v>0.42914891141890721</v>
      </c>
      <c r="G839" s="84">
        <f t="shared" ca="1" si="173"/>
        <v>0.33543514500468252</v>
      </c>
      <c r="H839" s="84">
        <f t="shared" ca="1" si="173"/>
        <v>0.86286702179168295</v>
      </c>
      <c r="J839" s="85">
        <f t="shared" ca="1" si="165"/>
        <v>151008030.23694515</v>
      </c>
      <c r="K839" s="86">
        <f ca="1">IF(J839&gt;0,MIN(99,$B$12*Q839/(J839*12*(1-Inputs!$H$16))),99)</f>
        <v>3.9083255652418045</v>
      </c>
      <c r="L839" s="84">
        <f t="shared" ca="1" si="166"/>
        <v>1.0352219404742007</v>
      </c>
      <c r="M839" s="84">
        <f t="shared" ca="1" si="167"/>
        <v>1.014944663874662</v>
      </c>
      <c r="N839" s="84">
        <f t="shared" ca="1" si="168"/>
        <v>1.0117396560095389</v>
      </c>
      <c r="O839" s="84">
        <f t="shared" ca="1" si="169"/>
        <v>1.0166392023310535</v>
      </c>
      <c r="P839" s="84">
        <f t="shared" ca="1" si="170"/>
        <v>1.0875692256981546</v>
      </c>
      <c r="Q839" s="84">
        <f t="shared" ca="1" si="171"/>
        <v>1.2948537459548937</v>
      </c>
    </row>
    <row r="840" spans="1:17" ht="15" customHeight="1" x14ac:dyDescent="0.2">
      <c r="A840" s="15">
        <v>801</v>
      </c>
      <c r="B840" s="84">
        <f t="shared" ref="B840:D859" ca="1" si="174">RAND()</f>
        <v>0.42425150041974424</v>
      </c>
      <c r="C840" s="84">
        <f t="shared" ca="1" si="174"/>
        <v>0.38497425708648159</v>
      </c>
      <c r="D840" s="84">
        <f t="shared" ca="1" si="174"/>
        <v>0.88748841921100674</v>
      </c>
      <c r="F840" s="84">
        <f t="shared" ref="F840:H859" ca="1" si="175">RAND()</f>
        <v>0.58108868532377567</v>
      </c>
      <c r="G840" s="84">
        <f t="shared" ca="1" si="175"/>
        <v>0.67758420165223143</v>
      </c>
      <c r="H840" s="84">
        <f t="shared" ca="1" si="175"/>
        <v>0.66622762403241986</v>
      </c>
      <c r="J840" s="85">
        <f t="shared" ca="1" si="165"/>
        <v>101554722.97008722</v>
      </c>
      <c r="K840" s="86">
        <f ca="1">IF(J840&gt;0,MIN(99,$B$12*Q840/(J840*12*(1-Inputs!$H$16))),99)</f>
        <v>5.2665965279343085</v>
      </c>
      <c r="L840" s="84">
        <f t="shared" ca="1" si="166"/>
        <v>0.99346806127491782</v>
      </c>
      <c r="M840" s="84">
        <f t="shared" ca="1" si="167"/>
        <v>0.99644126139271649</v>
      </c>
      <c r="N840" s="84">
        <f t="shared" ca="1" si="168"/>
        <v>1.0511413746967633</v>
      </c>
      <c r="O840" s="84">
        <f t="shared" ca="1" si="169"/>
        <v>1.0302861215582182</v>
      </c>
      <c r="P840" s="84">
        <f t="shared" ca="1" si="170"/>
        <v>1.3228186765631649</v>
      </c>
      <c r="Q840" s="84">
        <f t="shared" ca="1" si="171"/>
        <v>1.1734379125362981</v>
      </c>
    </row>
    <row r="841" spans="1:17" ht="15" customHeight="1" x14ac:dyDescent="0.2">
      <c r="A841" s="15">
        <v>802</v>
      </c>
      <c r="B841" s="84">
        <f t="shared" ca="1" si="174"/>
        <v>0.51743626029949696</v>
      </c>
      <c r="C841" s="84">
        <f t="shared" ca="1" si="174"/>
        <v>0.5428192492986883</v>
      </c>
      <c r="D841" s="84">
        <f t="shared" ca="1" si="174"/>
        <v>0.37178665954962731</v>
      </c>
      <c r="F841" s="84">
        <f t="shared" ca="1" si="175"/>
        <v>0.6033212602732686</v>
      </c>
      <c r="G841" s="84">
        <f t="shared" ca="1" si="175"/>
        <v>0.80420030301328693</v>
      </c>
      <c r="H841" s="84">
        <f t="shared" ca="1" si="175"/>
        <v>0.23231345965574768</v>
      </c>
      <c r="J841" s="85">
        <f t="shared" ca="1" si="165"/>
        <v>125226629.76695327</v>
      </c>
      <c r="K841" s="86">
        <f ca="1">IF(J841&gt;0,MIN(99,$B$12*Q841/(J841*12*(1-Inputs!$H$16))),99)</f>
        <v>3.6351356133493411</v>
      </c>
      <c r="L841" s="84">
        <f t="shared" ca="1" si="166"/>
        <v>1.0174101822493382</v>
      </c>
      <c r="M841" s="84">
        <f t="shared" ca="1" si="167"/>
        <v>1.0070671461981413</v>
      </c>
      <c r="N841" s="84">
        <f t="shared" ca="1" si="168"/>
        <v>0.99757254751012814</v>
      </c>
      <c r="O841" s="84">
        <f t="shared" ca="1" si="169"/>
        <v>1.0324795931408726</v>
      </c>
      <c r="P841" s="84">
        <f t="shared" ca="1" si="170"/>
        <v>1.4419916966514279</v>
      </c>
      <c r="Q841" s="84">
        <f t="shared" ca="1" si="171"/>
        <v>0.99872805884102256</v>
      </c>
    </row>
    <row r="842" spans="1:17" ht="15" customHeight="1" x14ac:dyDescent="0.2">
      <c r="A842" s="15">
        <v>803</v>
      </c>
      <c r="B842" s="84">
        <f t="shared" ca="1" si="174"/>
        <v>0.20076487795360798</v>
      </c>
      <c r="C842" s="84">
        <f t="shared" ca="1" si="174"/>
        <v>0.57242348734188075</v>
      </c>
      <c r="D842" s="84">
        <f t="shared" ca="1" si="174"/>
        <v>0.92757487486592072</v>
      </c>
      <c r="F842" s="84">
        <f t="shared" ca="1" si="175"/>
        <v>0.81750708932606697</v>
      </c>
      <c r="G842" s="84">
        <f t="shared" ca="1" si="175"/>
        <v>2.1297694160884673E-2</v>
      </c>
      <c r="H842" s="84">
        <f t="shared" ca="1" si="175"/>
        <v>0.41491615495701117</v>
      </c>
      <c r="J842" s="85">
        <f t="shared" ca="1" si="165"/>
        <v>65915100.538497642</v>
      </c>
      <c r="K842" s="86">
        <f ca="1">IF(J842&gt;0,MIN(99,$B$12*Q842/(J842*12*(1-Inputs!$H$16))),99)</f>
        <v>7.3565352174597241</v>
      </c>
      <c r="L842" s="84">
        <f t="shared" ca="1" si="166"/>
        <v>0.92528655551905126</v>
      </c>
      <c r="M842" s="84">
        <f t="shared" ca="1" si="167"/>
        <v>0.96593761886712959</v>
      </c>
      <c r="N842" s="84">
        <f t="shared" ca="1" si="168"/>
        <v>1.0588995877656258</v>
      </c>
      <c r="O842" s="84">
        <f t="shared" ca="1" si="169"/>
        <v>1.0580102459569842</v>
      </c>
      <c r="P842" s="84">
        <f t="shared" ca="1" si="170"/>
        <v>0.87900349104490627</v>
      </c>
      <c r="Q842" s="84">
        <f t="shared" ca="1" si="171"/>
        <v>1.0638690598585505</v>
      </c>
    </row>
    <row r="843" spans="1:17" ht="15" customHeight="1" x14ac:dyDescent="0.2">
      <c r="A843" s="15">
        <v>804</v>
      </c>
      <c r="B843" s="84">
        <f t="shared" ca="1" si="174"/>
        <v>0.9018260375707553</v>
      </c>
      <c r="C843" s="84">
        <f t="shared" ca="1" si="174"/>
        <v>0.17964264451819534</v>
      </c>
      <c r="D843" s="84">
        <f t="shared" ca="1" si="174"/>
        <v>0.51359114846119425</v>
      </c>
      <c r="F843" s="84">
        <f t="shared" ca="1" si="175"/>
        <v>0.22896293151808644</v>
      </c>
      <c r="G843" s="84">
        <f t="shared" ca="1" si="175"/>
        <v>0.81872517311949577</v>
      </c>
      <c r="H843" s="84">
        <f t="shared" ca="1" si="175"/>
        <v>3.3388424812505146E-2</v>
      </c>
      <c r="J843" s="85">
        <f t="shared" ca="1" si="165"/>
        <v>234460791.77101839</v>
      </c>
      <c r="K843" s="86">
        <f ca="1">IF(J843&gt;0,MIN(99,$B$12*Q843/(J843*12*(1-Inputs!$H$16))),99)</f>
        <v>1.7522158474650937</v>
      </c>
      <c r="L843" s="84">
        <f t="shared" ca="1" si="166"/>
        <v>1.158815148001036</v>
      </c>
      <c r="M843" s="84">
        <f t="shared" ca="1" si="167"/>
        <v>1.0696056167519314</v>
      </c>
      <c r="N843" s="84">
        <f t="shared" ca="1" si="168"/>
        <v>1.0087862782277248</v>
      </c>
      <c r="O843" s="84">
        <f t="shared" ca="1" si="169"/>
        <v>1.0011997554497716</v>
      </c>
      <c r="P843" s="84">
        <f t="shared" ca="1" si="170"/>
        <v>1.4578994047452865</v>
      </c>
      <c r="Q843" s="84">
        <f t="shared" ca="1" si="171"/>
        <v>0.90133818979833102</v>
      </c>
    </row>
    <row r="844" spans="1:17" ht="15" customHeight="1" x14ac:dyDescent="0.2">
      <c r="A844" s="15">
        <v>805</v>
      </c>
      <c r="B844" s="84">
        <f t="shared" ca="1" si="174"/>
        <v>0.56558546163064105</v>
      </c>
      <c r="C844" s="84">
        <f t="shared" ca="1" si="174"/>
        <v>0.97612503284109642</v>
      </c>
      <c r="D844" s="84">
        <f t="shared" ca="1" si="174"/>
        <v>0.44813514904955598</v>
      </c>
      <c r="F844" s="84">
        <f t="shared" ca="1" si="175"/>
        <v>0.19588079771743716</v>
      </c>
      <c r="G844" s="84">
        <f t="shared" ca="1" si="175"/>
        <v>0.19783466586576315</v>
      </c>
      <c r="H844" s="84">
        <f t="shared" ca="1" si="175"/>
        <v>0.5267635158579359</v>
      </c>
      <c r="J844" s="85">
        <f t="shared" ca="1" si="165"/>
        <v>155352063.15816897</v>
      </c>
      <c r="K844" s="86">
        <f ca="1">IF(J844&gt;0,MIN(99,$B$12*Q844/(J844*12*(1-Inputs!$H$16))),99)</f>
        <v>3.2535611814229979</v>
      </c>
      <c r="L844" s="84">
        <f t="shared" ca="1" si="166"/>
        <v>1.0305986926675987</v>
      </c>
      <c r="M844" s="84">
        <f t="shared" ca="1" si="167"/>
        <v>1.012899963073109</v>
      </c>
      <c r="N844" s="84">
        <f t="shared" ca="1" si="168"/>
        <v>1.0034690113315246</v>
      </c>
      <c r="O844" s="84">
        <f t="shared" ca="1" si="169"/>
        <v>0.99882231146970812</v>
      </c>
      <c r="P844" s="84">
        <f t="shared" ca="1" si="170"/>
        <v>1.0110884016646104</v>
      </c>
      <c r="Q844" s="84">
        <f t="shared" ca="1" si="171"/>
        <v>1.10893462647442</v>
      </c>
    </row>
    <row r="845" spans="1:17" ht="15" customHeight="1" x14ac:dyDescent="0.2">
      <c r="A845" s="15">
        <v>806</v>
      </c>
      <c r="B845" s="84">
        <f t="shared" ca="1" si="174"/>
        <v>0.63128927735802332</v>
      </c>
      <c r="C845" s="84">
        <f t="shared" ca="1" si="174"/>
        <v>0.2720675102980229</v>
      </c>
      <c r="D845" s="84">
        <f t="shared" ca="1" si="174"/>
        <v>0.7178964819624073</v>
      </c>
      <c r="F845" s="84">
        <f t="shared" ca="1" si="175"/>
        <v>0.59238831250818202</v>
      </c>
      <c r="G845" s="84">
        <f t="shared" ca="1" si="175"/>
        <v>0.31328871125843671</v>
      </c>
      <c r="H845" s="84">
        <f t="shared" ca="1" si="175"/>
        <v>0.97980792096420721</v>
      </c>
      <c r="J845" s="85">
        <f t="shared" ca="1" si="165"/>
        <v>155981151.87972444</v>
      </c>
      <c r="K845" s="86">
        <f ca="1">IF(J845&gt;0,MIN(99,$B$12*Q845/(J845*12*(1-Inputs!$H$16))),99)</f>
        <v>4.1740880542255372</v>
      </c>
      <c r="L845" s="84">
        <f t="shared" ca="1" si="166"/>
        <v>1.04983844830151</v>
      </c>
      <c r="M845" s="84">
        <f t="shared" ca="1" si="167"/>
        <v>1.0214090340578317</v>
      </c>
      <c r="N845" s="84">
        <f t="shared" ca="1" si="168"/>
        <v>1.0282432674208246</v>
      </c>
      <c r="O845" s="84">
        <f t="shared" ca="1" si="169"/>
        <v>1.0313934708871244</v>
      </c>
      <c r="P845" s="84">
        <f t="shared" ca="1" si="170"/>
        <v>1.0747584718382643</v>
      </c>
      <c r="Q845" s="84">
        <f t="shared" ca="1" si="171"/>
        <v>1.4284454862139913</v>
      </c>
    </row>
    <row r="846" spans="1:17" ht="15" customHeight="1" x14ac:dyDescent="0.2">
      <c r="A846" s="15">
        <v>807</v>
      </c>
      <c r="B846" s="84">
        <f t="shared" ca="1" si="174"/>
        <v>0.24075012780165728</v>
      </c>
      <c r="C846" s="84">
        <f t="shared" ca="1" si="174"/>
        <v>3.457071486282759E-2</v>
      </c>
      <c r="D846" s="84">
        <f t="shared" ca="1" si="174"/>
        <v>0.34708956380723921</v>
      </c>
      <c r="F846" s="84">
        <f t="shared" ca="1" si="175"/>
        <v>0.80439421085229379</v>
      </c>
      <c r="G846" s="84">
        <f t="shared" ca="1" si="175"/>
        <v>0.12767009644049743</v>
      </c>
      <c r="H846" s="84">
        <f t="shared" ca="1" si="175"/>
        <v>0.65432159866977613</v>
      </c>
      <c r="J846" s="85">
        <f t="shared" ca="1" si="165"/>
        <v>84956450.203345731</v>
      </c>
      <c r="K846" s="86">
        <f ca="1">IF(J846&gt;0,MIN(99,$B$12*Q846/(J846*12*(1-Inputs!$H$16))),99)</f>
        <v>6.2634747796457022</v>
      </c>
      <c r="L846" s="84">
        <f t="shared" ca="1" si="166"/>
        <v>0.93957335561288902</v>
      </c>
      <c r="M846" s="84">
        <f t="shared" ca="1" si="167"/>
        <v>0.97232937331821767</v>
      </c>
      <c r="N846" s="84">
        <f t="shared" ca="1" si="168"/>
        <v>0.99559142201777362</v>
      </c>
      <c r="O846" s="84">
        <f t="shared" ca="1" si="169"/>
        <v>1.05611004896628</v>
      </c>
      <c r="P846" s="84">
        <f t="shared" ca="1" si="170"/>
        <v>0.97215638578218799</v>
      </c>
      <c r="Q846" s="84">
        <f t="shared" ca="1" si="171"/>
        <v>1.1674589855545789</v>
      </c>
    </row>
    <row r="847" spans="1:17" ht="15" customHeight="1" x14ac:dyDescent="0.2">
      <c r="A847" s="15">
        <v>808</v>
      </c>
      <c r="B847" s="84">
        <f t="shared" ca="1" si="174"/>
        <v>0.87182684594990167</v>
      </c>
      <c r="C847" s="84">
        <f t="shared" ca="1" si="174"/>
        <v>0.21413585540991664</v>
      </c>
      <c r="D847" s="84">
        <f t="shared" ca="1" si="174"/>
        <v>0.11445347436889064</v>
      </c>
      <c r="F847" s="84">
        <f t="shared" ca="1" si="175"/>
        <v>0.30846267518143289</v>
      </c>
      <c r="G847" s="84">
        <f t="shared" ca="1" si="175"/>
        <v>0.68550371326300685</v>
      </c>
      <c r="H847" s="84">
        <f t="shared" ca="1" si="175"/>
        <v>0.77717488812513025</v>
      </c>
      <c r="J847" s="85">
        <f t="shared" ca="1" si="165"/>
        <v>234373256.22977853</v>
      </c>
      <c r="K847" s="86">
        <f ca="1">IF(J847&gt;0,MIN(99,$B$12*Q847/(J847*12*(1-Inputs!$H$16))),99)</f>
        <v>2.402348170819534</v>
      </c>
      <c r="L847" s="84">
        <f t="shared" ca="1" si="166"/>
        <v>1.142245306365882</v>
      </c>
      <c r="M847" s="84">
        <f t="shared" ca="1" si="167"/>
        <v>1.0622773553456053</v>
      </c>
      <c r="N847" s="84">
        <f t="shared" ca="1" si="168"/>
        <v>0.97146853262025856</v>
      </c>
      <c r="O847" s="84">
        <f t="shared" ca="1" si="169"/>
        <v>1.0070585082668162</v>
      </c>
      <c r="P847" s="84">
        <f t="shared" ca="1" si="170"/>
        <v>1.3294912813970576</v>
      </c>
      <c r="Q847" s="84">
        <f t="shared" ca="1" si="171"/>
        <v>1.2353042766216107</v>
      </c>
    </row>
    <row r="848" spans="1:17" ht="15" customHeight="1" x14ac:dyDescent="0.2">
      <c r="A848" s="15">
        <v>809</v>
      </c>
      <c r="B848" s="84">
        <f t="shared" ca="1" si="174"/>
        <v>0.55034215162642841</v>
      </c>
      <c r="C848" s="84">
        <f t="shared" ca="1" si="174"/>
        <v>0.89017494619106741</v>
      </c>
      <c r="D848" s="84">
        <f t="shared" ca="1" si="174"/>
        <v>0.60423114265867417</v>
      </c>
      <c r="F848" s="84">
        <f t="shared" ca="1" si="175"/>
        <v>0.18530079070738215</v>
      </c>
      <c r="G848" s="84">
        <f t="shared" ca="1" si="175"/>
        <v>0.13927634789049947</v>
      </c>
      <c r="H848" s="84">
        <f t="shared" ca="1" si="175"/>
        <v>0.78036949876256434</v>
      </c>
      <c r="J848" s="85">
        <f t="shared" ca="1" si="165"/>
        <v>150670528.26016212</v>
      </c>
      <c r="K848" s="86">
        <f ca="1">IF(J848&gt;0,MIN(99,$B$12*Q848/(J848*12*(1-Inputs!$H$16))),99)</f>
        <v>3.7429500447730311</v>
      </c>
      <c r="L848" s="84">
        <f t="shared" ca="1" si="166"/>
        <v>1.0263477244194896</v>
      </c>
      <c r="M848" s="84">
        <f t="shared" ca="1" si="167"/>
        <v>1.0110199084993801</v>
      </c>
      <c r="N848" s="84">
        <f t="shared" ca="1" si="168"/>
        <v>1.0167808654913768</v>
      </c>
      <c r="O848" s="84">
        <f t="shared" ca="1" si="169"/>
        <v>0.99802999477321608</v>
      </c>
      <c r="P848" s="84">
        <f t="shared" ca="1" si="170"/>
        <v>0.97915828776202052</v>
      </c>
      <c r="Q848" s="84">
        <f t="shared" ca="1" si="171"/>
        <v>1.2372922230836827</v>
      </c>
    </row>
    <row r="849" spans="1:17" ht="15" customHeight="1" x14ac:dyDescent="0.2">
      <c r="A849" s="15">
        <v>810</v>
      </c>
      <c r="B849" s="84">
        <f t="shared" ca="1" si="174"/>
        <v>0.63827650192760577</v>
      </c>
      <c r="C849" s="84">
        <f t="shared" ca="1" si="174"/>
        <v>0.19079168764803067</v>
      </c>
      <c r="D849" s="84">
        <f t="shared" ca="1" si="174"/>
        <v>0.41836324781185863</v>
      </c>
      <c r="F849" s="84">
        <f t="shared" ca="1" si="175"/>
        <v>0.12612575695856632</v>
      </c>
      <c r="G849" s="84">
        <f t="shared" ca="1" si="175"/>
        <v>0.96385405624215648</v>
      </c>
      <c r="H849" s="84">
        <f t="shared" ca="1" si="175"/>
        <v>0.78275356239488758</v>
      </c>
      <c r="J849" s="85">
        <f t="shared" ca="1" si="165"/>
        <v>147135585.35183787</v>
      </c>
      <c r="K849" s="86">
        <f ca="1">IF(J849&gt;0,MIN(99,$B$12*Q849/(J849*12*(1-Inputs!$H$16))),99)</f>
        <v>3.8374996782231019</v>
      </c>
      <c r="L849" s="84">
        <f t="shared" ca="1" si="166"/>
        <v>1.0519821061328167</v>
      </c>
      <c r="M849" s="84">
        <f t="shared" ca="1" si="167"/>
        <v>1.0223570989397679</v>
      </c>
      <c r="N849" s="84">
        <f t="shared" ca="1" si="168"/>
        <v>1.0011552859638122</v>
      </c>
      <c r="O849" s="84">
        <f t="shared" ca="1" si="169"/>
        <v>0.99310523811950546</v>
      </c>
      <c r="P849" s="84">
        <f t="shared" ca="1" si="170"/>
        <v>1.6819766749301337</v>
      </c>
      <c r="Q849" s="84">
        <f t="shared" ca="1" si="171"/>
        <v>1.2387852191875022</v>
      </c>
    </row>
    <row r="850" spans="1:17" ht="15" customHeight="1" x14ac:dyDescent="0.2">
      <c r="A850" s="15">
        <v>811</v>
      </c>
      <c r="B850" s="84">
        <f t="shared" ca="1" si="174"/>
        <v>0.70582868763359818</v>
      </c>
      <c r="C850" s="84">
        <f t="shared" ca="1" si="174"/>
        <v>9.6435423925337882E-2</v>
      </c>
      <c r="D850" s="84">
        <f t="shared" ca="1" si="174"/>
        <v>0.15365498385716492</v>
      </c>
      <c r="F850" s="84">
        <f t="shared" ca="1" si="175"/>
        <v>0.27572195241984487</v>
      </c>
      <c r="G850" s="84">
        <f t="shared" ca="1" si="175"/>
        <v>0.12561441327466383</v>
      </c>
      <c r="H850" s="84">
        <f t="shared" ca="1" si="175"/>
        <v>0.57429185295002327</v>
      </c>
      <c r="J850" s="85">
        <f t="shared" ca="1" si="165"/>
        <v>194049448.44388837</v>
      </c>
      <c r="K850" s="86">
        <f ca="1">IF(J850&gt;0,MIN(99,$B$12*Q850/(J850*12*(1-Inputs!$H$16))),99)</f>
        <v>2.6534897427931696</v>
      </c>
      <c r="L850" s="84">
        <f t="shared" ca="1" si="166"/>
        <v>1.0738817376507537</v>
      </c>
      <c r="M850" s="84">
        <f t="shared" ca="1" si="167"/>
        <v>1.0320425399958357</v>
      </c>
      <c r="N850" s="84">
        <f t="shared" ca="1" si="168"/>
        <v>0.97663087254807557</v>
      </c>
      <c r="O850" s="84">
        <f t="shared" ca="1" si="169"/>
        <v>1.004606895669097</v>
      </c>
      <c r="P850" s="84">
        <f t="shared" ca="1" si="170"/>
        <v>0.9708835016585271</v>
      </c>
      <c r="Q850" s="84">
        <f t="shared" ca="1" si="171"/>
        <v>1.129691256017751</v>
      </c>
    </row>
    <row r="851" spans="1:17" ht="15" customHeight="1" x14ac:dyDescent="0.2">
      <c r="A851" s="15">
        <v>812</v>
      </c>
      <c r="B851" s="84">
        <f t="shared" ca="1" si="174"/>
        <v>5.1841875775322066E-2</v>
      </c>
      <c r="C851" s="84">
        <f t="shared" ca="1" si="174"/>
        <v>0.54605086851180717</v>
      </c>
      <c r="D851" s="84">
        <f t="shared" ca="1" si="174"/>
        <v>0.70708386493951059</v>
      </c>
      <c r="F851" s="84">
        <f t="shared" ca="1" si="175"/>
        <v>0.82958542512263367</v>
      </c>
      <c r="G851" s="84">
        <f t="shared" ca="1" si="175"/>
        <v>0.12483045085107491</v>
      </c>
      <c r="H851" s="84">
        <f t="shared" ca="1" si="175"/>
        <v>0.35641956597169533</v>
      </c>
      <c r="J851" s="85">
        <f t="shared" ca="1" si="165"/>
        <v>21007524.519603059</v>
      </c>
      <c r="K851" s="86">
        <f ca="1">IF(J851&gt;0,MIN(99,$B$12*Q851/(J851*12*(1-Inputs!$H$16))),99)</f>
        <v>22.608447962619675</v>
      </c>
      <c r="L851" s="84">
        <f t="shared" ca="1" si="166"/>
        <v>0.85136891399465975</v>
      </c>
      <c r="M851" s="84">
        <f t="shared" ca="1" si="167"/>
        <v>0.93286769340276698</v>
      </c>
      <c r="N851" s="84">
        <f t="shared" ca="1" si="168"/>
        <v>1.0270635241154986</v>
      </c>
      <c r="O851" s="84">
        <f t="shared" ca="1" si="169"/>
        <v>1.0598219119788976</v>
      </c>
      <c r="P851" s="84">
        <f t="shared" ca="1" si="170"/>
        <v>0.97039532934710571</v>
      </c>
      <c r="Q851" s="84">
        <f t="shared" ca="1" si="171"/>
        <v>1.0420188376302941</v>
      </c>
    </row>
    <row r="852" spans="1:17" ht="15" customHeight="1" x14ac:dyDescent="0.2">
      <c r="A852" s="15">
        <v>813</v>
      </c>
      <c r="B852" s="84">
        <f t="shared" ca="1" si="174"/>
        <v>9.1575335995180196E-2</v>
      </c>
      <c r="C852" s="84">
        <f t="shared" ca="1" si="174"/>
        <v>0.48864200645502942</v>
      </c>
      <c r="D852" s="84">
        <f t="shared" ca="1" si="174"/>
        <v>0.8127825788356019</v>
      </c>
      <c r="F852" s="84">
        <f t="shared" ca="1" si="175"/>
        <v>0.50164808148311324</v>
      </c>
      <c r="G852" s="84">
        <f t="shared" ca="1" si="175"/>
        <v>1.3539378427297022E-2</v>
      </c>
      <c r="H852" s="84">
        <f t="shared" ca="1" si="175"/>
        <v>0.24028873352663893</v>
      </c>
      <c r="J852" s="85">
        <f t="shared" ca="1" si="165"/>
        <v>44516303.159763291</v>
      </c>
      <c r="K852" s="86">
        <f ca="1">IF(J852&gt;0,MIN(99,$B$12*Q852/(J852*12*(1-Inputs!$H$16))),99)</f>
        <v>10.253239114425137</v>
      </c>
      <c r="L852" s="84">
        <f t="shared" ca="1" si="166"/>
        <v>0.87649987832237919</v>
      </c>
      <c r="M852" s="84">
        <f t="shared" ca="1" si="167"/>
        <v>0.94411100555431871</v>
      </c>
      <c r="N852" s="84">
        <f t="shared" ca="1" si="168"/>
        <v>1.0397618829774609</v>
      </c>
      <c r="O852" s="84">
        <f t="shared" ca="1" si="169"/>
        <v>1.022889358014887</v>
      </c>
      <c r="P852" s="84">
        <f t="shared" ca="1" si="170"/>
        <v>0.86596810210434239</v>
      </c>
      <c r="Q852" s="84">
        <f t="shared" ca="1" si="171"/>
        <v>1.0014058367265912</v>
      </c>
    </row>
    <row r="853" spans="1:17" ht="15" customHeight="1" x14ac:dyDescent="0.2">
      <c r="A853" s="15">
        <v>814</v>
      </c>
      <c r="B853" s="84">
        <f t="shared" ca="1" si="174"/>
        <v>0.48848821708122514</v>
      </c>
      <c r="C853" s="84">
        <f t="shared" ca="1" si="174"/>
        <v>0.82783808410376647</v>
      </c>
      <c r="D853" s="84">
        <f t="shared" ca="1" si="174"/>
        <v>0.88855009308904709</v>
      </c>
      <c r="F853" s="84">
        <f t="shared" ca="1" si="175"/>
        <v>0.53663634044638697</v>
      </c>
      <c r="G853" s="84">
        <f t="shared" ca="1" si="175"/>
        <v>0.48721735041480019</v>
      </c>
      <c r="H853" s="84">
        <f t="shared" ca="1" si="175"/>
        <v>0.79156451205038314</v>
      </c>
      <c r="J853" s="85">
        <f t="shared" ca="1" si="165"/>
        <v>118981944.75905071</v>
      </c>
      <c r="K853" s="86">
        <f ca="1">IF(J853&gt;0,MIN(99,$B$12*Q853/(J853*12*(1-Inputs!$H$16))),99)</f>
        <v>4.7669477942067209</v>
      </c>
      <c r="L853" s="84">
        <f t="shared" ca="1" si="166"/>
        <v>1.0097965495108867</v>
      </c>
      <c r="M853" s="84">
        <f t="shared" ca="1" si="167"/>
        <v>1.0036999027333176</v>
      </c>
      <c r="N853" s="84">
        <f t="shared" ca="1" si="168"/>
        <v>1.0513269774982714</v>
      </c>
      <c r="O853" s="84">
        <f t="shared" ca="1" si="169"/>
        <v>1.0260684914222227</v>
      </c>
      <c r="P853" s="84">
        <f t="shared" ca="1" si="170"/>
        <v>1.1818243145835572</v>
      </c>
      <c r="Q853" s="84">
        <f t="shared" ca="1" si="171"/>
        <v>1.2443753523228722</v>
      </c>
    </row>
    <row r="854" spans="1:17" ht="15" customHeight="1" x14ac:dyDescent="0.2">
      <c r="A854" s="15">
        <v>815</v>
      </c>
      <c r="B854" s="84">
        <f t="shared" ca="1" si="174"/>
        <v>0.4698070156459474</v>
      </c>
      <c r="C854" s="84">
        <f t="shared" ca="1" si="174"/>
        <v>0.88380586322864774</v>
      </c>
      <c r="D854" s="84">
        <f t="shared" ca="1" si="174"/>
        <v>0.74179437353953803</v>
      </c>
      <c r="F854" s="84">
        <f t="shared" ca="1" si="175"/>
        <v>0.79572214942705644</v>
      </c>
      <c r="G854" s="84">
        <f t="shared" ca="1" si="175"/>
        <v>0.82931759727314269</v>
      </c>
      <c r="H854" s="84">
        <f t="shared" ca="1" si="175"/>
        <v>0.29134463235719121</v>
      </c>
      <c r="J854" s="85">
        <f t="shared" ca="1" si="165"/>
        <v>104329648.17674737</v>
      </c>
      <c r="K854" s="86">
        <f ca="1">IF(J854&gt;0,MIN(99,$B$12*Q854/(J854*12*(1-Inputs!$H$16))),99)</f>
        <v>4.451146941662607</v>
      </c>
      <c r="L854" s="84">
        <f t="shared" ca="1" si="166"/>
        <v>1.0049971567766698</v>
      </c>
      <c r="M854" s="84">
        <f t="shared" ca="1" si="167"/>
        <v>1.0015772991911482</v>
      </c>
      <c r="N854" s="84">
        <f t="shared" ca="1" si="168"/>
        <v>1.0309337089238353</v>
      </c>
      <c r="O854" s="84">
        <f t="shared" ca="1" si="169"/>
        <v>1.0548881960772163</v>
      </c>
      <c r="P854" s="84">
        <f t="shared" ca="1" si="170"/>
        <v>1.4699062236905958</v>
      </c>
      <c r="Q854" s="84">
        <f t="shared" ca="1" si="171"/>
        <v>1.0188485125619648</v>
      </c>
    </row>
    <row r="855" spans="1:17" ht="15" customHeight="1" x14ac:dyDescent="0.2">
      <c r="A855" s="15">
        <v>816</v>
      </c>
      <c r="B855" s="84">
        <f t="shared" ca="1" si="174"/>
        <v>0.43061471330322443</v>
      </c>
      <c r="C855" s="84">
        <f t="shared" ca="1" si="174"/>
        <v>0.30770137516574381</v>
      </c>
      <c r="D855" s="84">
        <f t="shared" ca="1" si="174"/>
        <v>0.53480122798432417</v>
      </c>
      <c r="F855" s="84">
        <f t="shared" ca="1" si="175"/>
        <v>0.44356106049113475</v>
      </c>
      <c r="G855" s="84">
        <f t="shared" ca="1" si="175"/>
        <v>0.44324963032987963</v>
      </c>
      <c r="H855" s="84">
        <f t="shared" ca="1" si="175"/>
        <v>0.41320076749185808</v>
      </c>
      <c r="J855" s="85">
        <f t="shared" ca="1" si="165"/>
        <v>119860717.52880113</v>
      </c>
      <c r="K855" s="86">
        <f ca="1">IF(J855&gt;0,MIN(99,$B$12*Q855/(J855*12*(1-Inputs!$H$16))),99)</f>
        <v>4.0430911081543339</v>
      </c>
      <c r="L855" s="84">
        <f t="shared" ca="1" si="166"/>
        <v>0.99510032995571074</v>
      </c>
      <c r="M855" s="84">
        <f t="shared" ca="1" si="167"/>
        <v>0.99717152013066368</v>
      </c>
      <c r="N855" s="84">
        <f t="shared" ca="1" si="168"/>
        <v>1.0105852285133408</v>
      </c>
      <c r="O855" s="84">
        <f t="shared" ca="1" si="169"/>
        <v>1.0178485680223019</v>
      </c>
      <c r="P855" s="84">
        <f t="shared" ca="1" si="170"/>
        <v>1.1532314935507042</v>
      </c>
      <c r="Q855" s="84">
        <f t="shared" ca="1" si="171"/>
        <v>1.0632131578177182</v>
      </c>
    </row>
    <row r="856" spans="1:17" ht="15" customHeight="1" x14ac:dyDescent="0.2">
      <c r="A856" s="15">
        <v>817</v>
      </c>
      <c r="B856" s="84">
        <f t="shared" ca="1" si="174"/>
        <v>0.43784198379655526</v>
      </c>
      <c r="C856" s="84">
        <f t="shared" ca="1" si="174"/>
        <v>0.30249875162851081</v>
      </c>
      <c r="D856" s="84">
        <f t="shared" ca="1" si="174"/>
        <v>0.68894570072282268</v>
      </c>
      <c r="F856" s="84">
        <f t="shared" ca="1" si="175"/>
        <v>0.42495980118953824</v>
      </c>
      <c r="G856" s="84">
        <f t="shared" ca="1" si="175"/>
        <v>6.3158688519526884E-2</v>
      </c>
      <c r="H856" s="84">
        <f t="shared" ca="1" si="175"/>
        <v>0.86455907653482222</v>
      </c>
      <c r="J856" s="85">
        <f t="shared" ca="1" si="165"/>
        <v>126906374.4039961</v>
      </c>
      <c r="K856" s="86">
        <f ca="1">IF(J856&gt;0,MIN(99,$B$12*Q856/(J856*12*(1-Inputs!$H$16))),99)</f>
        <v>4.6554004956427466</v>
      </c>
      <c r="L856" s="84">
        <f t="shared" ca="1" si="166"/>
        <v>0.99693968364650898</v>
      </c>
      <c r="M856" s="84">
        <f t="shared" ca="1" si="167"/>
        <v>0.99799442638420299</v>
      </c>
      <c r="N856" s="84">
        <f t="shared" ca="1" si="168"/>
        <v>1.0251323860942922</v>
      </c>
      <c r="O856" s="84">
        <f t="shared" ca="1" si="169"/>
        <v>1.0162905531397142</v>
      </c>
      <c r="P856" s="84">
        <f t="shared" ca="1" si="170"/>
        <v>0.92544354635206072</v>
      </c>
      <c r="Q856" s="84">
        <f t="shared" ca="1" si="171"/>
        <v>1.2961952535672203</v>
      </c>
    </row>
    <row r="857" spans="1:17" ht="15" customHeight="1" x14ac:dyDescent="0.2">
      <c r="A857" s="15">
        <v>818</v>
      </c>
      <c r="B857" s="84">
        <f t="shared" ca="1" si="174"/>
        <v>0.33433089093287183</v>
      </c>
      <c r="C857" s="84">
        <f t="shared" ca="1" si="174"/>
        <v>0.7951191556494045</v>
      </c>
      <c r="D857" s="84">
        <f t="shared" ca="1" si="174"/>
        <v>0.66764859361332973</v>
      </c>
      <c r="F857" s="84">
        <f t="shared" ca="1" si="175"/>
        <v>0.74727239975591431</v>
      </c>
      <c r="G857" s="84">
        <f t="shared" ca="1" si="175"/>
        <v>0.94700681216813964</v>
      </c>
      <c r="H857" s="84">
        <f t="shared" ca="1" si="175"/>
        <v>0.92726922239847831</v>
      </c>
      <c r="J857" s="85">
        <f t="shared" ca="1" si="165"/>
        <v>75329735.691626891</v>
      </c>
      <c r="K857" s="86">
        <f ca="1">IF(J857&gt;0,MIN(99,$B$12*Q857/(J857*12*(1-Inputs!$H$16))),99)</f>
        <v>8.1911515018223255</v>
      </c>
      <c r="L857" s="84">
        <f t="shared" ca="1" si="166"/>
        <v>0.96893871513946894</v>
      </c>
      <c r="M857" s="84">
        <f t="shared" ca="1" si="167"/>
        <v>0.98546710648652713</v>
      </c>
      <c r="N857" s="84">
        <f t="shared" ca="1" si="168"/>
        <v>1.0229354546132019</v>
      </c>
      <c r="O857" s="84">
        <f t="shared" ca="1" si="169"/>
        <v>1.0484940664025586</v>
      </c>
      <c r="P857" s="84">
        <f t="shared" ca="1" si="170"/>
        <v>1.6438623092830791</v>
      </c>
      <c r="Q857" s="84">
        <f t="shared" ca="1" si="171"/>
        <v>1.3537589587925631</v>
      </c>
    </row>
    <row r="858" spans="1:17" ht="15" customHeight="1" x14ac:dyDescent="0.2">
      <c r="A858" s="15">
        <v>819</v>
      </c>
      <c r="B858" s="84">
        <f t="shared" ca="1" si="174"/>
        <v>0.29758763566239854</v>
      </c>
      <c r="C858" s="84">
        <f t="shared" ca="1" si="174"/>
        <v>0.7539881015520038</v>
      </c>
      <c r="D858" s="84">
        <f t="shared" ca="1" si="174"/>
        <v>0.67453995078421669</v>
      </c>
      <c r="F858" s="84">
        <f t="shared" ca="1" si="175"/>
        <v>0.94929970567326627</v>
      </c>
      <c r="G858" s="84">
        <f t="shared" ca="1" si="175"/>
        <v>0.37611453630286151</v>
      </c>
      <c r="H858" s="84">
        <f t="shared" ca="1" si="175"/>
        <v>5.3844636579021166E-2</v>
      </c>
      <c r="J858" s="85">
        <f t="shared" ca="1" si="165"/>
        <v>81922434.548328564</v>
      </c>
      <c r="K858" s="86">
        <f ca="1">IF(J858&gt;0,MIN(99,$B$12*Q858/(J858*12*(1-Inputs!$H$16))),99)</f>
        <v>5.1041143889058231</v>
      </c>
      <c r="L858" s="84">
        <f t="shared" ca="1" si="166"/>
        <v>0.95797160711984752</v>
      </c>
      <c r="M858" s="84">
        <f t="shared" ca="1" si="167"/>
        <v>0.98056054511242252</v>
      </c>
      <c r="N858" s="84">
        <f t="shared" ca="1" si="168"/>
        <v>1.0236384279433817</v>
      </c>
      <c r="O858" s="84">
        <f t="shared" ca="1" si="169"/>
        <v>1.0834643126449197</v>
      </c>
      <c r="P858" s="84">
        <f t="shared" ca="1" si="170"/>
        <v>1.1116695617311725</v>
      </c>
      <c r="Q858" s="84">
        <f t="shared" ca="1" si="171"/>
        <v>0.91738828589066479</v>
      </c>
    </row>
    <row r="859" spans="1:17" ht="15" customHeight="1" x14ac:dyDescent="0.2">
      <c r="A859" s="15">
        <v>820</v>
      </c>
      <c r="B859" s="84">
        <f t="shared" ca="1" si="174"/>
        <v>5.5519669368440439E-2</v>
      </c>
      <c r="C859" s="84">
        <f t="shared" ca="1" si="174"/>
        <v>0.88945004783394843</v>
      </c>
      <c r="D859" s="84">
        <f t="shared" ca="1" si="174"/>
        <v>0.45243596601522984</v>
      </c>
      <c r="F859" s="84">
        <f t="shared" ca="1" si="175"/>
        <v>0.37732620457221722</v>
      </c>
      <c r="G859" s="84">
        <f t="shared" ca="1" si="175"/>
        <v>0.10722907684879535</v>
      </c>
      <c r="H859" s="84">
        <f t="shared" ca="1" si="175"/>
        <v>0.39056025964504348</v>
      </c>
      <c r="J859" s="85">
        <f t="shared" ca="1" si="165"/>
        <v>35281048.767881811</v>
      </c>
      <c r="K859" s="86">
        <f ca="1">IF(J859&gt;0,MIN(99,$B$12*Q859/(J859*12*(1-Inputs!$H$16))),99)</f>
        <v>13.62494139579109</v>
      </c>
      <c r="L859" s="84">
        <f t="shared" ca="1" si="166"/>
        <v>0.85403140390977217</v>
      </c>
      <c r="M859" s="84">
        <f t="shared" ca="1" si="167"/>
        <v>0.93405886158977325</v>
      </c>
      <c r="N859" s="84">
        <f t="shared" ca="1" si="168"/>
        <v>1.0038083607167849</v>
      </c>
      <c r="O859" s="84">
        <f t="shared" ca="1" si="169"/>
        <v>1.0124120818099158</v>
      </c>
      <c r="P859" s="84">
        <f t="shared" ca="1" si="170"/>
        <v>0.95900088146276652</v>
      </c>
      <c r="Q859" s="84">
        <f t="shared" ca="1" si="171"/>
        <v>1.0546444484195201</v>
      </c>
    </row>
    <row r="860" spans="1:17" ht="15" customHeight="1" x14ac:dyDescent="0.2">
      <c r="A860" s="15">
        <v>821</v>
      </c>
      <c r="B860" s="84">
        <f t="shared" ref="B860:D879" ca="1" si="176">RAND()</f>
        <v>0.74326873505757218</v>
      </c>
      <c r="C860" s="84">
        <f t="shared" ca="1" si="176"/>
        <v>0.37078879874499582</v>
      </c>
      <c r="D860" s="84">
        <f t="shared" ca="1" si="176"/>
        <v>0.86651491226194843</v>
      </c>
      <c r="F860" s="84">
        <f t="shared" ref="F860:H879" ca="1" si="177">RAND()</f>
        <v>0.18688525630275388</v>
      </c>
      <c r="G860" s="84">
        <f t="shared" ca="1" si="177"/>
        <v>0.2828570590802203</v>
      </c>
      <c r="H860" s="84">
        <f t="shared" ca="1" si="177"/>
        <v>0.13188440591499417</v>
      </c>
      <c r="J860" s="85">
        <f t="shared" ca="1" si="165"/>
        <v>185298988.88634664</v>
      </c>
      <c r="K860" s="86">
        <f ca="1">IF(J860&gt;0,MIN(99,$B$12*Q860/(J860*12*(1-Inputs!$H$16))),99)</f>
        <v>2.3615331026321962</v>
      </c>
      <c r="L860" s="84">
        <f t="shared" ca="1" si="166"/>
        <v>1.0871155968964326</v>
      </c>
      <c r="M860" s="84">
        <f t="shared" ca="1" si="167"/>
        <v>1.0378954130710443</v>
      </c>
      <c r="N860" s="84">
        <f t="shared" ca="1" si="168"/>
        <v>1.0476396581545946</v>
      </c>
      <c r="O860" s="84">
        <f t="shared" ca="1" si="169"/>
        <v>0.99815006649266391</v>
      </c>
      <c r="P860" s="84">
        <f t="shared" ca="1" si="170"/>
        <v>1.0574874356212838</v>
      </c>
      <c r="Q860" s="84">
        <f t="shared" ca="1" si="171"/>
        <v>0.96005702230420364</v>
      </c>
    </row>
    <row r="861" spans="1:17" ht="15" customHeight="1" x14ac:dyDescent="0.2">
      <c r="A861" s="15">
        <v>822</v>
      </c>
      <c r="B861" s="84">
        <f t="shared" ca="1" si="176"/>
        <v>0.77869228798544254</v>
      </c>
      <c r="C861" s="84">
        <f t="shared" ca="1" si="176"/>
        <v>0.31162887288775243</v>
      </c>
      <c r="D861" s="84">
        <f t="shared" ca="1" si="176"/>
        <v>0.9409064649873693</v>
      </c>
      <c r="F861" s="84">
        <f t="shared" ca="1" si="177"/>
        <v>0.74110449746145501</v>
      </c>
      <c r="G861" s="84">
        <f t="shared" ca="1" si="177"/>
        <v>0.14640064262746055</v>
      </c>
      <c r="H861" s="84">
        <f t="shared" ca="1" si="177"/>
        <v>0.3541367447034256</v>
      </c>
      <c r="J861" s="85">
        <f t="shared" ca="1" si="165"/>
        <v>186548463.28331041</v>
      </c>
      <c r="K861" s="86">
        <f ca="1">IF(J861&gt;0,MIN(99,$B$12*Q861/(J861*12*(1-Inputs!$H$16))),99)</f>
        <v>2.5439407903101081</v>
      </c>
      <c r="L861" s="84">
        <f t="shared" ca="1" si="166"/>
        <v>1.1005585760147503</v>
      </c>
      <c r="M861" s="84">
        <f t="shared" ca="1" si="167"/>
        <v>1.0438407725517174</v>
      </c>
      <c r="N861" s="84">
        <f t="shared" ca="1" si="168"/>
        <v>1.0619448667138545</v>
      </c>
      <c r="O861" s="84">
        <f t="shared" ca="1" si="169"/>
        <v>1.0477258065133712</v>
      </c>
      <c r="P861" s="84">
        <f t="shared" ca="1" si="170"/>
        <v>0.98331233514820471</v>
      </c>
      <c r="Q861" s="84">
        <f t="shared" ca="1" si="171"/>
        <v>1.0411867105324899</v>
      </c>
    </row>
    <row r="862" spans="1:17" ht="15" customHeight="1" x14ac:dyDescent="0.2">
      <c r="A862" s="15">
        <v>823</v>
      </c>
      <c r="B862" s="84">
        <f t="shared" ca="1" si="176"/>
        <v>0.90817992596802288</v>
      </c>
      <c r="C862" s="84">
        <f t="shared" ca="1" si="176"/>
        <v>3.9730092170506603E-2</v>
      </c>
      <c r="D862" s="84">
        <f t="shared" ca="1" si="176"/>
        <v>0.72358730990285736</v>
      </c>
      <c r="F862" s="84">
        <f t="shared" ca="1" si="177"/>
        <v>0.3719781154276155</v>
      </c>
      <c r="G862" s="84">
        <f t="shared" ca="1" si="177"/>
        <v>0.55778584182069424</v>
      </c>
      <c r="H862" s="84">
        <f t="shared" ca="1" si="177"/>
        <v>0.22374509636897999</v>
      </c>
      <c r="J862" s="85">
        <f t="shared" ca="1" si="165"/>
        <v>239279927.76320702</v>
      </c>
      <c r="K862" s="86">
        <f ca="1">IF(J862&gt;0,MIN(99,$B$12*Q862/(J862*12*(1-Inputs!$H$16))),99)</f>
        <v>1.8968785250710496</v>
      </c>
      <c r="L862" s="84">
        <f t="shared" ca="1" si="166"/>
        <v>1.1626378169516236</v>
      </c>
      <c r="M862" s="84">
        <f t="shared" ca="1" si="167"/>
        <v>1.0712962495266176</v>
      </c>
      <c r="N862" s="84">
        <f t="shared" ca="1" si="168"/>
        <v>1.0288732695949472</v>
      </c>
      <c r="O862" s="84">
        <f t="shared" ca="1" si="169"/>
        <v>1.0119860307377169</v>
      </c>
      <c r="P862" s="84">
        <f t="shared" ca="1" si="170"/>
        <v>1.2304130126384321</v>
      </c>
      <c r="Q862" s="84">
        <f t="shared" ca="1" si="171"/>
        <v>0.99580827338232814</v>
      </c>
    </row>
    <row r="863" spans="1:17" ht="15" customHeight="1" x14ac:dyDescent="0.2">
      <c r="A863" s="15">
        <v>824</v>
      </c>
      <c r="B863" s="84">
        <f t="shared" ca="1" si="176"/>
        <v>0.84757471852869126</v>
      </c>
      <c r="C863" s="84">
        <f t="shared" ca="1" si="176"/>
        <v>0.24178726383284732</v>
      </c>
      <c r="D863" s="84">
        <f t="shared" ca="1" si="176"/>
        <v>0.7822821746356069</v>
      </c>
      <c r="F863" s="84">
        <f t="shared" ca="1" si="177"/>
        <v>0.55056305978943865</v>
      </c>
      <c r="G863" s="84">
        <f t="shared" ca="1" si="177"/>
        <v>0.45329152920823146</v>
      </c>
      <c r="H863" s="84">
        <f t="shared" ca="1" si="177"/>
        <v>0.29657263361348873</v>
      </c>
      <c r="J863" s="85">
        <f t="shared" ca="1" si="165"/>
        <v>212231474.6906684</v>
      </c>
      <c r="K863" s="86">
        <f ca="1">IF(J863&gt;0,MIN(99,$B$12*Q863/(J863*12*(1-Inputs!$H$16))),99)</f>
        <v>2.1920246643944945</v>
      </c>
      <c r="L863" s="84">
        <f t="shared" ca="1" si="166"/>
        <v>1.130229574144769</v>
      </c>
      <c r="M863" s="84">
        <f t="shared" ca="1" si="167"/>
        <v>1.0569632172479955</v>
      </c>
      <c r="N863" s="84">
        <f t="shared" ca="1" si="168"/>
        <v>1.0357936213493419</v>
      </c>
      <c r="O863" s="84">
        <f t="shared" ca="1" si="169"/>
        <v>1.0273671989574338</v>
      </c>
      <c r="P863" s="84">
        <f t="shared" ca="1" si="170"/>
        <v>1.1596594159834419</v>
      </c>
      <c r="Q863" s="84">
        <f t="shared" ca="1" si="171"/>
        <v>1.0206695762352154</v>
      </c>
    </row>
    <row r="864" spans="1:17" ht="15" customHeight="1" x14ac:dyDescent="0.2">
      <c r="A864" s="15">
        <v>825</v>
      </c>
      <c r="B864" s="84">
        <f t="shared" ca="1" si="176"/>
        <v>0.26928695487046173</v>
      </c>
      <c r="C864" s="84">
        <f t="shared" ca="1" si="176"/>
        <v>0.35926712371840841</v>
      </c>
      <c r="D864" s="84">
        <f t="shared" ca="1" si="176"/>
        <v>0.40263128796182657</v>
      </c>
      <c r="F864" s="84">
        <f t="shared" ca="1" si="177"/>
        <v>0.20902991056949938</v>
      </c>
      <c r="G864" s="84">
        <f t="shared" ca="1" si="177"/>
        <v>0.84293878396000343</v>
      </c>
      <c r="H864" s="84">
        <f t="shared" ca="1" si="177"/>
        <v>0.3086912345622651</v>
      </c>
      <c r="J864" s="85">
        <f t="shared" ca="1" si="165"/>
        <v>80520648.354990497</v>
      </c>
      <c r="K864" s="86">
        <f ca="1">IF(J864&gt;0,MIN(99,$B$12*Q864/(J864*12*(1-Inputs!$H$16))),99)</f>
        <v>5.8016497637606861</v>
      </c>
      <c r="L864" s="84">
        <f t="shared" ca="1" si="166"/>
        <v>0.94905396411149889</v>
      </c>
      <c r="M864" s="84">
        <f t="shared" ca="1" si="167"/>
        <v>0.97657089144487996</v>
      </c>
      <c r="N864" s="84">
        <f t="shared" ca="1" si="168"/>
        <v>0.99995655199434097</v>
      </c>
      <c r="O864" s="84">
        <f t="shared" ca="1" si="169"/>
        <v>0.99977776830053777</v>
      </c>
      <c r="P864" s="84">
        <f t="shared" ca="1" si="170"/>
        <v>1.4859080668283955</v>
      </c>
      <c r="Q864" s="84">
        <f t="shared" ca="1" si="171"/>
        <v>1.0249170365774882</v>
      </c>
    </row>
    <row r="865" spans="1:17" ht="15" customHeight="1" x14ac:dyDescent="0.2">
      <c r="A865" s="15">
        <v>826</v>
      </c>
      <c r="B865" s="84">
        <f t="shared" ca="1" si="176"/>
        <v>3.8833850706975315E-2</v>
      </c>
      <c r="C865" s="84">
        <f t="shared" ca="1" si="176"/>
        <v>0.99637489089838238</v>
      </c>
      <c r="D865" s="84">
        <f t="shared" ca="1" si="176"/>
        <v>0.65067842881494387</v>
      </c>
      <c r="F865" s="84">
        <f t="shared" ca="1" si="177"/>
        <v>0.92441786452344843</v>
      </c>
      <c r="G865" s="84">
        <f t="shared" ca="1" si="177"/>
        <v>0.33581608885458447</v>
      </c>
      <c r="H865" s="84">
        <f t="shared" ca="1" si="177"/>
        <v>0.60527865518871793</v>
      </c>
      <c r="J865" s="85">
        <f t="shared" ca="1" si="165"/>
        <v>8376529.5207240731</v>
      </c>
      <c r="K865" s="86">
        <f ca="1">IF(J865&gt;0,MIN(99,$B$12*Q865/(J865*12*(1-Inputs!$H$16))),99)</f>
        <v>62.241004360663254</v>
      </c>
      <c r="L865" s="84">
        <f t="shared" ca="1" si="166"/>
        <v>0.84109696063008288</v>
      </c>
      <c r="M865" s="84">
        <f t="shared" ca="1" si="167"/>
        <v>0.92827213644052453</v>
      </c>
      <c r="N865" s="84">
        <f t="shared" ca="1" si="168"/>
        <v>1.0212348219338132</v>
      </c>
      <c r="O865" s="84">
        <f t="shared" ca="1" si="169"/>
        <v>1.0771954638423815</v>
      </c>
      <c r="P865" s="84">
        <f t="shared" ca="1" si="170"/>
        <v>1.0877914378938809</v>
      </c>
      <c r="Q865" s="84">
        <f t="shared" ca="1" si="171"/>
        <v>1.1438541624264107</v>
      </c>
    </row>
    <row r="866" spans="1:17" ht="15" customHeight="1" x14ac:dyDescent="0.2">
      <c r="A866" s="15">
        <v>827</v>
      </c>
      <c r="B866" s="84">
        <f t="shared" ca="1" si="176"/>
        <v>5.3734716254830617E-2</v>
      </c>
      <c r="C866" s="84">
        <f t="shared" ca="1" si="176"/>
        <v>0.26252556357433587</v>
      </c>
      <c r="D866" s="84">
        <f t="shared" ca="1" si="176"/>
        <v>0.27831421730813588</v>
      </c>
      <c r="F866" s="84">
        <f t="shared" ca="1" si="177"/>
        <v>0.7900292184125226</v>
      </c>
      <c r="G866" s="84">
        <f t="shared" ca="1" si="177"/>
        <v>0.25079584223924523</v>
      </c>
      <c r="H866" s="84">
        <f t="shared" ca="1" si="177"/>
        <v>0.59639189610161403</v>
      </c>
      <c r="J866" s="85">
        <f t="shared" ca="1" si="165"/>
        <v>27066367.580242321</v>
      </c>
      <c r="K866" s="86">
        <f ca="1">IF(J866&gt;0,MIN(99,$B$12*Q866/(J866*12*(1-Inputs!$H$16))),99)</f>
        <v>19.193085729228635</v>
      </c>
      <c r="L866" s="84">
        <f t="shared" ca="1" si="166"/>
        <v>0.85275059857434177</v>
      </c>
      <c r="M866" s="84">
        <f t="shared" ca="1" si="167"/>
        <v>0.93348584361864306</v>
      </c>
      <c r="N866" s="84">
        <f t="shared" ca="1" si="168"/>
        <v>0.98966843066585486</v>
      </c>
      <c r="O866" s="84">
        <f t="shared" ca="1" si="169"/>
        <v>1.0541001465907747</v>
      </c>
      <c r="P866" s="84">
        <f t="shared" ca="1" si="170"/>
        <v>1.039683503763996</v>
      </c>
      <c r="Q866" s="84">
        <f t="shared" ca="1" si="171"/>
        <v>1.1397371911743928</v>
      </c>
    </row>
    <row r="867" spans="1:17" ht="15" customHeight="1" x14ac:dyDescent="0.2">
      <c r="A867" s="15">
        <v>828</v>
      </c>
      <c r="B867" s="84">
        <f t="shared" ca="1" si="176"/>
        <v>0.8876028721702065</v>
      </c>
      <c r="C867" s="84">
        <f t="shared" ca="1" si="176"/>
        <v>0.91467156608697486</v>
      </c>
      <c r="D867" s="84">
        <f t="shared" ca="1" si="176"/>
        <v>0.72649006556777285</v>
      </c>
      <c r="F867" s="84">
        <f t="shared" ca="1" si="177"/>
        <v>0.62161079787932239</v>
      </c>
      <c r="G867" s="84">
        <f t="shared" ca="1" si="177"/>
        <v>0.46166106633371051</v>
      </c>
      <c r="H867" s="84">
        <f t="shared" ca="1" si="177"/>
        <v>0.48114478019462315</v>
      </c>
      <c r="J867" s="85">
        <f t="shared" ca="1" si="165"/>
        <v>228474169.06103623</v>
      </c>
      <c r="K867" s="86">
        <f ca="1">IF(J867&gt;0,MIN(99,$B$12*Q867/(J867*12*(1-Inputs!$H$16))),99)</f>
        <v>2.1744441143029118</v>
      </c>
      <c r="L867" s="84">
        <f t="shared" ca="1" si="166"/>
        <v>1.1506834480988286</v>
      </c>
      <c r="M867" s="84">
        <f t="shared" ca="1" si="167"/>
        <v>1.066009250300562</v>
      </c>
      <c r="N867" s="84">
        <f t="shared" ca="1" si="168"/>
        <v>1.0291971167210494</v>
      </c>
      <c r="O867" s="84">
        <f t="shared" ca="1" si="169"/>
        <v>1.0343305697517495</v>
      </c>
      <c r="P867" s="84">
        <f t="shared" ca="1" si="170"/>
        <v>1.1650620888396246</v>
      </c>
      <c r="Q867" s="84">
        <f t="shared" ca="1" si="171"/>
        <v>1.089971891093874</v>
      </c>
    </row>
    <row r="868" spans="1:17" ht="15" customHeight="1" x14ac:dyDescent="0.2">
      <c r="A868" s="15">
        <v>829</v>
      </c>
      <c r="B868" s="84">
        <f t="shared" ca="1" si="176"/>
        <v>0.64745991719228702</v>
      </c>
      <c r="C868" s="84">
        <f t="shared" ca="1" si="176"/>
        <v>6.9154601122560777E-3</v>
      </c>
      <c r="D868" s="84">
        <f t="shared" ca="1" si="176"/>
        <v>0.77540628455924709</v>
      </c>
      <c r="F868" s="84">
        <f t="shared" ca="1" si="177"/>
        <v>0.23594613624902394</v>
      </c>
      <c r="G868" s="84">
        <f t="shared" ca="1" si="177"/>
        <v>0.28676992449067951</v>
      </c>
      <c r="H868" s="84">
        <f t="shared" ca="1" si="177"/>
        <v>0.21174856016121568</v>
      </c>
      <c r="J868" s="85">
        <f t="shared" ca="1" si="165"/>
        <v>163644779.5351277</v>
      </c>
      <c r="K868" s="86">
        <f ca="1">IF(J868&gt;0,MIN(99,$B$12*Q868/(J868*12*(1-Inputs!$H$16))),99)</f>
        <v>2.7619462755638238</v>
      </c>
      <c r="L868" s="84">
        <f t="shared" ca="1" si="166"/>
        <v>1.0548312888122826</v>
      </c>
      <c r="M868" s="84">
        <f t="shared" ca="1" si="167"/>
        <v>1.0236171927855175</v>
      </c>
      <c r="N868" s="84">
        <f t="shared" ca="1" si="168"/>
        <v>1.0349382459479486</v>
      </c>
      <c r="O868" s="84">
        <f t="shared" ca="1" si="169"/>
        <v>1.0017018976279315</v>
      </c>
      <c r="P868" s="84">
        <f t="shared" ca="1" si="170"/>
        <v>1.0596873157592821</v>
      </c>
      <c r="Q868" s="84">
        <f t="shared" ca="1" si="171"/>
        <v>0.99162467132749277</v>
      </c>
    </row>
    <row r="869" spans="1:17" ht="15" customHeight="1" x14ac:dyDescent="0.2">
      <c r="A869" s="15">
        <v>830</v>
      </c>
      <c r="B869" s="84">
        <f t="shared" ca="1" si="176"/>
        <v>0.26616869311614144</v>
      </c>
      <c r="C869" s="84">
        <f t="shared" ca="1" si="176"/>
        <v>0.74469324360599898</v>
      </c>
      <c r="D869" s="84">
        <f t="shared" ca="1" si="176"/>
        <v>0.68399579377030417</v>
      </c>
      <c r="F869" s="84">
        <f t="shared" ca="1" si="177"/>
        <v>0.20055133756426835</v>
      </c>
      <c r="G869" s="84">
        <f t="shared" ca="1" si="177"/>
        <v>0.70935653348751182</v>
      </c>
      <c r="H869" s="84">
        <f t="shared" ca="1" si="177"/>
        <v>0.34915964695471935</v>
      </c>
      <c r="J869" s="85">
        <f t="shared" ca="1" si="165"/>
        <v>80031632.533401415</v>
      </c>
      <c r="K869" s="86">
        <f ca="1">IF(J869&gt;0,MIN(99,$B$12*Q869/(J869*12*(1-Inputs!$H$16))),99)</f>
        <v>5.9194549218436228</v>
      </c>
      <c r="L869" s="84">
        <f t="shared" ca="1" si="166"/>
        <v>0.948043283532086</v>
      </c>
      <c r="M869" s="84">
        <f t="shared" ca="1" si="167"/>
        <v>0.97611872426610935</v>
      </c>
      <c r="N869" s="84">
        <f t="shared" ca="1" si="168"/>
        <v>1.0246152257286993</v>
      </c>
      <c r="O869" s="84">
        <f t="shared" ca="1" si="169"/>
        <v>0.9991652585956704</v>
      </c>
      <c r="P869" s="84">
        <f t="shared" ca="1" si="170"/>
        <v>1.3501129899511084</v>
      </c>
      <c r="Q869" s="84">
        <f t="shared" ca="1" si="171"/>
        <v>1.0393775571626993</v>
      </c>
    </row>
    <row r="870" spans="1:17" ht="15" customHeight="1" x14ac:dyDescent="0.2">
      <c r="A870" s="15">
        <v>831</v>
      </c>
      <c r="B870" s="84">
        <f t="shared" ca="1" si="176"/>
        <v>0.74363622498731341</v>
      </c>
      <c r="C870" s="84">
        <f t="shared" ca="1" si="176"/>
        <v>0.38246570413485392</v>
      </c>
      <c r="D870" s="84">
        <f t="shared" ca="1" si="176"/>
        <v>0.41305508636689969</v>
      </c>
      <c r="F870" s="84">
        <f t="shared" ca="1" si="177"/>
        <v>0.65805264510197392</v>
      </c>
      <c r="G870" s="84">
        <f t="shared" ca="1" si="177"/>
        <v>0.74118556848059192</v>
      </c>
      <c r="H870" s="84">
        <f t="shared" ca="1" si="177"/>
        <v>7.5359563303319832E-2</v>
      </c>
      <c r="J870" s="85">
        <f t="shared" ca="1" si="165"/>
        <v>177548217.92431253</v>
      </c>
      <c r="K870" s="86">
        <f ca="1">IF(J870&gt;0,MIN(99,$B$12*Q870/(J870*12*(1-Inputs!$H$16))),99)</f>
        <v>2.3905699004812448</v>
      </c>
      <c r="L870" s="84">
        <f t="shared" ca="1" si="166"/>
        <v>1.0872501156744845</v>
      </c>
      <c r="M870" s="84">
        <f t="shared" ca="1" si="167"/>
        <v>1.0379549060216307</v>
      </c>
      <c r="N870" s="84">
        <f t="shared" ca="1" si="168"/>
        <v>1.0007490348576744</v>
      </c>
      <c r="O870" s="84">
        <f t="shared" ca="1" si="169"/>
        <v>1.0381571390692073</v>
      </c>
      <c r="P870" s="84">
        <f t="shared" ca="1" si="170"/>
        <v>1.3789976337424452</v>
      </c>
      <c r="Q870" s="84">
        <f t="shared" ca="1" si="171"/>
        <v>0.93121016068459639</v>
      </c>
    </row>
    <row r="871" spans="1:17" ht="15" customHeight="1" x14ac:dyDescent="0.2">
      <c r="A871" s="15">
        <v>832</v>
      </c>
      <c r="B871" s="84">
        <f t="shared" ca="1" si="176"/>
        <v>6.0369822766905501E-2</v>
      </c>
      <c r="C871" s="84">
        <f t="shared" ca="1" si="176"/>
        <v>0.76289362407451167</v>
      </c>
      <c r="D871" s="84">
        <f t="shared" ca="1" si="176"/>
        <v>0.2251267220913421</v>
      </c>
      <c r="F871" s="84">
        <f t="shared" ca="1" si="177"/>
        <v>0.62025094364545119</v>
      </c>
      <c r="G871" s="84">
        <f t="shared" ca="1" si="177"/>
        <v>0.12210629290812691</v>
      </c>
      <c r="H871" s="84">
        <f t="shared" ca="1" si="177"/>
        <v>0.59683882245651787</v>
      </c>
      <c r="J871" s="85">
        <f t="shared" ca="1" si="165"/>
        <v>36956012.863459572</v>
      </c>
      <c r="K871" s="86">
        <f ca="1">IF(J871&gt;0,MIN(99,$B$12*Q871/(J871*12*(1-Inputs!$H$16))),99)</f>
        <v>14.059443866602406</v>
      </c>
      <c r="L871" s="84">
        <f t="shared" ca="1" si="166"/>
        <v>0.85741119499968965</v>
      </c>
      <c r="M871" s="84">
        <f t="shared" ca="1" si="167"/>
        <v>0.93557094229369842</v>
      </c>
      <c r="N871" s="84">
        <f t="shared" ca="1" si="168"/>
        <v>0.98456370031311335</v>
      </c>
      <c r="O871" s="84">
        <f t="shared" ca="1" si="169"/>
        <v>1.0341914284113003</v>
      </c>
      <c r="P871" s="84">
        <f t="shared" ca="1" si="170"/>
        <v>0.96868696908177288</v>
      </c>
      <c r="Q871" s="84">
        <f t="shared" ca="1" si="171"/>
        <v>1.1399431498452055</v>
      </c>
    </row>
    <row r="872" spans="1:17" ht="15" customHeight="1" x14ac:dyDescent="0.2">
      <c r="A872" s="15">
        <v>833</v>
      </c>
      <c r="B872" s="84">
        <f t="shared" ca="1" si="176"/>
        <v>0.93642646042811772</v>
      </c>
      <c r="C872" s="84">
        <f t="shared" ca="1" si="176"/>
        <v>0.84303512989770102</v>
      </c>
      <c r="D872" s="84">
        <f t="shared" ca="1" si="176"/>
        <v>0.67762006212007253</v>
      </c>
      <c r="F872" s="84">
        <f t="shared" ca="1" si="177"/>
        <v>0.70624904746748318</v>
      </c>
      <c r="G872" s="84">
        <f t="shared" ca="1" si="177"/>
        <v>0.81525979367670576</v>
      </c>
      <c r="H872" s="84">
        <f t="shared" ca="1" si="177"/>
        <v>0.35398696504312999</v>
      </c>
      <c r="J872" s="85">
        <f t="shared" ref="J872:J935" ca="1" si="178">$B$5*L872*M872-$B$6*L872*N872-$B$7*L872*M872-$B$8*L872*M872-$B$9*O872-$B$10*P872-$B$11</f>
        <v>241917560.02892655</v>
      </c>
      <c r="K872" s="86">
        <f ca="1">IF(J872&gt;0,MIN(99,$B$12*Q872/(J872*12*(1-Inputs!$H$16))),99)</f>
        <v>1.9615913096056421</v>
      </c>
      <c r="L872" s="84">
        <f t="shared" ref="L872:L935" ca="1" si="179">IF($D$16=$B$16,$C$16,IF(B872&lt;($C$16-$B$16)/($D$16-$B$16),$B$16+SQRT(B872*($D$16-$B$16)*($C$16-$B$16)),$D$16-SQRT((1-B872)*($D$16-$B$16)*($D$16-$C$16))))</f>
        <v>1.1815047504354697</v>
      </c>
      <c r="M872" s="84">
        <f t="shared" ref="M872:M935" ca="1" si="180">IF($D$17=$B$17,$C$17,IF(IF($B$33=1,B872,C872)&lt;($C$17-$B$17)/($D$17-$B$17),$B$17+SQRT(IF($B$33=1,B872,C872)*($D$17-$B$17)*($C$17-$B$17)),$D$17-SQRT((1-IF($B$33=1,B872,C872))*($D$17-$B$17)*($D$17-$C$17))))</f>
        <v>1.0796404343142418</v>
      </c>
      <c r="N872" s="84">
        <f t="shared" ref="N872:N935" ca="1" si="181">IF($D$18=$B$18,$C$18,IF(D872&lt;($C$18-$B$18)/($D$18-$B$18),$B$18+SQRT(D872*($D$18-$B$18)*($C$18-$B$18)),$D$18-SQRT((1-D872)*($D$18-$B$18)*($D$18-$C$18))))</f>
        <v>1.0239550291852926</v>
      </c>
      <c r="O872" s="84">
        <f t="shared" ref="O872:O935" ca="1" si="182">IF($D$19=$B$19,$C$19,IF(F872&lt;($C$19-$B$19)/($D$19-$B$19),$B$19+SQRT(F872*($D$19-$B$19)*($C$19-$B$19)),$D$19-SQRT((1-F872)*($D$19-$B$19)*($D$19-$C$19))))</f>
        <v>1.0435465298340836</v>
      </c>
      <c r="P872" s="84">
        <f t="shared" ref="P872:P935" ca="1" si="183">IF($D$20=$B$20,$C$20,IF(G872&lt;($C$20-$B$20)/($D$20-$B$20),$B$20+SQRT(G872*($D$20-$B$20)*($C$20-$B$20)),$D$20-SQRT((1-G872)*($D$20-$B$20)*($D$20-$C$20))))</f>
        <v>1.4540478634698781</v>
      </c>
      <c r="Q872" s="84">
        <f t="shared" ref="Q872:Q935" ca="1" si="184">IF($D$21=$B$21,$C$21,IF(H872&lt;($C$21-$B$21)/($D$21-$B$21),$B$21+SQRT(H872*($D$21-$B$21)*($C$21-$B$21)),$D$21-SQRT((1-H872)*($D$21-$B$21)*($D$21-$C$21))))</f>
        <v>1.0411321647528997</v>
      </c>
    </row>
    <row r="873" spans="1:17" ht="15" customHeight="1" x14ac:dyDescent="0.2">
      <c r="A873" s="15">
        <v>834</v>
      </c>
      <c r="B873" s="84">
        <f t="shared" ca="1" si="176"/>
        <v>0.7411811684793661</v>
      </c>
      <c r="C873" s="84">
        <f t="shared" ca="1" si="176"/>
        <v>0.4435814906164075</v>
      </c>
      <c r="D873" s="84">
        <f t="shared" ca="1" si="176"/>
        <v>0.88867775679986294</v>
      </c>
      <c r="F873" s="84">
        <f t="shared" ca="1" si="177"/>
        <v>0.98453270575343732</v>
      </c>
      <c r="G873" s="84">
        <f t="shared" ca="1" si="177"/>
        <v>0.38910991164011477</v>
      </c>
      <c r="H873" s="84">
        <f t="shared" ca="1" si="177"/>
        <v>0.36734909738773736</v>
      </c>
      <c r="J873" s="85">
        <f t="shared" ca="1" si="178"/>
        <v>165158436.84970737</v>
      </c>
      <c r="K873" s="86">
        <f ca="1">IF(J873&gt;0,MIN(99,$B$12*Q873/(J873*12*(1-Inputs!$H$16))),99)</f>
        <v>2.8867602206386209</v>
      </c>
      <c r="L873" s="84">
        <f t="shared" ca="1" si="179"/>
        <v>1.0863532684245838</v>
      </c>
      <c r="M873" s="84">
        <f t="shared" ca="1" si="180"/>
        <v>1.0375582618512438</v>
      </c>
      <c r="N873" s="84">
        <f t="shared" ca="1" si="181"/>
        <v>1.0513493552206072</v>
      </c>
      <c r="O873" s="84">
        <f t="shared" ca="1" si="182"/>
        <v>1.0961645551719532</v>
      </c>
      <c r="P873" s="84">
        <f t="shared" ca="1" si="183"/>
        <v>1.1195333024678757</v>
      </c>
      <c r="Q873" s="84">
        <f t="shared" ca="1" si="184"/>
        <v>1.0460234418196319</v>
      </c>
    </row>
    <row r="874" spans="1:17" ht="15" customHeight="1" x14ac:dyDescent="0.2">
      <c r="A874" s="15">
        <v>835</v>
      </c>
      <c r="B874" s="84">
        <f t="shared" ca="1" si="176"/>
        <v>0.72039090891866064</v>
      </c>
      <c r="C874" s="84">
        <f t="shared" ca="1" si="176"/>
        <v>0.17802156109401157</v>
      </c>
      <c r="D874" s="84">
        <f t="shared" ca="1" si="176"/>
        <v>0.12857561697924902</v>
      </c>
      <c r="F874" s="84">
        <f t="shared" ca="1" si="177"/>
        <v>0.19291917896388378</v>
      </c>
      <c r="G874" s="84">
        <f t="shared" ca="1" si="177"/>
        <v>0.25021627504309718</v>
      </c>
      <c r="H874" s="84">
        <f t="shared" ca="1" si="177"/>
        <v>0.90190046430918669</v>
      </c>
      <c r="J874" s="85">
        <f t="shared" ca="1" si="178"/>
        <v>197029273.08110279</v>
      </c>
      <c r="K874" s="86">
        <f ca="1">IF(J874&gt;0,MIN(99,$B$12*Q874/(J874*12*(1-Inputs!$H$16))),99)</f>
        <v>3.0727673823063699</v>
      </c>
      <c r="L874" s="84">
        <f t="shared" ca="1" si="179"/>
        <v>1.0789228467574965</v>
      </c>
      <c r="M874" s="84">
        <f t="shared" ca="1" si="180"/>
        <v>1.0342720462352706</v>
      </c>
      <c r="N874" s="84">
        <f t="shared" ca="1" si="181"/>
        <v>0.97341740795807352</v>
      </c>
      <c r="O874" s="84">
        <f t="shared" ca="1" si="182"/>
        <v>0.99860272470367295</v>
      </c>
      <c r="P874" s="84">
        <f t="shared" ca="1" si="183"/>
        <v>1.0393652063574512</v>
      </c>
      <c r="Q874" s="84">
        <f t="shared" ca="1" si="184"/>
        <v>1.3282822849792522</v>
      </c>
    </row>
    <row r="875" spans="1:17" ht="15" customHeight="1" x14ac:dyDescent="0.2">
      <c r="A875" s="15">
        <v>836</v>
      </c>
      <c r="B875" s="84">
        <f t="shared" ca="1" si="176"/>
        <v>0.65850378817002753</v>
      </c>
      <c r="C875" s="84">
        <f t="shared" ca="1" si="176"/>
        <v>0.84954627179079023</v>
      </c>
      <c r="D875" s="84">
        <f t="shared" ca="1" si="176"/>
        <v>0.23634275179356623</v>
      </c>
      <c r="F875" s="84">
        <f t="shared" ca="1" si="177"/>
        <v>0.49545659542722242</v>
      </c>
      <c r="G875" s="84">
        <f t="shared" ca="1" si="177"/>
        <v>0.79273955239808624</v>
      </c>
      <c r="H875" s="84">
        <f t="shared" ca="1" si="177"/>
        <v>0.38494890117127734</v>
      </c>
      <c r="J875" s="85">
        <f t="shared" ca="1" si="178"/>
        <v>159984405.41933411</v>
      </c>
      <c r="K875" s="86">
        <f ca="1">IF(J875&gt;0,MIN(99,$B$12*Q875/(J875*12*(1-Inputs!$H$16))),99)</f>
        <v>2.9987017221989567</v>
      </c>
      <c r="L875" s="84">
        <f t="shared" ca="1" si="179"/>
        <v>1.058307293323884</v>
      </c>
      <c r="M875" s="84">
        <f t="shared" ca="1" si="180"/>
        <v>1.02515450800382</v>
      </c>
      <c r="N875" s="84">
        <f t="shared" ca="1" si="181"/>
        <v>0.98568656855035086</v>
      </c>
      <c r="O875" s="84">
        <f t="shared" ca="1" si="182"/>
        <v>1.0223385414120436</v>
      </c>
      <c r="P875" s="84">
        <f t="shared" ca="1" si="183"/>
        <v>1.4298522079299572</v>
      </c>
      <c r="Q875" s="84">
        <f t="shared" ca="1" si="184"/>
        <v>1.0525454594376868</v>
      </c>
    </row>
    <row r="876" spans="1:17" ht="15" customHeight="1" x14ac:dyDescent="0.2">
      <c r="A876" s="15">
        <v>837</v>
      </c>
      <c r="B876" s="84">
        <f t="shared" ca="1" si="176"/>
        <v>0.18341607027028184</v>
      </c>
      <c r="C876" s="84">
        <f t="shared" ca="1" si="176"/>
        <v>0.30121019217270528</v>
      </c>
      <c r="D876" s="84">
        <f t="shared" ca="1" si="176"/>
        <v>0.2812487124764288</v>
      </c>
      <c r="F876" s="84">
        <f t="shared" ca="1" si="177"/>
        <v>8.6300063811443284E-2</v>
      </c>
      <c r="G876" s="84">
        <f t="shared" ca="1" si="177"/>
        <v>0.70661164379920094</v>
      </c>
      <c r="H876" s="84">
        <f t="shared" ca="1" si="177"/>
        <v>0.76534578546403642</v>
      </c>
      <c r="J876" s="85">
        <f t="shared" ca="1" si="178"/>
        <v>68997701.143482402</v>
      </c>
      <c r="K876" s="86">
        <f ca="1">IF(J876&gt;0,MIN(99,$B$12*Q876/(J876*12*(1-Inputs!$H$16))),99)</f>
        <v>8.1125360248118898</v>
      </c>
      <c r="L876" s="84">
        <f t="shared" ca="1" si="179"/>
        <v>0.91864646847523512</v>
      </c>
      <c r="M876" s="84">
        <f t="shared" ca="1" si="180"/>
        <v>0.96296691824563563</v>
      </c>
      <c r="N876" s="84">
        <f t="shared" ca="1" si="181"/>
        <v>0.98993520219803977</v>
      </c>
      <c r="O876" s="84">
        <f t="shared" ca="1" si="182"/>
        <v>0.98909259585062548</v>
      </c>
      <c r="P876" s="84">
        <f t="shared" ca="1" si="183"/>
        <v>1.3476978839564031</v>
      </c>
      <c r="Q876" s="84">
        <f t="shared" ca="1" si="184"/>
        <v>1.228064567050873</v>
      </c>
    </row>
    <row r="877" spans="1:17" ht="15" customHeight="1" x14ac:dyDescent="0.2">
      <c r="A877" s="15">
        <v>838</v>
      </c>
      <c r="B877" s="84">
        <f t="shared" ca="1" si="176"/>
        <v>0.87154920163205729</v>
      </c>
      <c r="C877" s="84">
        <f t="shared" ca="1" si="176"/>
        <v>0.61111609787468624</v>
      </c>
      <c r="D877" s="84">
        <f t="shared" ca="1" si="176"/>
        <v>0.2735568079659163</v>
      </c>
      <c r="F877" s="84">
        <f t="shared" ca="1" si="177"/>
        <v>0.29503175362828571</v>
      </c>
      <c r="G877" s="84">
        <f t="shared" ca="1" si="177"/>
        <v>0.76865352310714585</v>
      </c>
      <c r="H877" s="84">
        <f t="shared" ca="1" si="177"/>
        <v>0.30562708671849703</v>
      </c>
      <c r="J877" s="85">
        <f t="shared" ca="1" si="178"/>
        <v>227194967.32310849</v>
      </c>
      <c r="K877" s="86">
        <f ca="1">IF(J877&gt;0,MIN(99,$B$12*Q877/(J877*12*(1-Inputs!$H$16))),99)</f>
        <v>2.0540133843411392</v>
      </c>
      <c r="L877" s="84">
        <f t="shared" ca="1" si="179"/>
        <v>1.1421015998004787</v>
      </c>
      <c r="M877" s="84">
        <f t="shared" ca="1" si="180"/>
        <v>1.0622137989580265</v>
      </c>
      <c r="N877" s="84">
        <f t="shared" ca="1" si="181"/>
        <v>0.98923293401653045</v>
      </c>
      <c r="O877" s="84">
        <f t="shared" ca="1" si="182"/>
        <v>1.0060459329072735</v>
      </c>
      <c r="P877" s="84">
        <f t="shared" ca="1" si="183"/>
        <v>1.4053886443770911</v>
      </c>
      <c r="Q877" s="84">
        <f t="shared" ca="1" si="184"/>
        <v>1.0238395868413419</v>
      </c>
    </row>
    <row r="878" spans="1:17" ht="15" customHeight="1" x14ac:dyDescent="0.2">
      <c r="A878" s="15">
        <v>839</v>
      </c>
      <c r="B878" s="84">
        <f t="shared" ca="1" si="176"/>
        <v>0.80560815163640109</v>
      </c>
      <c r="C878" s="84">
        <f t="shared" ca="1" si="176"/>
        <v>0.3369206677713279</v>
      </c>
      <c r="D878" s="84">
        <f t="shared" ca="1" si="176"/>
        <v>0.94732367316090371</v>
      </c>
      <c r="F878" s="84">
        <f t="shared" ca="1" si="177"/>
        <v>0.1700807746075047</v>
      </c>
      <c r="G878" s="84">
        <f t="shared" ca="1" si="177"/>
        <v>0.2348486946618783</v>
      </c>
      <c r="H878" s="84">
        <f t="shared" ca="1" si="177"/>
        <v>0.51083373608437477</v>
      </c>
      <c r="J878" s="85">
        <f t="shared" ca="1" si="178"/>
        <v>201138378.44785488</v>
      </c>
      <c r="K878" s="86">
        <f ca="1">IF(J878&gt;0,MIN(99,$B$12*Q878/(J878*12*(1-Inputs!$H$16))),99)</f>
        <v>2.4977024519929554</v>
      </c>
      <c r="L878" s="84">
        <f t="shared" ca="1" si="179"/>
        <v>1.1115103087347864</v>
      </c>
      <c r="M878" s="84">
        <f t="shared" ca="1" si="180"/>
        <v>1.0486843408845836</v>
      </c>
      <c r="N878" s="84">
        <f t="shared" ca="1" si="181"/>
        <v>1.063533566335213</v>
      </c>
      <c r="O878" s="84">
        <f t="shared" ca="1" si="182"/>
        <v>0.99684939069197787</v>
      </c>
      <c r="P878" s="84">
        <f t="shared" ca="1" si="183"/>
        <v>1.0309697862590779</v>
      </c>
      <c r="Q878" s="84">
        <f t="shared" ca="1" si="184"/>
        <v>1.1022131451810302</v>
      </c>
    </row>
    <row r="879" spans="1:17" ht="15" customHeight="1" x14ac:dyDescent="0.2">
      <c r="A879" s="15">
        <v>840</v>
      </c>
      <c r="B879" s="84">
        <f t="shared" ca="1" si="176"/>
        <v>0.31013351782855603</v>
      </c>
      <c r="C879" s="84">
        <f t="shared" ca="1" si="176"/>
        <v>0.99864374695222458</v>
      </c>
      <c r="D879" s="84">
        <f t="shared" ca="1" si="176"/>
        <v>0.31200909497843865</v>
      </c>
      <c r="F879" s="84">
        <f t="shared" ca="1" si="177"/>
        <v>0.541923821198108</v>
      </c>
      <c r="G879" s="84">
        <f t="shared" ca="1" si="177"/>
        <v>0.91719405706200097</v>
      </c>
      <c r="H879" s="84">
        <f t="shared" ca="1" si="177"/>
        <v>0.56130002962522541</v>
      </c>
      <c r="J879" s="85">
        <f t="shared" ca="1" si="178"/>
        <v>82409833.86831443</v>
      </c>
      <c r="K879" s="86">
        <f ca="1">IF(J879&gt;0,MIN(99,$B$12*Q879/(J879*12*(1-Inputs!$H$16))),99)</f>
        <v>6.2161491422281925</v>
      </c>
      <c r="L879" s="84">
        <f t="shared" ca="1" si="179"/>
        <v>0.96178870617816414</v>
      </c>
      <c r="M879" s="84">
        <f t="shared" ca="1" si="180"/>
        <v>0.98226827250665993</v>
      </c>
      <c r="N879" s="84">
        <f t="shared" ca="1" si="181"/>
        <v>0.99265192390178658</v>
      </c>
      <c r="O879" s="84">
        <f t="shared" ca="1" si="182"/>
        <v>1.0265592353692745</v>
      </c>
      <c r="P879" s="84">
        <f t="shared" ca="1" si="183"/>
        <v>1.5891295967523189</v>
      </c>
      <c r="Q879" s="84">
        <f t="shared" ca="1" si="184"/>
        <v>1.1239070769847759</v>
      </c>
    </row>
    <row r="880" spans="1:17" ht="15" customHeight="1" x14ac:dyDescent="0.2">
      <c r="A880" s="15">
        <v>841</v>
      </c>
      <c r="B880" s="84">
        <f t="shared" ref="B880:D899" ca="1" si="185">RAND()</f>
        <v>0.94665778394761957</v>
      </c>
      <c r="C880" s="84">
        <f t="shared" ca="1" si="185"/>
        <v>1.3544336072116914E-2</v>
      </c>
      <c r="D880" s="84">
        <f t="shared" ca="1" si="185"/>
        <v>0.86161400008253808</v>
      </c>
      <c r="F880" s="84">
        <f t="shared" ref="F880:H899" ca="1" si="186">RAND()</f>
        <v>0.71077438867204057</v>
      </c>
      <c r="G880" s="84">
        <f t="shared" ca="1" si="186"/>
        <v>1.2931791216991617E-2</v>
      </c>
      <c r="H880" s="84">
        <f t="shared" ca="1" si="186"/>
        <v>0.64895178051738511</v>
      </c>
      <c r="J880" s="85">
        <f t="shared" ca="1" si="178"/>
        <v>264578969.53988183</v>
      </c>
      <c r="K880" s="86">
        <f ca="1">IF(J880&gt;0,MIN(99,$B$12*Q880/(J880*12*(1-Inputs!$H$16))),99)</f>
        <v>2.006617754828949</v>
      </c>
      <c r="L880" s="84">
        <f t="shared" ca="1" si="179"/>
        <v>1.1893579851521328</v>
      </c>
      <c r="M880" s="84">
        <f t="shared" ca="1" si="180"/>
        <v>1.0831136453536789</v>
      </c>
      <c r="N880" s="84">
        <f t="shared" ca="1" si="181"/>
        <v>1.0468619943273136</v>
      </c>
      <c r="O880" s="84">
        <f t="shared" ca="1" si="182"/>
        <v>1.0440745699409231</v>
      </c>
      <c r="P880" s="84">
        <f t="shared" ca="1" si="183"/>
        <v>0.86480428672293863</v>
      </c>
      <c r="Q880" s="84">
        <f t="shared" ca="1" si="184"/>
        <v>1.1647961130323199</v>
      </c>
    </row>
    <row r="881" spans="1:17" ht="15" customHeight="1" x14ac:dyDescent="0.2">
      <c r="A881" s="15">
        <v>842</v>
      </c>
      <c r="B881" s="84">
        <f t="shared" ca="1" si="185"/>
        <v>0.97721963400302136</v>
      </c>
      <c r="C881" s="84">
        <f t="shared" ca="1" si="185"/>
        <v>6.8810855071007593E-3</v>
      </c>
      <c r="D881" s="84">
        <f t="shared" ca="1" si="185"/>
        <v>0.15052000255583109</v>
      </c>
      <c r="F881" s="84">
        <f t="shared" ca="1" si="186"/>
        <v>0.14826541953713845</v>
      </c>
      <c r="G881" s="84">
        <f t="shared" ca="1" si="186"/>
        <v>0.18785990426632559</v>
      </c>
      <c r="H881" s="84">
        <f t="shared" ca="1" si="186"/>
        <v>0.12904460015937658</v>
      </c>
      <c r="J881" s="85">
        <f t="shared" ca="1" si="178"/>
        <v>310137998.92732948</v>
      </c>
      <c r="K881" s="86">
        <f ca="1">IF(J881&gt;0,MIN(99,$B$12*Q881/(J881*12*(1-Inputs!$H$16))),99)</f>
        <v>1.4090714159116657</v>
      </c>
      <c r="L881" s="84">
        <f t="shared" ca="1" si="179"/>
        <v>1.2190330425645224</v>
      </c>
      <c r="M881" s="84">
        <f t="shared" ca="1" si="180"/>
        <v>1.0962378853285717</v>
      </c>
      <c r="N881" s="84">
        <f t="shared" ca="1" si="181"/>
        <v>0.97624432045252241</v>
      </c>
      <c r="O881" s="84">
        <f t="shared" ca="1" si="182"/>
        <v>0.99506082535151996</v>
      </c>
      <c r="P881" s="84">
        <f t="shared" ca="1" si="183"/>
        <v>1.0058095421974269</v>
      </c>
      <c r="Q881" s="84">
        <f t="shared" ca="1" si="184"/>
        <v>0.9587777055301514</v>
      </c>
    </row>
    <row r="882" spans="1:17" ht="15" customHeight="1" x14ac:dyDescent="0.2">
      <c r="A882" s="15">
        <v>843</v>
      </c>
      <c r="B882" s="84">
        <f t="shared" ca="1" si="185"/>
        <v>0.54907357011677549</v>
      </c>
      <c r="C882" s="84">
        <f t="shared" ca="1" si="185"/>
        <v>0.27725951907702584</v>
      </c>
      <c r="D882" s="84">
        <f t="shared" ca="1" si="185"/>
        <v>0.7955853207264707</v>
      </c>
      <c r="F882" s="84">
        <f t="shared" ca="1" si="186"/>
        <v>0.43994607936440322</v>
      </c>
      <c r="G882" s="84">
        <f t="shared" ca="1" si="186"/>
        <v>0.98307807825761573</v>
      </c>
      <c r="H882" s="84">
        <f t="shared" ca="1" si="186"/>
        <v>0.83214990414292644</v>
      </c>
      <c r="J882" s="85">
        <f t="shared" ca="1" si="178"/>
        <v>113884320.32191436</v>
      </c>
      <c r="K882" s="86">
        <f ca="1">IF(J882&gt;0,MIN(99,$B$12*Q882/(J882*12*(1-Inputs!$H$16))),99)</f>
        <v>5.0900897574441197</v>
      </c>
      <c r="L882" s="84">
        <f t="shared" ca="1" si="179"/>
        <v>1.0259972206802837</v>
      </c>
      <c r="M882" s="84">
        <f t="shared" ca="1" si="180"/>
        <v>1.010864892954793</v>
      </c>
      <c r="N882" s="84">
        <f t="shared" ca="1" si="181"/>
        <v>1.0374878138107286</v>
      </c>
      <c r="O882" s="84">
        <f t="shared" ca="1" si="182"/>
        <v>1.0175437669535825</v>
      </c>
      <c r="P882" s="84">
        <f t="shared" ca="1" si="183"/>
        <v>1.7390665763177979</v>
      </c>
      <c r="Q882" s="84">
        <f t="shared" ca="1" si="184"/>
        <v>1.2718014514228204</v>
      </c>
    </row>
    <row r="883" spans="1:17" ht="15" customHeight="1" x14ac:dyDescent="0.2">
      <c r="A883" s="15">
        <v>844</v>
      </c>
      <c r="B883" s="84">
        <f t="shared" ca="1" si="185"/>
        <v>0.6079370350052905</v>
      </c>
      <c r="C883" s="84">
        <f t="shared" ca="1" si="185"/>
        <v>0.79162359044600095</v>
      </c>
      <c r="D883" s="84">
        <f t="shared" ca="1" si="185"/>
        <v>4.0296140743763975E-2</v>
      </c>
      <c r="F883" s="84">
        <f t="shared" ca="1" si="186"/>
        <v>0.92095132174976557</v>
      </c>
      <c r="G883" s="84">
        <f t="shared" ca="1" si="186"/>
        <v>0.75222322215991422</v>
      </c>
      <c r="H883" s="84">
        <f t="shared" ca="1" si="186"/>
        <v>0.12101893612388281</v>
      </c>
      <c r="J883" s="85">
        <f t="shared" ca="1" si="178"/>
        <v>147170461.8418628</v>
      </c>
      <c r="K883" s="86">
        <f ca="1">IF(J883&gt;0,MIN(99,$B$12*Q883/(J883*12*(1-Inputs!$H$16))),99)</f>
        <v>2.9579511670149077</v>
      </c>
      <c r="L883" s="84">
        <f t="shared" ca="1" si="179"/>
        <v>1.0428176197753745</v>
      </c>
      <c r="M883" s="84">
        <f t="shared" ca="1" si="180"/>
        <v>1.0183039671621195</v>
      </c>
      <c r="N883" s="84">
        <f t="shared" ca="1" si="181"/>
        <v>0.95823821880800863</v>
      </c>
      <c r="O883" s="84">
        <f t="shared" ca="1" si="182"/>
        <v>1.0764100226244968</v>
      </c>
      <c r="P883" s="84">
        <f t="shared" ca="1" si="183"/>
        <v>1.389425658923467</v>
      </c>
      <c r="Q883" s="84">
        <f t="shared" ca="1" si="184"/>
        <v>0.95508405383180017</v>
      </c>
    </row>
    <row r="884" spans="1:17" ht="15" customHeight="1" x14ac:dyDescent="0.2">
      <c r="A884" s="15">
        <v>845</v>
      </c>
      <c r="B884" s="84">
        <f t="shared" ca="1" si="185"/>
        <v>0.19207580193155149</v>
      </c>
      <c r="C884" s="84">
        <f t="shared" ca="1" si="185"/>
        <v>6.4468880890401703E-2</v>
      </c>
      <c r="D884" s="84">
        <f t="shared" ca="1" si="185"/>
        <v>0.31403689414962388</v>
      </c>
      <c r="F884" s="84">
        <f t="shared" ca="1" si="186"/>
        <v>0.5576764540649175</v>
      </c>
      <c r="G884" s="84">
        <f t="shared" ca="1" si="186"/>
        <v>0.43948536211614286</v>
      </c>
      <c r="H884" s="84">
        <f t="shared" ca="1" si="186"/>
        <v>0.67670993404642887</v>
      </c>
      <c r="J884" s="85">
        <f t="shared" ca="1" si="178"/>
        <v>71601963.272595868</v>
      </c>
      <c r="K884" s="86">
        <f ca="1">IF(J884&gt;0,MIN(99,$B$12*Q884/(J884*12*(1-Inputs!$H$16))),99)</f>
        <v>7.5038104912848587</v>
      </c>
      <c r="L884" s="84">
        <f t="shared" ca="1" si="179"/>
        <v>0.92199839358747959</v>
      </c>
      <c r="M884" s="84">
        <f t="shared" ca="1" si="180"/>
        <v>0.96446653202305122</v>
      </c>
      <c r="N884" s="84">
        <f t="shared" ca="1" si="181"/>
        <v>0.99282620546675449</v>
      </c>
      <c r="O884" s="84">
        <f t="shared" ca="1" si="182"/>
        <v>1.0280383095291279</v>
      </c>
      <c r="P884" s="84">
        <f t="shared" ca="1" si="183"/>
        <v>1.1508369020591123</v>
      </c>
      <c r="Q884" s="84">
        <f t="shared" ca="1" si="184"/>
        <v>1.1787907772947384</v>
      </c>
    </row>
    <row r="885" spans="1:17" ht="15" customHeight="1" x14ac:dyDescent="0.2">
      <c r="A885" s="15">
        <v>846</v>
      </c>
      <c r="B885" s="84">
        <f t="shared" ca="1" si="185"/>
        <v>0.77935964548804959</v>
      </c>
      <c r="C885" s="84">
        <f t="shared" ca="1" si="185"/>
        <v>0.72104392740558643</v>
      </c>
      <c r="D885" s="84">
        <f t="shared" ca="1" si="185"/>
        <v>0.31399186131810153</v>
      </c>
      <c r="F885" s="84">
        <f t="shared" ca="1" si="186"/>
        <v>0.81345570202960527</v>
      </c>
      <c r="G885" s="84">
        <f t="shared" ca="1" si="186"/>
        <v>0.80492841782235869</v>
      </c>
      <c r="H885" s="84">
        <f t="shared" ca="1" si="186"/>
        <v>0.79105502368529579</v>
      </c>
      <c r="J885" s="85">
        <f t="shared" ca="1" si="178"/>
        <v>184147654.17786628</v>
      </c>
      <c r="K885" s="86">
        <f ca="1">IF(J885&gt;0,MIN(99,$B$12*Q885/(J885*12*(1-Inputs!$H$16))),99)</f>
        <v>3.0792243178125189</v>
      </c>
      <c r="L885" s="84">
        <f t="shared" ca="1" si="179"/>
        <v>1.1008217902681474</v>
      </c>
      <c r="M885" s="84">
        <f t="shared" ca="1" si="180"/>
        <v>1.0439571830097796</v>
      </c>
      <c r="N885" s="84">
        <f t="shared" ca="1" si="181"/>
        <v>0.99282234118708912</v>
      </c>
      <c r="O885" s="84">
        <f t="shared" ca="1" si="182"/>
        <v>1.0574160727232231</v>
      </c>
      <c r="P885" s="84">
        <f t="shared" ca="1" si="183"/>
        <v>1.4427747863833473</v>
      </c>
      <c r="Q885" s="84">
        <f t="shared" ca="1" si="184"/>
        <v>1.2440489245756647</v>
      </c>
    </row>
    <row r="886" spans="1:17" ht="15" customHeight="1" x14ac:dyDescent="0.2">
      <c r="A886" s="15">
        <v>847</v>
      </c>
      <c r="B886" s="84">
        <f t="shared" ca="1" si="185"/>
        <v>0.85962784132557091</v>
      </c>
      <c r="C886" s="84">
        <f t="shared" ca="1" si="185"/>
        <v>0.68083184126297369</v>
      </c>
      <c r="D886" s="84">
        <f t="shared" ca="1" si="185"/>
        <v>0.26780632120481163</v>
      </c>
      <c r="F886" s="84">
        <f t="shared" ca="1" si="186"/>
        <v>0.13393956329610546</v>
      </c>
      <c r="G886" s="84">
        <f t="shared" ca="1" si="186"/>
        <v>0.53577626660182398</v>
      </c>
      <c r="H886" s="84">
        <f t="shared" ca="1" si="186"/>
        <v>0.91790025284550936</v>
      </c>
      <c r="J886" s="85">
        <f t="shared" ca="1" si="178"/>
        <v>231797639.40136117</v>
      </c>
      <c r="K886" s="86">
        <f ca="1">IF(J886&gt;0,MIN(99,$B$12*Q886/(J886*12*(1-Inputs!$H$16))),99)</f>
        <v>2.6425769017121801</v>
      </c>
      <c r="L886" s="84">
        <f t="shared" ca="1" si="179"/>
        <v>1.1360713427052072</v>
      </c>
      <c r="M886" s="84">
        <f t="shared" ca="1" si="180"/>
        <v>1.0595468271598321</v>
      </c>
      <c r="N886" s="84">
        <f t="shared" ca="1" si="181"/>
        <v>0.9887014435784568</v>
      </c>
      <c r="O886" s="84">
        <f t="shared" ca="1" si="182"/>
        <v>0.99381368521046376</v>
      </c>
      <c r="P886" s="84">
        <f t="shared" ca="1" si="183"/>
        <v>1.2148675731157357</v>
      </c>
      <c r="Q886" s="84">
        <f t="shared" ca="1" si="184"/>
        <v>1.3438988578795954</v>
      </c>
    </row>
    <row r="887" spans="1:17" ht="15" customHeight="1" x14ac:dyDescent="0.2">
      <c r="A887" s="15">
        <v>848</v>
      </c>
      <c r="B887" s="84">
        <f t="shared" ca="1" si="185"/>
        <v>0.94205471058575985</v>
      </c>
      <c r="C887" s="84">
        <f t="shared" ca="1" si="185"/>
        <v>0.30972051043418158</v>
      </c>
      <c r="D887" s="84">
        <f t="shared" ca="1" si="185"/>
        <v>0.922308532730296</v>
      </c>
      <c r="F887" s="84">
        <f t="shared" ca="1" si="186"/>
        <v>1.6839282901104369E-2</v>
      </c>
      <c r="G887" s="84">
        <f t="shared" ca="1" si="186"/>
        <v>0.80764699956012853</v>
      </c>
      <c r="H887" s="84">
        <f t="shared" ca="1" si="186"/>
        <v>0.80719755970302298</v>
      </c>
      <c r="J887" s="85">
        <f t="shared" ca="1" si="178"/>
        <v>247903257.01116991</v>
      </c>
      <c r="K887" s="86">
        <f ca="1">IF(J887&gt;0,MIN(99,$B$12*Q887/(J887*12*(1-Inputs!$H$16))),99)</f>
        <v>2.3066974138886058</v>
      </c>
      <c r="L887" s="84">
        <f t="shared" ca="1" si="179"/>
        <v>1.18573927350476</v>
      </c>
      <c r="M887" s="84">
        <f t="shared" ca="1" si="180"/>
        <v>1.0815132157605678</v>
      </c>
      <c r="N887" s="84">
        <f t="shared" ca="1" si="181"/>
        <v>1.057774878140721</v>
      </c>
      <c r="O887" s="84">
        <f t="shared" ca="1" si="182"/>
        <v>0.97836994059668991</v>
      </c>
      <c r="P887" s="84">
        <f t="shared" ca="1" si="183"/>
        <v>1.4457116233506979</v>
      </c>
      <c r="Q887" s="84">
        <f t="shared" ca="1" si="184"/>
        <v>1.2545928346145558</v>
      </c>
    </row>
    <row r="888" spans="1:17" ht="15" customHeight="1" x14ac:dyDescent="0.2">
      <c r="A888" s="15">
        <v>849</v>
      </c>
      <c r="B888" s="84">
        <f t="shared" ca="1" si="185"/>
        <v>0.49272315805822475</v>
      </c>
      <c r="C888" s="84">
        <f t="shared" ca="1" si="185"/>
        <v>0.12917883270495367</v>
      </c>
      <c r="D888" s="84">
        <f t="shared" ca="1" si="185"/>
        <v>0.97042791131186712</v>
      </c>
      <c r="F888" s="84">
        <f t="shared" ca="1" si="186"/>
        <v>0.71025465266283327</v>
      </c>
      <c r="G888" s="84">
        <f t="shared" ca="1" si="186"/>
        <v>0.75896492196210796</v>
      </c>
      <c r="H888" s="84">
        <f t="shared" ca="1" si="186"/>
        <v>0.69508899710357075</v>
      </c>
      <c r="J888" s="85">
        <f t="shared" ca="1" si="178"/>
        <v>104554167.96919395</v>
      </c>
      <c r="K888" s="86">
        <f ca="1">IF(J888&gt;0,MIN(99,$B$12*Q888/(J888*12*(1-Inputs!$H$16))),99)</f>
        <v>5.1806913961247822</v>
      </c>
      <c r="L888" s="84">
        <f t="shared" ca="1" si="179"/>
        <v>1.0108966759637545</v>
      </c>
      <c r="M888" s="84">
        <f t="shared" ca="1" si="180"/>
        <v>1.0041864501852573</v>
      </c>
      <c r="N888" s="84">
        <f t="shared" ca="1" si="181"/>
        <v>1.0702667906988443</v>
      </c>
      <c r="O888" s="84">
        <f t="shared" ca="1" si="182"/>
        <v>1.0440137154941955</v>
      </c>
      <c r="P888" s="84">
        <f t="shared" ca="1" si="183"/>
        <v>1.3959095726660677</v>
      </c>
      <c r="Q888" s="84">
        <f t="shared" ca="1" si="184"/>
        <v>1.1883900712088451</v>
      </c>
    </row>
    <row r="889" spans="1:17" ht="15" customHeight="1" x14ac:dyDescent="0.2">
      <c r="A889" s="15">
        <v>850</v>
      </c>
      <c r="B889" s="84">
        <f t="shared" ca="1" si="185"/>
        <v>0.29239390949150068</v>
      </c>
      <c r="C889" s="84">
        <f t="shared" ca="1" si="185"/>
        <v>0.25112595545380867</v>
      </c>
      <c r="D889" s="84">
        <f t="shared" ca="1" si="185"/>
        <v>0.44485524841022017</v>
      </c>
      <c r="F889" s="84">
        <f t="shared" ca="1" si="186"/>
        <v>0.15861378875997212</v>
      </c>
      <c r="G889" s="84">
        <f t="shared" ca="1" si="186"/>
        <v>0.65658171666505183</v>
      </c>
      <c r="H889" s="84">
        <f t="shared" ca="1" si="186"/>
        <v>0.39177957178336209</v>
      </c>
      <c r="J889" s="85">
        <f t="shared" ca="1" si="178"/>
        <v>92320382.262720332</v>
      </c>
      <c r="K889" s="86">
        <f ca="1">IF(J889&gt;0,MIN(99,$B$12*Q889/(J889*12*(1-Inputs!$H$16))),99)</f>
        <v>5.2091496882776749</v>
      </c>
      <c r="L889" s="84">
        <f t="shared" ca="1" si="179"/>
        <v>0.95636789908303466</v>
      </c>
      <c r="M889" s="84">
        <f t="shared" ca="1" si="180"/>
        <v>0.97984306408691524</v>
      </c>
      <c r="N889" s="84">
        <f t="shared" ca="1" si="181"/>
        <v>1.0032111036263163</v>
      </c>
      <c r="O889" s="84">
        <f t="shared" ca="1" si="182"/>
        <v>0.99592457307707027</v>
      </c>
      <c r="P889" s="84">
        <f t="shared" ca="1" si="183"/>
        <v>1.3055097528857083</v>
      </c>
      <c r="Q889" s="84">
        <f t="shared" ca="1" si="184"/>
        <v>1.0551018215811205</v>
      </c>
    </row>
    <row r="890" spans="1:17" ht="15" customHeight="1" x14ac:dyDescent="0.2">
      <c r="A890" s="15">
        <v>851</v>
      </c>
      <c r="B890" s="84">
        <f t="shared" ca="1" si="185"/>
        <v>0.83196013493481213</v>
      </c>
      <c r="C890" s="84">
        <f t="shared" ca="1" si="185"/>
        <v>0.91374392392547754</v>
      </c>
      <c r="D890" s="84">
        <f t="shared" ca="1" si="185"/>
        <v>0.43530679334127631</v>
      </c>
      <c r="F890" s="84">
        <f t="shared" ca="1" si="186"/>
        <v>0.89782059046309626</v>
      </c>
      <c r="G890" s="84">
        <f t="shared" ca="1" si="186"/>
        <v>0.81768046239219061</v>
      </c>
      <c r="H890" s="84">
        <f t="shared" ca="1" si="186"/>
        <v>0.81660041295498675</v>
      </c>
      <c r="J890" s="85">
        <f t="shared" ca="1" si="178"/>
        <v>196094251.24325347</v>
      </c>
      <c r="K890" s="86">
        <f ca="1">IF(J890&gt;0,MIN(99,$B$12*Q890/(J890*12*(1-Inputs!$H$16))),99)</f>
        <v>2.9308880197854772</v>
      </c>
      <c r="L890" s="84">
        <f t="shared" ca="1" si="179"/>
        <v>1.1229951268989598</v>
      </c>
      <c r="M890" s="84">
        <f t="shared" ca="1" si="180"/>
        <v>1.0537636742641272</v>
      </c>
      <c r="N890" s="84">
        <f t="shared" ca="1" si="181"/>
        <v>1.0024645890177457</v>
      </c>
      <c r="O890" s="84">
        <f t="shared" ca="1" si="182"/>
        <v>1.071559324320962</v>
      </c>
      <c r="P890" s="84">
        <f t="shared" ca="1" si="183"/>
        <v>1.4567344305985341</v>
      </c>
      <c r="Q890" s="84">
        <f t="shared" ca="1" si="184"/>
        <v>1.2609388597640212</v>
      </c>
    </row>
    <row r="891" spans="1:17" ht="15" customHeight="1" x14ac:dyDescent="0.2">
      <c r="A891" s="15">
        <v>852</v>
      </c>
      <c r="B891" s="84">
        <f t="shared" ca="1" si="185"/>
        <v>0.65957094039092301</v>
      </c>
      <c r="C891" s="84">
        <f t="shared" ca="1" si="185"/>
        <v>0.90621613123741729</v>
      </c>
      <c r="D891" s="84">
        <f t="shared" ca="1" si="185"/>
        <v>0.18691626925611948</v>
      </c>
      <c r="F891" s="84">
        <f t="shared" ca="1" si="186"/>
        <v>4.936895208405101E-2</v>
      </c>
      <c r="G891" s="84">
        <f t="shared" ca="1" si="186"/>
        <v>0.54726498065066775</v>
      </c>
      <c r="H891" s="84">
        <f t="shared" ca="1" si="186"/>
        <v>0.29705288315318878</v>
      </c>
      <c r="J891" s="85">
        <f t="shared" ca="1" si="178"/>
        <v>175562158.28319436</v>
      </c>
      <c r="K891" s="86">
        <f ca="1">IF(J891&gt;0,MIN(99,$B$12*Q891/(J891*12*(1-Inputs!$H$16))),99)</f>
        <v>2.6503036516240317</v>
      </c>
      <c r="L891" s="84">
        <f t="shared" ca="1" si="179"/>
        <v>1.0586461331608605</v>
      </c>
      <c r="M891" s="84">
        <f t="shared" ca="1" si="180"/>
        <v>1.0253043650124092</v>
      </c>
      <c r="N891" s="84">
        <f t="shared" ca="1" si="181"/>
        <v>0.98051133735732032</v>
      </c>
      <c r="O891" s="84">
        <f t="shared" ca="1" si="182"/>
        <v>0.98441278455395576</v>
      </c>
      <c r="P891" s="84">
        <f t="shared" ca="1" si="183"/>
        <v>1.2229349695566034</v>
      </c>
      <c r="Q891" s="84">
        <f t="shared" ca="1" si="184"/>
        <v>1.0208371998684242</v>
      </c>
    </row>
    <row r="892" spans="1:17" ht="15" customHeight="1" x14ac:dyDescent="0.2">
      <c r="A892" s="15">
        <v>853</v>
      </c>
      <c r="B892" s="84">
        <f t="shared" ca="1" si="185"/>
        <v>0.51340612891827142</v>
      </c>
      <c r="C892" s="84">
        <f t="shared" ca="1" si="185"/>
        <v>0.70676555491110604</v>
      </c>
      <c r="D892" s="84">
        <f t="shared" ca="1" si="185"/>
        <v>0.2819929254247352</v>
      </c>
      <c r="F892" s="84">
        <f t="shared" ca="1" si="186"/>
        <v>0.59599609047698388</v>
      </c>
      <c r="G892" s="84">
        <f t="shared" ca="1" si="186"/>
        <v>0.6520729896138141</v>
      </c>
      <c r="H892" s="84">
        <f t="shared" ca="1" si="186"/>
        <v>0.83381574078015719</v>
      </c>
      <c r="J892" s="85">
        <f t="shared" ca="1" si="178"/>
        <v>131525202.51373829</v>
      </c>
      <c r="K892" s="86">
        <f ca="1">IF(J892&gt;0,MIN(99,$B$12*Q892/(J892*12*(1-Inputs!$H$16))),99)</f>
        <v>4.4115134291099158</v>
      </c>
      <c r="L892" s="84">
        <f t="shared" ca="1" si="179"/>
        <v>1.016336787938954</v>
      </c>
      <c r="M892" s="84">
        <f t="shared" ca="1" si="180"/>
        <v>1.0065924214378352</v>
      </c>
      <c r="N892" s="84">
        <f t="shared" ca="1" si="181"/>
        <v>0.99000263621010975</v>
      </c>
      <c r="O892" s="84">
        <f t="shared" ca="1" si="182"/>
        <v>1.0317502533834484</v>
      </c>
      <c r="P892" s="84">
        <f t="shared" ca="1" si="183"/>
        <v>1.3018635812751493</v>
      </c>
      <c r="Q892" s="84">
        <f t="shared" ca="1" si="184"/>
        <v>1.2729944968123574</v>
      </c>
    </row>
    <row r="893" spans="1:17" ht="15" customHeight="1" x14ac:dyDescent="0.2">
      <c r="A893" s="15">
        <v>854</v>
      </c>
      <c r="B893" s="84">
        <f t="shared" ca="1" si="185"/>
        <v>0.49324587542992304</v>
      </c>
      <c r="C893" s="84">
        <f t="shared" ca="1" si="185"/>
        <v>0.89243671542812242</v>
      </c>
      <c r="D893" s="84">
        <f t="shared" ca="1" si="185"/>
        <v>0.79513845161095342</v>
      </c>
      <c r="F893" s="84">
        <f t="shared" ca="1" si="186"/>
        <v>0.21371415621511181</v>
      </c>
      <c r="G893" s="84">
        <f t="shared" ca="1" si="186"/>
        <v>0.18032374104023108</v>
      </c>
      <c r="H893" s="84">
        <f t="shared" ca="1" si="186"/>
        <v>0.21744651075167787</v>
      </c>
      <c r="J893" s="85">
        <f t="shared" ca="1" si="178"/>
        <v>134006846.27395962</v>
      </c>
      <c r="K893" s="86">
        <f ca="1">IF(J893&gt;0,MIN(99,$B$12*Q893/(J893*12*(1-Inputs!$H$16))),99)</f>
        <v>3.379606002482086</v>
      </c>
      <c r="L893" s="84">
        <f t="shared" ca="1" si="179"/>
        <v>1.0110327820952276</v>
      </c>
      <c r="M893" s="84">
        <f t="shared" ca="1" si="180"/>
        <v>1.0042466451667424</v>
      </c>
      <c r="N893" s="84">
        <f t="shared" ca="1" si="181"/>
        <v>1.0374300240372269</v>
      </c>
      <c r="O893" s="84">
        <f t="shared" ca="1" si="182"/>
        <v>1.0001111044130109</v>
      </c>
      <c r="P893" s="84">
        <f t="shared" ca="1" si="183"/>
        <v>1.0018427068883349</v>
      </c>
      <c r="Q893" s="84">
        <f t="shared" ca="1" si="184"/>
        <v>0.99362612293293462</v>
      </c>
    </row>
    <row r="894" spans="1:17" ht="15" customHeight="1" x14ac:dyDescent="0.2">
      <c r="A894" s="15">
        <v>855</v>
      </c>
      <c r="B894" s="84">
        <f t="shared" ca="1" si="185"/>
        <v>0.55850766882711989</v>
      </c>
      <c r="C894" s="84">
        <f t="shared" ca="1" si="185"/>
        <v>0.63516021553262048</v>
      </c>
      <c r="D894" s="84">
        <f t="shared" ca="1" si="185"/>
        <v>0.2498489107364682</v>
      </c>
      <c r="F894" s="84">
        <f t="shared" ca="1" si="186"/>
        <v>0.11921090920468014</v>
      </c>
      <c r="G894" s="84">
        <f t="shared" ca="1" si="186"/>
        <v>0.28644514165422652</v>
      </c>
      <c r="H894" s="84">
        <f t="shared" ca="1" si="186"/>
        <v>0.73761604114069579</v>
      </c>
      <c r="J894" s="85">
        <f t="shared" ca="1" si="178"/>
        <v>156791751.91755581</v>
      </c>
      <c r="K894" s="86">
        <f ca="1">IF(J894&gt;0,MIN(99,$B$12*Q894/(J894*12*(1-Inputs!$H$16))),99)</f>
        <v>3.5226523373302396</v>
      </c>
      <c r="L894" s="84">
        <f t="shared" ca="1" si="179"/>
        <v>1.0286157563149156</v>
      </c>
      <c r="M894" s="84">
        <f t="shared" ca="1" si="180"/>
        <v>1.0120229796797531</v>
      </c>
      <c r="N894" s="84">
        <f t="shared" ca="1" si="181"/>
        <v>0.98700391215395444</v>
      </c>
      <c r="O894" s="84">
        <f t="shared" ca="1" si="182"/>
        <v>0.9924597600259899</v>
      </c>
      <c r="P894" s="84">
        <f t="shared" ca="1" si="183"/>
        <v>1.0595044879848372</v>
      </c>
      <c r="Q894" s="84">
        <f t="shared" ca="1" si="184"/>
        <v>1.2117776481268641</v>
      </c>
    </row>
    <row r="895" spans="1:17" ht="15" customHeight="1" x14ac:dyDescent="0.2">
      <c r="A895" s="15">
        <v>856</v>
      </c>
      <c r="B895" s="84">
        <f t="shared" ca="1" si="185"/>
        <v>0.57158766579021025</v>
      </c>
      <c r="C895" s="84">
        <f t="shared" ca="1" si="185"/>
        <v>5.866070334281992E-2</v>
      </c>
      <c r="D895" s="84">
        <f t="shared" ca="1" si="185"/>
        <v>0.91503089036781449</v>
      </c>
      <c r="F895" s="84">
        <f t="shared" ca="1" si="186"/>
        <v>0.59878333993388611</v>
      </c>
      <c r="G895" s="84">
        <f t="shared" ca="1" si="186"/>
        <v>0.2159107221148</v>
      </c>
      <c r="H895" s="84">
        <f t="shared" ca="1" si="186"/>
        <v>0.65630738809188249</v>
      </c>
      <c r="J895" s="85">
        <f t="shared" ca="1" si="178"/>
        <v>138943987.04036039</v>
      </c>
      <c r="K895" s="86">
        <f ca="1">IF(J895&gt;0,MIN(99,$B$12*Q895/(J895*12*(1-Inputs!$H$16))),99)</f>
        <v>3.8330108591624339</v>
      </c>
      <c r="L895" s="84">
        <f t="shared" ca="1" si="179"/>
        <v>1.0322929833032302</v>
      </c>
      <c r="M895" s="84">
        <f t="shared" ca="1" si="180"/>
        <v>1.0136492885615227</v>
      </c>
      <c r="N895" s="84">
        <f t="shared" ca="1" si="181"/>
        <v>1.0562816122162093</v>
      </c>
      <c r="O895" s="84">
        <f t="shared" ca="1" si="182"/>
        <v>1.0320269838127611</v>
      </c>
      <c r="P895" s="84">
        <f t="shared" ca="1" si="183"/>
        <v>1.020738964479142</v>
      </c>
      <c r="Q895" s="84">
        <f t="shared" ca="1" si="184"/>
        <v>1.1684489643887606</v>
      </c>
    </row>
    <row r="896" spans="1:17" ht="15" customHeight="1" x14ac:dyDescent="0.2">
      <c r="A896" s="15">
        <v>857</v>
      </c>
      <c r="B896" s="84">
        <f t="shared" ca="1" si="185"/>
        <v>0.73613690352702332</v>
      </c>
      <c r="C896" s="84">
        <f t="shared" ca="1" si="185"/>
        <v>0.66644477324830609</v>
      </c>
      <c r="D896" s="84">
        <f t="shared" ca="1" si="185"/>
        <v>0.85990467186781661</v>
      </c>
      <c r="F896" s="84">
        <f t="shared" ca="1" si="186"/>
        <v>0.91615016937977467</v>
      </c>
      <c r="G896" s="84">
        <f t="shared" ca="1" si="186"/>
        <v>0.29860387692023227</v>
      </c>
      <c r="H896" s="84">
        <f t="shared" ca="1" si="186"/>
        <v>0.33603877687469808</v>
      </c>
      <c r="J896" s="85">
        <f t="shared" ca="1" si="178"/>
        <v>170384543.68746567</v>
      </c>
      <c r="K896" s="86">
        <f ca="1">IF(J896&gt;0,MIN(99,$B$12*Q896/(J896*12*(1-Inputs!$H$16))),99)</f>
        <v>2.7677673075548834</v>
      </c>
      <c r="L896" s="84">
        <f t="shared" ca="1" si="179"/>
        <v>1.0845238183786898</v>
      </c>
      <c r="M896" s="84">
        <f t="shared" ca="1" si="180"/>
        <v>1.0367491600830239</v>
      </c>
      <c r="N896" s="84">
        <f t="shared" ca="1" si="181"/>
        <v>1.0465940106679672</v>
      </c>
      <c r="O896" s="84">
        <f t="shared" ca="1" si="182"/>
        <v>1.0753501053639702</v>
      </c>
      <c r="P896" s="84">
        <f t="shared" ca="1" si="183"/>
        <v>1.0663775469651378</v>
      </c>
      <c r="Q896" s="84">
        <f t="shared" ca="1" si="184"/>
        <v>1.0346410662457126</v>
      </c>
    </row>
    <row r="897" spans="1:17" ht="15" customHeight="1" x14ac:dyDescent="0.2">
      <c r="A897" s="15">
        <v>858</v>
      </c>
      <c r="B897" s="84">
        <f t="shared" ca="1" si="185"/>
        <v>0.5174915109429632</v>
      </c>
      <c r="C897" s="84">
        <f t="shared" ca="1" si="185"/>
        <v>0.50911675791991828</v>
      </c>
      <c r="D897" s="84">
        <f t="shared" ca="1" si="185"/>
        <v>0.20875170223811568</v>
      </c>
      <c r="F897" s="84">
        <f t="shared" ca="1" si="186"/>
        <v>0.81865738576105995</v>
      </c>
      <c r="G897" s="84">
        <f t="shared" ca="1" si="186"/>
        <v>0.33054554875602582</v>
      </c>
      <c r="H897" s="84">
        <f t="shared" ca="1" si="186"/>
        <v>0.93972471113463574</v>
      </c>
      <c r="J897" s="85">
        <f t="shared" ca="1" si="178"/>
        <v>137661551.2255038</v>
      </c>
      <c r="K897" s="86">
        <f ca="1">IF(J897&gt;0,MIN(99,$B$12*Q897/(J897*12*(1-Inputs!$H$16))),99)</f>
        <v>4.5291350023837884</v>
      </c>
      <c r="L897" s="84">
        <f t="shared" ca="1" si="179"/>
        <v>1.0174249289132533</v>
      </c>
      <c r="M897" s="84">
        <f t="shared" ca="1" si="180"/>
        <v>1.0070736681318098</v>
      </c>
      <c r="N897" s="84">
        <f t="shared" ca="1" si="181"/>
        <v>0.98287285361489407</v>
      </c>
      <c r="O897" s="84">
        <f t="shared" ca="1" si="182"/>
        <v>1.0581801468348868</v>
      </c>
      <c r="P897" s="84">
        <f t="shared" ca="1" si="183"/>
        <v>1.0847226612031853</v>
      </c>
      <c r="Q897" s="84">
        <f t="shared" ca="1" si="184"/>
        <v>1.3679110777093231</v>
      </c>
    </row>
    <row r="898" spans="1:17" ht="15" customHeight="1" x14ac:dyDescent="0.2">
      <c r="A898" s="15">
        <v>859</v>
      </c>
      <c r="B898" s="84">
        <f t="shared" ca="1" si="185"/>
        <v>0.47210976299237262</v>
      </c>
      <c r="C898" s="84">
        <f t="shared" ca="1" si="185"/>
        <v>0.53135389592150983</v>
      </c>
      <c r="D898" s="84">
        <f t="shared" ca="1" si="185"/>
        <v>9.1886805947676065E-2</v>
      </c>
      <c r="F898" s="84">
        <f t="shared" ca="1" si="186"/>
        <v>0.53675755021249483</v>
      </c>
      <c r="G898" s="84">
        <f t="shared" ca="1" si="186"/>
        <v>0.68051224758998463</v>
      </c>
      <c r="H898" s="84">
        <f t="shared" ca="1" si="186"/>
        <v>0.84855131783058957</v>
      </c>
      <c r="J898" s="85">
        <f t="shared" ca="1" si="178"/>
        <v>128615355.59882377</v>
      </c>
      <c r="K898" s="86">
        <f ca="1">IF(J898&gt;0,MIN(99,$B$12*Q898/(J898*12*(1-Inputs!$H$16))),99)</f>
        <v>4.5496847510017533</v>
      </c>
      <c r="L898" s="84">
        <f t="shared" ca="1" si="179"/>
        <v>1.0055841363457809</v>
      </c>
      <c r="M898" s="84">
        <f t="shared" ca="1" si="180"/>
        <v>1.0018368997242935</v>
      </c>
      <c r="N898" s="84">
        <f t="shared" ca="1" si="181"/>
        <v>0.96808510606011544</v>
      </c>
      <c r="O898" s="84">
        <f t="shared" ca="1" si="182"/>
        <v>1.0260797097439693</v>
      </c>
      <c r="P898" s="84">
        <f t="shared" ca="1" si="183"/>
        <v>1.3252760574917246</v>
      </c>
      <c r="Q898" s="84">
        <f t="shared" ca="1" si="184"/>
        <v>1.2838198004142707</v>
      </c>
    </row>
    <row r="899" spans="1:17" ht="15" customHeight="1" x14ac:dyDescent="0.2">
      <c r="A899" s="15">
        <v>860</v>
      </c>
      <c r="B899" s="84">
        <f t="shared" ca="1" si="185"/>
        <v>0.11615781795590552</v>
      </c>
      <c r="C899" s="84">
        <f t="shared" ca="1" si="185"/>
        <v>0.37659119713063505</v>
      </c>
      <c r="D899" s="84">
        <f t="shared" ca="1" si="185"/>
        <v>0.66108637282982496</v>
      </c>
      <c r="F899" s="84">
        <f t="shared" ca="1" si="186"/>
        <v>0.11905444035816604</v>
      </c>
      <c r="G899" s="84">
        <f t="shared" ca="1" si="186"/>
        <v>1.5893492546089627E-2</v>
      </c>
      <c r="H899" s="84">
        <f t="shared" ca="1" si="186"/>
        <v>0.90875769953487184</v>
      </c>
      <c r="J899" s="85">
        <f t="shared" ca="1" si="178"/>
        <v>60941335.991225645</v>
      </c>
      <c r="K899" s="86">
        <f ca="1">IF(J899&gt;0,MIN(99,$B$12*Q899/(J899*12*(1-Inputs!$H$16))),99)</f>
        <v>9.9833509758042496</v>
      </c>
      <c r="L899" s="84">
        <f t="shared" ca="1" si="179"/>
        <v>0.8893142795981297</v>
      </c>
      <c r="M899" s="84">
        <f t="shared" ca="1" si="180"/>
        <v>0.94984402525462486</v>
      </c>
      <c r="N899" s="84">
        <f t="shared" ca="1" si="181"/>
        <v>1.0222727990308589</v>
      </c>
      <c r="O899" s="84">
        <f t="shared" ca="1" si="182"/>
        <v>0.99244494049577603</v>
      </c>
      <c r="P899" s="84">
        <f t="shared" ca="1" si="183"/>
        <v>0.8702475993144787</v>
      </c>
      <c r="Q899" s="84">
        <f t="shared" ca="1" si="184"/>
        <v>1.3348063122623304</v>
      </c>
    </row>
    <row r="900" spans="1:17" ht="15" customHeight="1" x14ac:dyDescent="0.2">
      <c r="A900" s="15">
        <v>861</v>
      </c>
      <c r="B900" s="84">
        <f t="shared" ref="B900:D919" ca="1" si="187">RAND()</f>
        <v>0.61096380966783859</v>
      </c>
      <c r="C900" s="84">
        <f t="shared" ca="1" si="187"/>
        <v>0.30613936451731671</v>
      </c>
      <c r="D900" s="84">
        <f t="shared" ca="1" si="187"/>
        <v>0.92546139866288368</v>
      </c>
      <c r="F900" s="84">
        <f t="shared" ref="F900:H919" ca="1" si="188">RAND()</f>
        <v>0.86804527215190297</v>
      </c>
      <c r="G900" s="84">
        <f t="shared" ca="1" si="188"/>
        <v>0.24994586302634381</v>
      </c>
      <c r="H900" s="84">
        <f t="shared" ca="1" si="188"/>
        <v>0.29430926409552338</v>
      </c>
      <c r="J900" s="85">
        <f t="shared" ca="1" si="178"/>
        <v>140286771.60471499</v>
      </c>
      <c r="K900" s="86">
        <f ca="1">IF(J900&gt;0,MIN(99,$B$12*Q900/(J900*12*(1-Inputs!$H$16))),99)</f>
        <v>3.3136189297643144</v>
      </c>
      <c r="L900" s="84">
        <f t="shared" ca="1" si="179"/>
        <v>1.0437155946228276</v>
      </c>
      <c r="M900" s="84">
        <f t="shared" ca="1" si="180"/>
        <v>1.0187011100294647</v>
      </c>
      <c r="N900" s="84">
        <f t="shared" ca="1" si="181"/>
        <v>1.0584434643585738</v>
      </c>
      <c r="O900" s="84">
        <f t="shared" ca="1" si="182"/>
        <v>1.0660658735208977</v>
      </c>
      <c r="P900" s="84">
        <f t="shared" ca="1" si="183"/>
        <v>1.0392167385860875</v>
      </c>
      <c r="Q900" s="84">
        <f t="shared" ca="1" si="184"/>
        <v>1.0198803515131956</v>
      </c>
    </row>
    <row r="901" spans="1:17" ht="15" customHeight="1" x14ac:dyDescent="0.2">
      <c r="A901" s="15">
        <v>862</v>
      </c>
      <c r="B901" s="84">
        <f t="shared" ca="1" si="187"/>
        <v>0.56483133711979028</v>
      </c>
      <c r="C901" s="84">
        <f t="shared" ca="1" si="187"/>
        <v>0.73778076433289819</v>
      </c>
      <c r="D901" s="84">
        <f t="shared" ca="1" si="187"/>
        <v>0.43781548554705385</v>
      </c>
      <c r="F901" s="84">
        <f t="shared" ca="1" si="188"/>
        <v>0.3593064794877342</v>
      </c>
      <c r="G901" s="84">
        <f t="shared" ca="1" si="188"/>
        <v>0.5569099740851613</v>
      </c>
      <c r="H901" s="84">
        <f t="shared" ca="1" si="188"/>
        <v>0.36258841774488615</v>
      </c>
      <c r="J901" s="85">
        <f t="shared" ca="1" si="178"/>
        <v>145086548.95074183</v>
      </c>
      <c r="K901" s="86">
        <f ca="1">IF(J901&gt;0,MIN(99,$B$12*Q901/(J901*12*(1-Inputs!$H$16))),99)</f>
        <v>3.2806337433448607</v>
      </c>
      <c r="L901" s="84">
        <f t="shared" ca="1" si="179"/>
        <v>1.0303866496978775</v>
      </c>
      <c r="M901" s="84">
        <f t="shared" ca="1" si="180"/>
        <v>1.0128061838840434</v>
      </c>
      <c r="N901" s="84">
        <f t="shared" ca="1" si="181"/>
        <v>1.0026601076274704</v>
      </c>
      <c r="O901" s="84">
        <f t="shared" ca="1" si="182"/>
        <v>1.0109837396858055</v>
      </c>
      <c r="P901" s="84">
        <f t="shared" ca="1" si="183"/>
        <v>1.2297870899702648</v>
      </c>
      <c r="Q901" s="84">
        <f t="shared" ca="1" si="184"/>
        <v>1.0442749002902567</v>
      </c>
    </row>
    <row r="902" spans="1:17" ht="15" customHeight="1" x14ac:dyDescent="0.2">
      <c r="A902" s="15">
        <v>863</v>
      </c>
      <c r="B902" s="84">
        <f t="shared" ca="1" si="187"/>
        <v>4.7675276274968925E-2</v>
      </c>
      <c r="C902" s="84">
        <f t="shared" ca="1" si="187"/>
        <v>0.59094946753949895</v>
      </c>
      <c r="D902" s="84">
        <f t="shared" ca="1" si="187"/>
        <v>0.35045506928887926</v>
      </c>
      <c r="F902" s="84">
        <f t="shared" ca="1" si="188"/>
        <v>1.5633782021447828E-2</v>
      </c>
      <c r="G902" s="84">
        <f t="shared" ca="1" si="188"/>
        <v>0.47591287707853847</v>
      </c>
      <c r="H902" s="84">
        <f t="shared" ca="1" si="188"/>
        <v>0.60929668243919266</v>
      </c>
      <c r="J902" s="85">
        <f t="shared" ca="1" si="178"/>
        <v>30700340.490791664</v>
      </c>
      <c r="K902" s="86">
        <f ca="1">IF(J902&gt;0,MIN(99,$B$12*Q902/(J902*12*(1-Inputs!$H$16))),99)</f>
        <v>17.010201381345727</v>
      </c>
      <c r="L902" s="84">
        <f t="shared" ca="1" si="179"/>
        <v>0.84823570564235728</v>
      </c>
      <c r="M902" s="84">
        <f t="shared" ca="1" si="180"/>
        <v>0.93146593105567199</v>
      </c>
      <c r="N902" s="84">
        <f t="shared" ca="1" si="181"/>
        <v>0.99586544981789049</v>
      </c>
      <c r="O902" s="84">
        <f t="shared" ca="1" si="182"/>
        <v>0.97806061367458363</v>
      </c>
      <c r="P902" s="84">
        <f t="shared" ca="1" si="183"/>
        <v>1.1743594310407857</v>
      </c>
      <c r="Q902" s="84">
        <f t="shared" ca="1" si="184"/>
        <v>1.1457308017252588</v>
      </c>
    </row>
    <row r="903" spans="1:17" ht="15" customHeight="1" x14ac:dyDescent="0.2">
      <c r="A903" s="15">
        <v>864</v>
      </c>
      <c r="B903" s="84">
        <f t="shared" ca="1" si="187"/>
        <v>0.59948546511364442</v>
      </c>
      <c r="C903" s="84">
        <f t="shared" ca="1" si="187"/>
        <v>0.76734562943718643</v>
      </c>
      <c r="D903" s="84">
        <f t="shared" ca="1" si="187"/>
        <v>0.17634276068771593</v>
      </c>
      <c r="F903" s="84">
        <f t="shared" ca="1" si="188"/>
        <v>0.65843909962902092</v>
      </c>
      <c r="G903" s="84">
        <f t="shared" ca="1" si="188"/>
        <v>0.97594430513807762</v>
      </c>
      <c r="H903" s="84">
        <f t="shared" ca="1" si="188"/>
        <v>0.33997970382802922</v>
      </c>
      <c r="J903" s="85">
        <f t="shared" ca="1" si="178"/>
        <v>134673997.98664421</v>
      </c>
      <c r="K903" s="86">
        <f ca="1">IF(J903&gt;0,MIN(99,$B$12*Q903/(J903*12*(1-Inputs!$H$16))),99)</f>
        <v>3.5064744992511776</v>
      </c>
      <c r="L903" s="84">
        <f t="shared" ca="1" si="179"/>
        <v>1.0403284240755308</v>
      </c>
      <c r="M903" s="84">
        <f t="shared" ca="1" si="180"/>
        <v>1.017203082966506</v>
      </c>
      <c r="N903" s="84">
        <f t="shared" ca="1" si="181"/>
        <v>0.97931821226419624</v>
      </c>
      <c r="O903" s="84">
        <f t="shared" ca="1" si="182"/>
        <v>1.0381987842154485</v>
      </c>
      <c r="P903" s="84">
        <f t="shared" ca="1" si="183"/>
        <v>1.715279634980609</v>
      </c>
      <c r="Q903" s="84">
        <f t="shared" ca="1" si="184"/>
        <v>1.0360587412418496</v>
      </c>
    </row>
    <row r="904" spans="1:17" ht="15" customHeight="1" x14ac:dyDescent="0.2">
      <c r="A904" s="15">
        <v>865</v>
      </c>
      <c r="B904" s="84">
        <f t="shared" ca="1" si="187"/>
        <v>0.80578331887316457</v>
      </c>
      <c r="C904" s="84">
        <f t="shared" ca="1" si="187"/>
        <v>0.85177699732216361</v>
      </c>
      <c r="D904" s="84">
        <f t="shared" ca="1" si="187"/>
        <v>0.63281097621967686</v>
      </c>
      <c r="F904" s="84">
        <f t="shared" ca="1" si="188"/>
        <v>0.62353074578790513</v>
      </c>
      <c r="G904" s="84">
        <f t="shared" ca="1" si="188"/>
        <v>0.23572783855159174</v>
      </c>
      <c r="H904" s="84">
        <f t="shared" ca="1" si="188"/>
        <v>0.22944992672604303</v>
      </c>
      <c r="J904" s="85">
        <f t="shared" ca="1" si="178"/>
        <v>205423228.56643558</v>
      </c>
      <c r="K904" s="86">
        <f ca="1">IF(J904&gt;0,MIN(99,$B$12*Q904/(J904*12*(1-Inputs!$H$16))),99)</f>
        <v>2.2138382231555065</v>
      </c>
      <c r="L904" s="84">
        <f t="shared" ca="1" si="179"/>
        <v>1.1115839859287351</v>
      </c>
      <c r="M904" s="84">
        <f t="shared" ca="1" si="180"/>
        <v>1.0487169257305242</v>
      </c>
      <c r="N904" s="84">
        <f t="shared" ca="1" si="181"/>
        <v>1.0194883406207162</v>
      </c>
      <c r="O904" s="84">
        <f t="shared" ca="1" si="182"/>
        <v>1.0345274467103878</v>
      </c>
      <c r="P904" s="84">
        <f t="shared" ca="1" si="183"/>
        <v>1.031447782478855</v>
      </c>
      <c r="Q904" s="84">
        <f t="shared" ca="1" si="184"/>
        <v>0.99775835585954953</v>
      </c>
    </row>
    <row r="905" spans="1:17" ht="15" customHeight="1" x14ac:dyDescent="0.2">
      <c r="A905" s="15">
        <v>866</v>
      </c>
      <c r="B905" s="84">
        <f t="shared" ca="1" si="187"/>
        <v>0.66192657810907796</v>
      </c>
      <c r="C905" s="84">
        <f t="shared" ca="1" si="187"/>
        <v>6.8442565520858367E-2</v>
      </c>
      <c r="D905" s="84">
        <f t="shared" ca="1" si="187"/>
        <v>0.66526576962528872</v>
      </c>
      <c r="F905" s="84">
        <f t="shared" ca="1" si="188"/>
        <v>0.54795696916383874</v>
      </c>
      <c r="G905" s="84">
        <f t="shared" ca="1" si="188"/>
        <v>0.90208602577955965</v>
      </c>
      <c r="H905" s="84">
        <f t="shared" ca="1" si="188"/>
        <v>0.34340462065692479</v>
      </c>
      <c r="J905" s="85">
        <f t="shared" ca="1" si="178"/>
        <v>146447757.76414818</v>
      </c>
      <c r="K905" s="86">
        <f ca="1">IF(J905&gt;0,MIN(99,$B$12*Q905/(J905*12*(1-Inputs!$H$16))),99)</f>
        <v>3.2284145434461142</v>
      </c>
      <c r="L905" s="84">
        <f t="shared" ca="1" si="179"/>
        <v>1.0593959751999007</v>
      </c>
      <c r="M905" s="84">
        <f t="shared" ca="1" si="180"/>
        <v>1.0256359939197055</v>
      </c>
      <c r="N905" s="84">
        <f t="shared" ca="1" si="181"/>
        <v>1.0226940860481597</v>
      </c>
      <c r="O905" s="84">
        <f t="shared" ca="1" si="182"/>
        <v>1.0271226590272775</v>
      </c>
      <c r="P905" s="84">
        <f t="shared" ca="1" si="183"/>
        <v>1.5652122157605475</v>
      </c>
      <c r="Q905" s="84">
        <f t="shared" ca="1" si="184"/>
        <v>1.0372942324555507</v>
      </c>
    </row>
    <row r="906" spans="1:17" ht="15" customHeight="1" x14ac:dyDescent="0.2">
      <c r="A906" s="15">
        <v>867</v>
      </c>
      <c r="B906" s="84">
        <f t="shared" ca="1" si="187"/>
        <v>1.9101458059646137E-2</v>
      </c>
      <c r="C906" s="84">
        <f t="shared" ca="1" si="187"/>
        <v>0.53655889881582797</v>
      </c>
      <c r="D906" s="84">
        <f t="shared" ca="1" si="187"/>
        <v>5.0020210932615994E-2</v>
      </c>
      <c r="F906" s="84">
        <f t="shared" ca="1" si="188"/>
        <v>0.79923995276942517</v>
      </c>
      <c r="G906" s="84">
        <f t="shared" ca="1" si="188"/>
        <v>0.84878532243692506</v>
      </c>
      <c r="H906" s="84">
        <f t="shared" ca="1" si="188"/>
        <v>0.93344396427580401</v>
      </c>
      <c r="J906" s="85">
        <f t="shared" ca="1" si="178"/>
        <v>-4604728.4812695235</v>
      </c>
      <c r="K906" s="86">
        <f ca="1">IF(J906&gt;0,MIN(99,$B$12*Q906/(J906*12*(1-Inputs!$H$16))),99)</f>
        <v>99</v>
      </c>
      <c r="L906" s="84">
        <f t="shared" ca="1" si="179"/>
        <v>0.82135638070115258</v>
      </c>
      <c r="M906" s="84">
        <f t="shared" ca="1" si="180"/>
        <v>0.91944042193489328</v>
      </c>
      <c r="N906" s="84">
        <f t="shared" ca="1" si="181"/>
        <v>0.96044178451139051</v>
      </c>
      <c r="O906" s="84">
        <f t="shared" ca="1" si="182"/>
        <v>1.055380650088358</v>
      </c>
      <c r="P906" s="84">
        <f t="shared" ca="1" si="183"/>
        <v>1.492988778578709</v>
      </c>
      <c r="Q906" s="84">
        <f t="shared" ca="1" si="184"/>
        <v>1.3606089394820167</v>
      </c>
    </row>
    <row r="907" spans="1:17" ht="15" customHeight="1" x14ac:dyDescent="0.2">
      <c r="A907" s="15">
        <v>868</v>
      </c>
      <c r="B907" s="84">
        <f t="shared" ca="1" si="187"/>
        <v>0.63191412687811666</v>
      </c>
      <c r="C907" s="84">
        <f t="shared" ca="1" si="187"/>
        <v>0.7655266370948044</v>
      </c>
      <c r="D907" s="84">
        <f t="shared" ca="1" si="187"/>
        <v>0.46631680945029497</v>
      </c>
      <c r="F907" s="84">
        <f t="shared" ca="1" si="188"/>
        <v>0.14944292398659131</v>
      </c>
      <c r="G907" s="84">
        <f t="shared" ca="1" si="188"/>
        <v>0.84407509629304101</v>
      </c>
      <c r="H907" s="84">
        <f t="shared" ca="1" si="188"/>
        <v>0.69850386975784973</v>
      </c>
      <c r="J907" s="85">
        <f t="shared" ca="1" si="178"/>
        <v>151857514.9646523</v>
      </c>
      <c r="K907" s="86">
        <f ca="1">IF(J907&gt;0,MIN(99,$B$12*Q907/(J907*12*(1-Inputs!$H$16))),99)</f>
        <v>3.5723633199786855</v>
      </c>
      <c r="L907" s="84">
        <f t="shared" ca="1" si="179"/>
        <v>1.0500293184562508</v>
      </c>
      <c r="M907" s="84">
        <f t="shared" ca="1" si="180"/>
        <v>1.0214934492513748</v>
      </c>
      <c r="N907" s="84">
        <f t="shared" ca="1" si="181"/>
        <v>1.0049127982255954</v>
      </c>
      <c r="O907" s="84">
        <f t="shared" ca="1" si="182"/>
        <v>0.99516059647883337</v>
      </c>
      <c r="P907" s="84">
        <f t="shared" ca="1" si="183"/>
        <v>1.4872737949555064</v>
      </c>
      <c r="Q907" s="84">
        <f t="shared" ca="1" si="184"/>
        <v>1.1902052226251985</v>
      </c>
    </row>
    <row r="908" spans="1:17" ht="15" customHeight="1" x14ac:dyDescent="0.2">
      <c r="A908" s="15">
        <v>869</v>
      </c>
      <c r="B908" s="84">
        <f t="shared" ca="1" si="187"/>
        <v>0.68163583512408987</v>
      </c>
      <c r="C908" s="84">
        <f t="shared" ca="1" si="187"/>
        <v>0.98128360179591312</v>
      </c>
      <c r="D908" s="84">
        <f t="shared" ca="1" si="187"/>
        <v>0.71130890201218799</v>
      </c>
      <c r="F908" s="84">
        <f t="shared" ca="1" si="188"/>
        <v>0.61335346563485715</v>
      </c>
      <c r="G908" s="84">
        <f t="shared" ca="1" si="188"/>
        <v>6.2049854860238396E-2</v>
      </c>
      <c r="H908" s="84">
        <f t="shared" ca="1" si="188"/>
        <v>0.3713766969180804</v>
      </c>
      <c r="J908" s="85">
        <f t="shared" ca="1" si="178"/>
        <v>173200202.79235667</v>
      </c>
      <c r="K908" s="86">
        <f ca="1">IF(J908&gt;0,MIN(99,$B$12*Q908/(J908*12*(1-Inputs!$H$16))),99)</f>
        <v>2.7566330536448582</v>
      </c>
      <c r="L908" s="84">
        <f t="shared" ca="1" si="179"/>
        <v>1.0657750668050348</v>
      </c>
      <c r="M908" s="84">
        <f t="shared" ca="1" si="180"/>
        <v>1.0284572430207317</v>
      </c>
      <c r="N908" s="84">
        <f t="shared" ca="1" si="181"/>
        <v>1.0275218742221055</v>
      </c>
      <c r="O908" s="84">
        <f t="shared" ca="1" si="182"/>
        <v>1.033489478569849</v>
      </c>
      <c r="P908" s="84">
        <f t="shared" ca="1" si="183"/>
        <v>0.92446701294251932</v>
      </c>
      <c r="Q908" s="84">
        <f t="shared" ca="1" si="184"/>
        <v>1.0475078756834661</v>
      </c>
    </row>
    <row r="909" spans="1:17" ht="15" customHeight="1" x14ac:dyDescent="0.2">
      <c r="A909" s="15">
        <v>870</v>
      </c>
      <c r="B909" s="84">
        <f t="shared" ca="1" si="187"/>
        <v>5.2055140102357456E-2</v>
      </c>
      <c r="C909" s="84">
        <f t="shared" ca="1" si="187"/>
        <v>8.2903760783633151E-2</v>
      </c>
      <c r="D909" s="84">
        <f t="shared" ca="1" si="187"/>
        <v>0.14689700325843957</v>
      </c>
      <c r="F909" s="84">
        <f t="shared" ca="1" si="188"/>
        <v>0.2427312295094386</v>
      </c>
      <c r="G909" s="84">
        <f t="shared" ca="1" si="188"/>
        <v>0.80237041485527349</v>
      </c>
      <c r="H909" s="84">
        <f t="shared" ca="1" si="188"/>
        <v>0.79674936797029883</v>
      </c>
      <c r="J909" s="85">
        <f t="shared" ca="1" si="178"/>
        <v>22378732.027762741</v>
      </c>
      <c r="K909" s="86">
        <f ca="1">IF(J909&gt;0,MIN(99,$B$12*Q909/(J909*12*(1-Inputs!$H$16))),99)</f>
        <v>25.41275802603327</v>
      </c>
      <c r="L909" s="84">
        <f t="shared" ca="1" si="179"/>
        <v>0.85152583394851189</v>
      </c>
      <c r="M909" s="84">
        <f t="shared" ca="1" si="180"/>
        <v>0.93293789763372925</v>
      </c>
      <c r="N909" s="84">
        <f t="shared" ca="1" si="181"/>
        <v>0.97579254516980485</v>
      </c>
      <c r="O909" s="84">
        <f t="shared" ca="1" si="182"/>
        <v>1.0021919969423525</v>
      </c>
      <c r="P909" s="84">
        <f t="shared" ca="1" si="183"/>
        <v>1.4400300501967978</v>
      </c>
      <c r="Q909" s="84">
        <f t="shared" ca="1" si="184"/>
        <v>1.2477202355920087</v>
      </c>
    </row>
    <row r="910" spans="1:17" ht="15" customHeight="1" x14ac:dyDescent="0.2">
      <c r="A910" s="15">
        <v>871</v>
      </c>
      <c r="B910" s="84">
        <f t="shared" ca="1" si="187"/>
        <v>0.80794686001398452</v>
      </c>
      <c r="C910" s="84">
        <f t="shared" ca="1" si="187"/>
        <v>0.37134454506020576</v>
      </c>
      <c r="D910" s="84">
        <f t="shared" ca="1" si="187"/>
        <v>0.60553612201031981</v>
      </c>
      <c r="F910" s="84">
        <f t="shared" ca="1" si="188"/>
        <v>0.62342153180576976</v>
      </c>
      <c r="G910" s="84">
        <f t="shared" ca="1" si="188"/>
        <v>0.4230455370650823</v>
      </c>
      <c r="H910" s="84">
        <f t="shared" ca="1" si="188"/>
        <v>0.63486373505862392</v>
      </c>
      <c r="J910" s="85">
        <f t="shared" ca="1" si="178"/>
        <v>202627301.03819674</v>
      </c>
      <c r="K910" s="86">
        <f ca="1">IF(J910&gt;0,MIN(99,$B$12*Q910/(J910*12*(1-Inputs!$H$16))),99)</f>
        <v>2.6046243440604351</v>
      </c>
      <c r="L910" s="84">
        <f t="shared" ca="1" si="179"/>
        <v>1.112496748499985</v>
      </c>
      <c r="M910" s="84">
        <f t="shared" ca="1" si="180"/>
        <v>1.0491206086908875</v>
      </c>
      <c r="N910" s="84">
        <f t="shared" ca="1" si="181"/>
        <v>1.016902317618962</v>
      </c>
      <c r="O910" s="84">
        <f t="shared" ca="1" si="182"/>
        <v>1.0345162341485514</v>
      </c>
      <c r="P910" s="84">
        <f t="shared" ca="1" si="183"/>
        <v>1.1404719550704376</v>
      </c>
      <c r="Q910" s="84">
        <f t="shared" ca="1" si="184"/>
        <v>1.1579051792829425</v>
      </c>
    </row>
    <row r="911" spans="1:17" ht="15" customHeight="1" x14ac:dyDescent="0.2">
      <c r="A911" s="15">
        <v>872</v>
      </c>
      <c r="B911" s="84">
        <f t="shared" ca="1" si="187"/>
        <v>0.41341177296269838</v>
      </c>
      <c r="C911" s="84">
        <f t="shared" ca="1" si="187"/>
        <v>0.29757086287693946</v>
      </c>
      <c r="D911" s="84">
        <f t="shared" ca="1" si="187"/>
        <v>0.23619802700742565</v>
      </c>
      <c r="F911" s="84">
        <f t="shared" ca="1" si="188"/>
        <v>0.70912395795006455</v>
      </c>
      <c r="G911" s="84">
        <f t="shared" ca="1" si="188"/>
        <v>4.5878353889158507E-2</v>
      </c>
      <c r="H911" s="84">
        <f t="shared" ca="1" si="188"/>
        <v>0.12234920380567182</v>
      </c>
      <c r="J911" s="85">
        <f t="shared" ca="1" si="178"/>
        <v>126913439.0655167</v>
      </c>
      <c r="K911" s="86">
        <f ca="1">IF(J911&gt;0,MIN(99,$B$12*Q911/(J911*12*(1-Inputs!$H$16))),99)</f>
        <v>3.4323068620327408</v>
      </c>
      <c r="L911" s="84">
        <f t="shared" ca="1" si="179"/>
        <v>0.99065904678056882</v>
      </c>
      <c r="M911" s="84">
        <f t="shared" ca="1" si="180"/>
        <v>0.99518453974899657</v>
      </c>
      <c r="N911" s="84">
        <f t="shared" ca="1" si="181"/>
        <v>0.98567225154015481</v>
      </c>
      <c r="O911" s="84">
        <f t="shared" ca="1" si="182"/>
        <v>1.0438815138340067</v>
      </c>
      <c r="P911" s="84">
        <f t="shared" ca="1" si="183"/>
        <v>0.9090838568819033</v>
      </c>
      <c r="Q911" s="84">
        <f t="shared" ca="1" si="184"/>
        <v>0.95570456986787478</v>
      </c>
    </row>
    <row r="912" spans="1:17" ht="15" customHeight="1" x14ac:dyDescent="0.2">
      <c r="A912" s="15">
        <v>873</v>
      </c>
      <c r="B912" s="84">
        <f t="shared" ca="1" si="187"/>
        <v>0.77145763762487718</v>
      </c>
      <c r="C912" s="84">
        <f t="shared" ca="1" si="187"/>
        <v>0.58373259532336763</v>
      </c>
      <c r="D912" s="84">
        <f t="shared" ca="1" si="187"/>
        <v>0.20819473417903089</v>
      </c>
      <c r="F912" s="84">
        <f t="shared" ca="1" si="188"/>
        <v>0.70147718303158291</v>
      </c>
      <c r="G912" s="84">
        <f t="shared" ca="1" si="188"/>
        <v>0.81063885802400804</v>
      </c>
      <c r="H912" s="84">
        <f t="shared" ca="1" si="188"/>
        <v>0.36816820894880153</v>
      </c>
      <c r="J912" s="85">
        <f t="shared" ca="1" si="178"/>
        <v>186313917.50321871</v>
      </c>
      <c r="K912" s="86">
        <f ca="1">IF(J912&gt;0,MIN(99,$B$12*Q912/(J912*12*(1-Inputs!$H$16))),99)</f>
        <v>2.5597134130821417</v>
      </c>
      <c r="L912" s="84">
        <f t="shared" ca="1" si="179"/>
        <v>1.0977302202106083</v>
      </c>
      <c r="M912" s="84">
        <f t="shared" ca="1" si="180"/>
        <v>1.0425898897044803</v>
      </c>
      <c r="N912" s="84">
        <f t="shared" ca="1" si="181"/>
        <v>0.9828141966870898</v>
      </c>
      <c r="O912" s="84">
        <f t="shared" ca="1" si="182"/>
        <v>1.0429941113155317</v>
      </c>
      <c r="P912" s="84">
        <f t="shared" ca="1" si="183"/>
        <v>1.4489677674117258</v>
      </c>
      <c r="Q912" s="84">
        <f t="shared" ca="1" si="184"/>
        <v>1.0463249543800421</v>
      </c>
    </row>
    <row r="913" spans="1:17" ht="15" customHeight="1" x14ac:dyDescent="0.2">
      <c r="A913" s="15">
        <v>874</v>
      </c>
      <c r="B913" s="84">
        <f t="shared" ca="1" si="187"/>
        <v>0.49710829331872641</v>
      </c>
      <c r="C913" s="84">
        <f t="shared" ca="1" si="187"/>
        <v>0.27580787108931337</v>
      </c>
      <c r="D913" s="84">
        <f t="shared" ca="1" si="187"/>
        <v>0.37809546988410558</v>
      </c>
      <c r="F913" s="84">
        <f t="shared" ca="1" si="188"/>
        <v>0.96352004825892856</v>
      </c>
      <c r="G913" s="84">
        <f t="shared" ca="1" si="188"/>
        <v>0.86622198767254222</v>
      </c>
      <c r="H913" s="84">
        <f t="shared" ca="1" si="188"/>
        <v>8.9756725307313934E-2</v>
      </c>
      <c r="J913" s="85">
        <f t="shared" ca="1" si="178"/>
        <v>109278881.25514676</v>
      </c>
      <c r="K913" s="86">
        <f ca="1">IF(J913&gt;0,MIN(99,$B$12*Q913/(J913*12*(1-Inputs!$H$16))),99)</f>
        <v>3.9180593685535587</v>
      </c>
      <c r="L913" s="84">
        <f t="shared" ca="1" si="179"/>
        <v>1.0120406691735866</v>
      </c>
      <c r="M913" s="84">
        <f t="shared" ca="1" si="180"/>
        <v>1.0046923983695131</v>
      </c>
      <c r="N913" s="84">
        <f t="shared" ca="1" si="181"/>
        <v>0.99806797930071156</v>
      </c>
      <c r="O913" s="84">
        <f t="shared" ca="1" si="182"/>
        <v>1.0877695576172111</v>
      </c>
      <c r="P913" s="84">
        <f t="shared" ca="1" si="183"/>
        <v>1.5149612256112082</v>
      </c>
      <c r="Q913" s="84">
        <f t="shared" ca="1" si="184"/>
        <v>0.93937109824314768</v>
      </c>
    </row>
    <row r="914" spans="1:17" ht="15" customHeight="1" x14ac:dyDescent="0.2">
      <c r="A914" s="15">
        <v>875</v>
      </c>
      <c r="B914" s="84">
        <f t="shared" ca="1" si="187"/>
        <v>0.9540381191355416</v>
      </c>
      <c r="C914" s="84">
        <f t="shared" ca="1" si="187"/>
        <v>0.701231139512977</v>
      </c>
      <c r="D914" s="84">
        <f t="shared" ca="1" si="187"/>
        <v>0.28292218361298593</v>
      </c>
      <c r="F914" s="84">
        <f t="shared" ca="1" si="188"/>
        <v>0.69848094551273732</v>
      </c>
      <c r="G914" s="84">
        <f t="shared" ca="1" si="188"/>
        <v>0.77628923702546837</v>
      </c>
      <c r="H914" s="84">
        <f t="shared" ca="1" si="188"/>
        <v>0.21698993192401728</v>
      </c>
      <c r="J914" s="85">
        <f t="shared" ca="1" si="178"/>
        <v>263681422.60343832</v>
      </c>
      <c r="K914" s="86">
        <f ca="1">IF(J914&gt;0,MIN(99,$B$12*Q914/(J914*12*(1-Inputs!$H$16))),99)</f>
        <v>1.7172908213454567</v>
      </c>
      <c r="L914" s="84">
        <f t="shared" ca="1" si="179"/>
        <v>1.1955030905074728</v>
      </c>
      <c r="M914" s="84">
        <f t="shared" ca="1" si="180"/>
        <v>1.0858314105203544</v>
      </c>
      <c r="N914" s="84">
        <f t="shared" ca="1" si="181"/>
        <v>0.99008671259068004</v>
      </c>
      <c r="O914" s="84">
        <f t="shared" ca="1" si="182"/>
        <v>1.0426495038591104</v>
      </c>
      <c r="P914" s="84">
        <f t="shared" ca="1" si="183"/>
        <v>1.4129999695753837</v>
      </c>
      <c r="Q914" s="84">
        <f t="shared" ca="1" si="184"/>
        <v>0.99346671977797674</v>
      </c>
    </row>
    <row r="915" spans="1:17" ht="15" customHeight="1" x14ac:dyDescent="0.2">
      <c r="A915" s="15">
        <v>876</v>
      </c>
      <c r="B915" s="84">
        <f t="shared" ca="1" si="187"/>
        <v>0.48404649315795456</v>
      </c>
      <c r="C915" s="84">
        <f t="shared" ca="1" si="187"/>
        <v>0.623325953801112</v>
      </c>
      <c r="D915" s="84">
        <f t="shared" ca="1" si="187"/>
        <v>0.18282875433678303</v>
      </c>
      <c r="F915" s="84">
        <f t="shared" ca="1" si="188"/>
        <v>0.57689814656144156</v>
      </c>
      <c r="G915" s="84">
        <f t="shared" ca="1" si="188"/>
        <v>0.32215777661879486</v>
      </c>
      <c r="H915" s="84">
        <f t="shared" ca="1" si="188"/>
        <v>0.15617229365936292</v>
      </c>
      <c r="J915" s="85">
        <f t="shared" ca="1" si="178"/>
        <v>136859233.11566079</v>
      </c>
      <c r="K915" s="86">
        <f ca="1">IF(J915&gt;0,MIN(99,$B$12*Q915/(J915*12*(1-Inputs!$H$16))),99)</f>
        <v>3.2320825178707402</v>
      </c>
      <c r="L915" s="84">
        <f t="shared" ca="1" si="179"/>
        <v>1.008647588351858</v>
      </c>
      <c r="M915" s="84">
        <f t="shared" ca="1" si="180"/>
        <v>1.0031917573988918</v>
      </c>
      <c r="N915" s="84">
        <f t="shared" ca="1" si="181"/>
        <v>0.98005420298665458</v>
      </c>
      <c r="O915" s="84">
        <f t="shared" ca="1" si="182"/>
        <v>1.0298792572230009</v>
      </c>
      <c r="P915" s="84">
        <f t="shared" ca="1" si="183"/>
        <v>1.0798636772376429</v>
      </c>
      <c r="Q915" s="84">
        <f t="shared" ca="1" si="184"/>
        <v>0.97047976308311545</v>
      </c>
    </row>
    <row r="916" spans="1:17" ht="15" customHeight="1" x14ac:dyDescent="0.2">
      <c r="A916" s="15">
        <v>877</v>
      </c>
      <c r="B916" s="84">
        <f t="shared" ca="1" si="187"/>
        <v>0.85236097566953362</v>
      </c>
      <c r="C916" s="84">
        <f t="shared" ca="1" si="187"/>
        <v>0.86528815995807207</v>
      </c>
      <c r="D916" s="84">
        <f t="shared" ca="1" si="187"/>
        <v>0.3750552797192539</v>
      </c>
      <c r="F916" s="84">
        <f t="shared" ca="1" si="188"/>
        <v>0.67260906422227518</v>
      </c>
      <c r="G916" s="84">
        <f t="shared" ca="1" si="188"/>
        <v>0.95305237181934799</v>
      </c>
      <c r="H916" s="84">
        <f t="shared" ca="1" si="188"/>
        <v>0.66584534660765982</v>
      </c>
      <c r="J916" s="85">
        <f t="shared" ca="1" si="178"/>
        <v>202419404.53406626</v>
      </c>
      <c r="K916" s="86">
        <f ca="1">IF(J916&gt;0,MIN(99,$B$12*Q916/(J916*12*(1-Inputs!$H$16))),99)</f>
        <v>2.6418391309966891</v>
      </c>
      <c r="L916" s="84">
        <f t="shared" ca="1" si="179"/>
        <v>1.1325206476522329</v>
      </c>
      <c r="M916" s="84">
        <f t="shared" ca="1" si="180"/>
        <v>1.0579764789274664</v>
      </c>
      <c r="N916" s="84">
        <f t="shared" ca="1" si="181"/>
        <v>0.9978297529834782</v>
      </c>
      <c r="O916" s="84">
        <f t="shared" ca="1" si="182"/>
        <v>1.0397423799125722</v>
      </c>
      <c r="P916" s="84">
        <f t="shared" ca="1" si="183"/>
        <v>1.6567267924170141</v>
      </c>
      <c r="Q916" s="84">
        <f t="shared" ca="1" si="184"/>
        <v>1.1732443002402611</v>
      </c>
    </row>
    <row r="917" spans="1:17" ht="15" customHeight="1" x14ac:dyDescent="0.2">
      <c r="A917" s="15">
        <v>878</v>
      </c>
      <c r="B917" s="84">
        <f t="shared" ca="1" si="187"/>
        <v>1.318796435488645E-2</v>
      </c>
      <c r="C917" s="84">
        <f t="shared" ca="1" si="187"/>
        <v>0.48215967955471684</v>
      </c>
      <c r="D917" s="84">
        <f t="shared" ca="1" si="187"/>
        <v>0.92252527420622998</v>
      </c>
      <c r="F917" s="84">
        <f t="shared" ca="1" si="188"/>
        <v>0.92279166039216276</v>
      </c>
      <c r="G917" s="84">
        <f t="shared" ca="1" si="188"/>
        <v>0.73086561076551138</v>
      </c>
      <c r="H917" s="84">
        <f t="shared" ca="1" si="188"/>
        <v>0.92908730340680079</v>
      </c>
      <c r="J917" s="85">
        <f t="shared" ca="1" si="178"/>
        <v>-25394171.98638913</v>
      </c>
      <c r="K917" s="86">
        <f ca="1">IF(J917&gt;0,MIN(99,$B$12*Q917/(J917*12*(1-Inputs!$H$16))),99)</f>
        <v>99</v>
      </c>
      <c r="L917" s="84">
        <f t="shared" ca="1" si="179"/>
        <v>0.81351812547262292</v>
      </c>
      <c r="M917" s="84">
        <f t="shared" ca="1" si="180"/>
        <v>0.91593367427854944</v>
      </c>
      <c r="N917" s="84">
        <f t="shared" ca="1" si="181"/>
        <v>1.0578204002552507</v>
      </c>
      <c r="O917" s="84">
        <f t="shared" ca="1" si="182"/>
        <v>1.0768248079347253</v>
      </c>
      <c r="P917" s="84">
        <f t="shared" ca="1" si="183"/>
        <v>1.3694470238006196</v>
      </c>
      <c r="Q917" s="84">
        <f t="shared" ca="1" si="184"/>
        <v>1.3557445861699864</v>
      </c>
    </row>
    <row r="918" spans="1:17" ht="15" customHeight="1" x14ac:dyDescent="0.2">
      <c r="A918" s="15">
        <v>879</v>
      </c>
      <c r="B918" s="84">
        <f t="shared" ca="1" si="187"/>
        <v>0.35409471497625822</v>
      </c>
      <c r="C918" s="84">
        <f t="shared" ca="1" si="187"/>
        <v>0.61802765653450531</v>
      </c>
      <c r="D918" s="84">
        <f t="shared" ca="1" si="187"/>
        <v>0.53740116524722292</v>
      </c>
      <c r="F918" s="84">
        <f t="shared" ca="1" si="188"/>
        <v>0.79487480916131481</v>
      </c>
      <c r="G918" s="84">
        <f t="shared" ca="1" si="188"/>
        <v>8.1154949529801734E-2</v>
      </c>
      <c r="H918" s="84">
        <f t="shared" ca="1" si="188"/>
        <v>0.49696590303922195</v>
      </c>
      <c r="J918" s="85">
        <f t="shared" ca="1" si="178"/>
        <v>107310036.82716955</v>
      </c>
      <c r="K918" s="86">
        <f ca="1">IF(J918&gt;0,MIN(99,$B$12*Q918/(J918*12*(1-Inputs!$H$16))),99)</f>
        <v>4.657133187534531</v>
      </c>
      <c r="L918" s="84">
        <f t="shared" ca="1" si="179"/>
        <v>0.97458871570013428</v>
      </c>
      <c r="M918" s="84">
        <f t="shared" ca="1" si="180"/>
        <v>0.98799485349741034</v>
      </c>
      <c r="N918" s="84">
        <f t="shared" ca="1" si="181"/>
        <v>1.0108085422908704</v>
      </c>
      <c r="O918" s="84">
        <f t="shared" ca="1" si="182"/>
        <v>1.0547702128145025</v>
      </c>
      <c r="P918" s="84">
        <f t="shared" ca="1" si="183"/>
        <v>0.94023501130084886</v>
      </c>
      <c r="Q918" s="84">
        <f t="shared" ca="1" si="184"/>
        <v>1.0964502821824169</v>
      </c>
    </row>
    <row r="919" spans="1:17" ht="15" customHeight="1" x14ac:dyDescent="0.2">
      <c r="A919" s="15">
        <v>880</v>
      </c>
      <c r="B919" s="84">
        <f t="shared" ca="1" si="187"/>
        <v>0.89944338107485222</v>
      </c>
      <c r="C919" s="84">
        <f t="shared" ca="1" si="187"/>
        <v>0.28848115645112959</v>
      </c>
      <c r="D919" s="84">
        <f t="shared" ca="1" si="187"/>
        <v>0.22766669963640052</v>
      </c>
      <c r="F919" s="84">
        <f t="shared" ca="1" si="188"/>
        <v>0.83967716603965736</v>
      </c>
      <c r="G919" s="84">
        <f t="shared" ca="1" si="188"/>
        <v>0.26693742101349305</v>
      </c>
      <c r="H919" s="84">
        <f t="shared" ca="1" si="188"/>
        <v>0.69309650564277681</v>
      </c>
      <c r="J919" s="85">
        <f t="shared" ca="1" si="178"/>
        <v>244728670.44154251</v>
      </c>
      <c r="K919" s="86">
        <f ca="1">IF(J919&gt;0,MIN(99,$B$12*Q919/(J919*12*(1-Inputs!$H$16))),99)</f>
        <v>2.2113562994026874</v>
      </c>
      <c r="L919" s="84">
        <f t="shared" ca="1" si="179"/>
        <v>1.1574137120995487</v>
      </c>
      <c r="M919" s="84">
        <f t="shared" ca="1" si="180"/>
        <v>1.0689858106695052</v>
      </c>
      <c r="N919" s="84">
        <f t="shared" ca="1" si="181"/>
        <v>0.98482039128255439</v>
      </c>
      <c r="O919" s="84">
        <f t="shared" ca="1" si="182"/>
        <v>1.0613854658542394</v>
      </c>
      <c r="P919" s="84">
        <f t="shared" ca="1" si="183"/>
        <v>1.0485984273172191</v>
      </c>
      <c r="Q919" s="84">
        <f t="shared" ca="1" si="184"/>
        <v>1.1873356698962156</v>
      </c>
    </row>
    <row r="920" spans="1:17" ht="15" customHeight="1" x14ac:dyDescent="0.2">
      <c r="A920" s="15">
        <v>881</v>
      </c>
      <c r="B920" s="84">
        <f t="shared" ref="B920:D939" ca="1" si="189">RAND()</f>
        <v>0.65390206599858458</v>
      </c>
      <c r="C920" s="84">
        <f t="shared" ca="1" si="189"/>
        <v>0.8668234816427588</v>
      </c>
      <c r="D920" s="84">
        <f t="shared" ca="1" si="189"/>
        <v>0.8493422568882788</v>
      </c>
      <c r="F920" s="84">
        <f t="shared" ref="F920:H939" ca="1" si="190">RAND()</f>
        <v>0.59407167572258646</v>
      </c>
      <c r="G920" s="84">
        <f t="shared" ca="1" si="190"/>
        <v>0.28262629109947168</v>
      </c>
      <c r="H920" s="84">
        <f t="shared" ca="1" si="190"/>
        <v>0.28597411005587081</v>
      </c>
      <c r="J920" s="85">
        <f t="shared" ca="1" si="178"/>
        <v>157948927.51543272</v>
      </c>
      <c r="K920" s="86">
        <f ca="1">IF(J920&gt;0,MIN(99,$B$12*Q920/(J920*12*(1-Inputs!$H$16))),99)</f>
        <v>2.9347278473188556</v>
      </c>
      <c r="L920" s="84">
        <f t="shared" ca="1" si="179"/>
        <v>1.0568521924813485</v>
      </c>
      <c r="M920" s="84">
        <f t="shared" ca="1" si="180"/>
        <v>1.02451096779496</v>
      </c>
      <c r="N920" s="84">
        <f t="shared" ca="1" si="181"/>
        <v>1.0449731279335046</v>
      </c>
      <c r="O920" s="84">
        <f t="shared" ca="1" si="182"/>
        <v>1.0315597456983416</v>
      </c>
      <c r="P920" s="84">
        <f t="shared" ca="1" si="183"/>
        <v>1.0573578815362294</v>
      </c>
      <c r="Q920" s="84">
        <f t="shared" ca="1" si="184"/>
        <v>1.0169847856861558</v>
      </c>
    </row>
    <row r="921" spans="1:17" ht="15" customHeight="1" x14ac:dyDescent="0.2">
      <c r="A921" s="15">
        <v>882</v>
      </c>
      <c r="B921" s="84">
        <f t="shared" ca="1" si="189"/>
        <v>9.8896433797818206E-3</v>
      </c>
      <c r="C921" s="84">
        <f t="shared" ca="1" si="189"/>
        <v>0.29048876033867377</v>
      </c>
      <c r="D921" s="84">
        <f t="shared" ca="1" si="189"/>
        <v>0.3094068193939119</v>
      </c>
      <c r="F921" s="84">
        <f t="shared" ca="1" si="190"/>
        <v>0.29724134551133552</v>
      </c>
      <c r="G921" s="84">
        <f t="shared" ca="1" si="190"/>
        <v>0.98851721599194142</v>
      </c>
      <c r="H921" s="84">
        <f t="shared" ca="1" si="190"/>
        <v>0.7722185458426879</v>
      </c>
      <c r="J921" s="85">
        <f t="shared" ca="1" si="178"/>
        <v>-20072437.861293584</v>
      </c>
      <c r="K921" s="86">
        <f ca="1">IF(J921&gt;0,MIN(99,$B$12*Q921/(J921*12*(1-Inputs!$H$16))),99)</f>
        <v>99</v>
      </c>
      <c r="L921" s="84">
        <f t="shared" ca="1" si="179"/>
        <v>0.80835543254442155</v>
      </c>
      <c r="M921" s="84">
        <f t="shared" ca="1" si="180"/>
        <v>0.91362394324803931</v>
      </c>
      <c r="N921" s="84">
        <f t="shared" ca="1" si="181"/>
        <v>0.99242743642815912</v>
      </c>
      <c r="O921" s="84">
        <f t="shared" ca="1" si="182"/>
        <v>1.0062118498940338</v>
      </c>
      <c r="P921" s="84">
        <f t="shared" ca="1" si="183"/>
        <v>1.7608678447086719</v>
      </c>
      <c r="Q921" s="84">
        <f t="shared" ca="1" si="184"/>
        <v>1.2322480336604258</v>
      </c>
    </row>
    <row r="922" spans="1:17" ht="15" customHeight="1" x14ac:dyDescent="0.2">
      <c r="A922" s="15">
        <v>883</v>
      </c>
      <c r="B922" s="84">
        <f t="shared" ca="1" si="189"/>
        <v>0.85115501243330827</v>
      </c>
      <c r="C922" s="84">
        <f t="shared" ca="1" si="189"/>
        <v>0.23993281966115643</v>
      </c>
      <c r="D922" s="84">
        <f t="shared" ca="1" si="189"/>
        <v>0.76144750232580083</v>
      </c>
      <c r="F922" s="84">
        <f t="shared" ca="1" si="190"/>
        <v>0.32854383391243658</v>
      </c>
      <c r="G922" s="84">
        <f t="shared" ca="1" si="190"/>
        <v>0.77095329622995168</v>
      </c>
      <c r="H922" s="84">
        <f t="shared" ca="1" si="190"/>
        <v>0.77420884561979686</v>
      </c>
      <c r="J922" s="85">
        <f t="shared" ca="1" si="178"/>
        <v>207945581.59209067</v>
      </c>
      <c r="K922" s="86">
        <f ca="1">IF(J922&gt;0,MIN(99,$B$12*Q922/(J922*12*(1-Inputs!$H$16))),99)</f>
        <v>2.7036433699913478</v>
      </c>
      <c r="L922" s="84">
        <f t="shared" ca="1" si="179"/>
        <v>1.1319399224436806</v>
      </c>
      <c r="M922" s="84">
        <f t="shared" ca="1" si="180"/>
        <v>1.0577196444792429</v>
      </c>
      <c r="N922" s="84">
        <f t="shared" ca="1" si="181"/>
        <v>1.0332411099341754</v>
      </c>
      <c r="O922" s="84">
        <f t="shared" ca="1" si="182"/>
        <v>1.0085909766385892</v>
      </c>
      <c r="P922" s="84">
        <f t="shared" ca="1" si="183"/>
        <v>1.4076676755441691</v>
      </c>
      <c r="Q922" s="84">
        <f t="shared" ca="1" si="184"/>
        <v>1.2334712827608951</v>
      </c>
    </row>
    <row r="923" spans="1:17" ht="15" customHeight="1" x14ac:dyDescent="0.2">
      <c r="A923" s="15">
        <v>884</v>
      </c>
      <c r="B923" s="84">
        <f t="shared" ca="1" si="189"/>
        <v>8.2815688769426354E-2</v>
      </c>
      <c r="C923" s="84">
        <f t="shared" ca="1" si="189"/>
        <v>0.28399206680172751</v>
      </c>
      <c r="D923" s="84">
        <f t="shared" ca="1" si="189"/>
        <v>0.68836780531807462</v>
      </c>
      <c r="F923" s="84">
        <f t="shared" ca="1" si="190"/>
        <v>0.71915132341363086</v>
      </c>
      <c r="G923" s="84">
        <f t="shared" ca="1" si="190"/>
        <v>0.86392034562862619</v>
      </c>
      <c r="H923" s="84">
        <f t="shared" ca="1" si="190"/>
        <v>0.93474375021574863</v>
      </c>
      <c r="J923" s="85">
        <f t="shared" ca="1" si="178"/>
        <v>16024806.931823596</v>
      </c>
      <c r="K923" s="86">
        <f ca="1">IF(J923&gt;0,MIN(99,$B$12*Q923/(J923*12*(1-Inputs!$H$16))),99)</f>
        <v>38.742114819010631</v>
      </c>
      <c r="L923" s="84">
        <f t="shared" ca="1" si="179"/>
        <v>0.87152339087786168</v>
      </c>
      <c r="M923" s="84">
        <f t="shared" ca="1" si="180"/>
        <v>0.94188458077302717</v>
      </c>
      <c r="N923" s="84">
        <f t="shared" ca="1" si="181"/>
        <v>1.0250717971462691</v>
      </c>
      <c r="O923" s="84">
        <f t="shared" ca="1" si="182"/>
        <v>1.0450630524421853</v>
      </c>
      <c r="P923" s="84">
        <f t="shared" ca="1" si="183"/>
        <v>1.5119820046989392</v>
      </c>
      <c r="Q923" s="84">
        <f t="shared" ca="1" si="184"/>
        <v>1.3620908362253386</v>
      </c>
    </row>
    <row r="924" spans="1:17" ht="15" customHeight="1" x14ac:dyDescent="0.2">
      <c r="A924" s="15">
        <v>885</v>
      </c>
      <c r="B924" s="84">
        <f t="shared" ca="1" si="189"/>
        <v>0.19943285216547113</v>
      </c>
      <c r="C924" s="84">
        <f t="shared" ca="1" si="189"/>
        <v>0.12544491050762185</v>
      </c>
      <c r="D924" s="84">
        <f t="shared" ca="1" si="189"/>
        <v>0.43405147955607659</v>
      </c>
      <c r="F924" s="84">
        <f t="shared" ca="1" si="190"/>
        <v>4.1961531806418928E-2</v>
      </c>
      <c r="G924" s="84">
        <f t="shared" ca="1" si="190"/>
        <v>0.25613703310422475</v>
      </c>
      <c r="H924" s="84">
        <f t="shared" ca="1" si="190"/>
        <v>0.79613290459044894</v>
      </c>
      <c r="J924" s="85">
        <f t="shared" ca="1" si="178"/>
        <v>83130150.218427315</v>
      </c>
      <c r="K924" s="86">
        <f ca="1">IF(J924&gt;0,MIN(99,$B$12*Q924/(J924*12*(1-Inputs!$H$16))),99)</f>
        <v>6.8389509898187351</v>
      </c>
      <c r="L924" s="84">
        <f t="shared" ca="1" si="179"/>
        <v>0.92478716857132826</v>
      </c>
      <c r="M924" s="84">
        <f t="shared" ca="1" si="180"/>
        <v>0.96571419873631248</v>
      </c>
      <c r="N924" s="84">
        <f t="shared" ca="1" si="181"/>
        <v>1.0023669173265712</v>
      </c>
      <c r="O924" s="84">
        <f t="shared" ca="1" si="182"/>
        <v>0.98327867744451369</v>
      </c>
      <c r="P924" s="84">
        <f t="shared" ca="1" si="183"/>
        <v>1.0426226925544988</v>
      </c>
      <c r="Q924" s="84">
        <f t="shared" ca="1" si="184"/>
        <v>1.2473203219899531</v>
      </c>
    </row>
    <row r="925" spans="1:17" ht="15" customHeight="1" x14ac:dyDescent="0.2">
      <c r="A925" s="15">
        <v>886</v>
      </c>
      <c r="B925" s="84">
        <f t="shared" ca="1" si="189"/>
        <v>0.28641729348202383</v>
      </c>
      <c r="C925" s="84">
        <f t="shared" ca="1" si="189"/>
        <v>0.17725248232018953</v>
      </c>
      <c r="D925" s="84">
        <f t="shared" ca="1" si="189"/>
        <v>0.34517834497814681</v>
      </c>
      <c r="F925" s="84">
        <f t="shared" ca="1" si="190"/>
        <v>4.6199620400560582E-2</v>
      </c>
      <c r="G925" s="84">
        <f t="shared" ca="1" si="190"/>
        <v>0.53460224378705667</v>
      </c>
      <c r="H925" s="84">
        <f t="shared" ca="1" si="190"/>
        <v>0.60542632199445701</v>
      </c>
      <c r="J925" s="85">
        <f t="shared" ca="1" si="178"/>
        <v>98094563.272055104</v>
      </c>
      <c r="K925" s="86">
        <f ca="1">IF(J925&gt;0,MIN(99,$B$12*Q925/(J925*12*(1-Inputs!$H$16))),99)</f>
        <v>5.3152279932799376</v>
      </c>
      <c r="L925" s="84">
        <f t="shared" ca="1" si="179"/>
        <v>0.95450472282568966</v>
      </c>
      <c r="M925" s="84">
        <f t="shared" ca="1" si="180"/>
        <v>0.97900949988374686</v>
      </c>
      <c r="N925" s="84">
        <f t="shared" ca="1" si="181"/>
        <v>0.99543521419171432</v>
      </c>
      <c r="O925" s="84">
        <f t="shared" ca="1" si="182"/>
        <v>0.98393875344126569</v>
      </c>
      <c r="P925" s="84">
        <f t="shared" ca="1" si="183"/>
        <v>1.2140488220038133</v>
      </c>
      <c r="Q925" s="84">
        <f t="shared" ca="1" si="184"/>
        <v>1.1439229614025943</v>
      </c>
    </row>
    <row r="926" spans="1:17" ht="15" customHeight="1" x14ac:dyDescent="0.2">
      <c r="A926" s="15">
        <v>887</v>
      </c>
      <c r="B926" s="84">
        <f t="shared" ca="1" si="189"/>
        <v>0.40209773393249504</v>
      </c>
      <c r="C926" s="84">
        <f t="shared" ca="1" si="189"/>
        <v>0.25347327979385881</v>
      </c>
      <c r="D926" s="84">
        <f t="shared" ca="1" si="189"/>
        <v>0.56766563057103958</v>
      </c>
      <c r="F926" s="84">
        <f t="shared" ca="1" si="190"/>
        <v>0.14029577314612862</v>
      </c>
      <c r="G926" s="84">
        <f t="shared" ca="1" si="190"/>
        <v>0.40011614442319454</v>
      </c>
      <c r="H926" s="84">
        <f t="shared" ca="1" si="190"/>
        <v>6.9660478818914573E-2</v>
      </c>
      <c r="J926" s="85">
        <f t="shared" ca="1" si="178"/>
        <v>118960144.50320782</v>
      </c>
      <c r="K926" s="86">
        <f ca="1">IF(J926&gt;0,MIN(99,$B$12*Q926/(J926*12*(1-Inputs!$H$16))),99)</f>
        <v>3.5547322598844255</v>
      </c>
      <c r="L926" s="84">
        <f t="shared" ca="1" si="179"/>
        <v>0.98768755268563713</v>
      </c>
      <c r="M926" s="84">
        <f t="shared" ca="1" si="180"/>
        <v>0.99385512655059582</v>
      </c>
      <c r="N926" s="84">
        <f t="shared" ca="1" si="181"/>
        <v>1.0134556929094662</v>
      </c>
      <c r="O926" s="84">
        <f t="shared" ca="1" si="182"/>
        <v>0.99437486583179879</v>
      </c>
      <c r="P926" s="84">
        <f t="shared" ca="1" si="183"/>
        <v>1.1262590413694906</v>
      </c>
      <c r="Q926" s="84">
        <f t="shared" ca="1" si="184"/>
        <v>0.92776571628809101</v>
      </c>
    </row>
    <row r="927" spans="1:17" ht="15" customHeight="1" x14ac:dyDescent="0.2">
      <c r="A927" s="15">
        <v>888</v>
      </c>
      <c r="B927" s="84">
        <f t="shared" ca="1" si="189"/>
        <v>0.7380083664651611</v>
      </c>
      <c r="C927" s="84">
        <f t="shared" ca="1" si="189"/>
        <v>0.35389026851963834</v>
      </c>
      <c r="D927" s="84">
        <f t="shared" ca="1" si="189"/>
        <v>0.23920862990041392</v>
      </c>
      <c r="F927" s="84">
        <f t="shared" ca="1" si="190"/>
        <v>9.2122809336450895E-2</v>
      </c>
      <c r="G927" s="84">
        <f t="shared" ca="1" si="190"/>
        <v>0.39661441788307161</v>
      </c>
      <c r="H927" s="84">
        <f t="shared" ca="1" si="190"/>
        <v>0.61126168757897315</v>
      </c>
      <c r="J927" s="85">
        <f t="shared" ca="1" si="178"/>
        <v>197157342.59641743</v>
      </c>
      <c r="K927" s="86">
        <f ca="1">IF(J927&gt;0,MIN(99,$B$12*Q927/(J927*12*(1-Inputs!$H$16))),99)</f>
        <v>2.6508720498763263</v>
      </c>
      <c r="L927" s="84">
        <f t="shared" ca="1" si="179"/>
        <v>1.0852005015521897</v>
      </c>
      <c r="M927" s="84">
        <f t="shared" ca="1" si="180"/>
        <v>1.0370484333829055</v>
      </c>
      <c r="N927" s="84">
        <f t="shared" ca="1" si="181"/>
        <v>0.98596918017488944</v>
      </c>
      <c r="O927" s="84">
        <f t="shared" ca="1" si="182"/>
        <v>0.98972997427984677</v>
      </c>
      <c r="P927" s="84">
        <f t="shared" ca="1" si="183"/>
        <v>1.1241125477524214</v>
      </c>
      <c r="Q927" s="84">
        <f t="shared" ca="1" si="184"/>
        <v>1.1466520803861742</v>
      </c>
    </row>
    <row r="928" spans="1:17" ht="15" customHeight="1" x14ac:dyDescent="0.2">
      <c r="A928" s="15">
        <v>889</v>
      </c>
      <c r="B928" s="84">
        <f t="shared" ca="1" si="189"/>
        <v>0.96200282092345124</v>
      </c>
      <c r="C928" s="84">
        <f t="shared" ca="1" si="189"/>
        <v>0.97776404346712142</v>
      </c>
      <c r="D928" s="84">
        <f t="shared" ca="1" si="189"/>
        <v>0.26243050105628418</v>
      </c>
      <c r="F928" s="84">
        <f t="shared" ca="1" si="190"/>
        <v>0.94751630705639012</v>
      </c>
      <c r="G928" s="84">
        <f t="shared" ca="1" si="190"/>
        <v>0.11164501765900792</v>
      </c>
      <c r="H928" s="84">
        <f t="shared" ca="1" si="190"/>
        <v>0.96820773064685162</v>
      </c>
      <c r="J928" s="85">
        <f t="shared" ca="1" si="178"/>
        <v>280425132.23825198</v>
      </c>
      <c r="K928" s="86">
        <f ca="1">IF(J928&gt;0,MIN(99,$B$12*Q928/(J928*12*(1-Inputs!$H$16))),99)</f>
        <v>2.2873098228866144</v>
      </c>
      <c r="L928" s="84">
        <f t="shared" ca="1" si="179"/>
        <v>1.2027185215769249</v>
      </c>
      <c r="M928" s="84">
        <f t="shared" ca="1" si="180"/>
        <v>1.089022543314532</v>
      </c>
      <c r="N928" s="84">
        <f t="shared" ca="1" si="181"/>
        <v>0.98819939651858457</v>
      </c>
      <c r="O928" s="84">
        <f t="shared" ca="1" si="182"/>
        <v>1.0829696645414451</v>
      </c>
      <c r="P928" s="84">
        <f t="shared" ca="1" si="183"/>
        <v>0.96194246775514369</v>
      </c>
      <c r="Q928" s="84">
        <f t="shared" ca="1" si="184"/>
        <v>1.4072519846834084</v>
      </c>
    </row>
    <row r="929" spans="1:17" ht="15" customHeight="1" x14ac:dyDescent="0.2">
      <c r="A929" s="15">
        <v>890</v>
      </c>
      <c r="B929" s="84">
        <f t="shared" ca="1" si="189"/>
        <v>0.63096602872328511</v>
      </c>
      <c r="C929" s="84">
        <f t="shared" ca="1" si="189"/>
        <v>0.6646225525194206</v>
      </c>
      <c r="D929" s="84">
        <f t="shared" ca="1" si="189"/>
        <v>0.12944491697823235</v>
      </c>
      <c r="F929" s="84">
        <f t="shared" ca="1" si="190"/>
        <v>0.64731081505893451</v>
      </c>
      <c r="G929" s="84">
        <f t="shared" ca="1" si="190"/>
        <v>0.24458498942194884</v>
      </c>
      <c r="H929" s="84">
        <f t="shared" ca="1" si="190"/>
        <v>0.42631742929528826</v>
      </c>
      <c r="J929" s="85">
        <f t="shared" ca="1" si="178"/>
        <v>168783862.18986493</v>
      </c>
      <c r="K929" s="86">
        <f ca="1">IF(J929&gt;0,MIN(99,$B$12*Q929/(J929*12*(1-Inputs!$H$16))),99)</f>
        <v>2.8847841306577653</v>
      </c>
      <c r="L929" s="84">
        <f t="shared" ca="1" si="179"/>
        <v>1.0497397703753539</v>
      </c>
      <c r="M929" s="84">
        <f t="shared" ca="1" si="180"/>
        <v>1.0213653922624646</v>
      </c>
      <c r="N929" s="84">
        <f t="shared" ca="1" si="181"/>
        <v>0.97353378631451015</v>
      </c>
      <c r="O929" s="84">
        <f t="shared" ca="1" si="182"/>
        <v>1.0370088524489696</v>
      </c>
      <c r="P929" s="84">
        <f t="shared" ca="1" si="183"/>
        <v>1.0362788949092647</v>
      </c>
      <c r="Q929" s="84">
        <f t="shared" ca="1" si="184"/>
        <v>1.0682531500164292</v>
      </c>
    </row>
    <row r="930" spans="1:17" ht="15" customHeight="1" x14ac:dyDescent="0.2">
      <c r="A930" s="15">
        <v>891</v>
      </c>
      <c r="B930" s="84">
        <f t="shared" ca="1" si="189"/>
        <v>0.12303095004603637</v>
      </c>
      <c r="C930" s="84">
        <f t="shared" ca="1" si="189"/>
        <v>0.63318816250436627</v>
      </c>
      <c r="D930" s="84">
        <f t="shared" ca="1" si="189"/>
        <v>0.54944812083796635</v>
      </c>
      <c r="F930" s="84">
        <f t="shared" ca="1" si="190"/>
        <v>0.98719161988773152</v>
      </c>
      <c r="G930" s="84">
        <f t="shared" ca="1" si="190"/>
        <v>0.31814578116196723</v>
      </c>
      <c r="H930" s="84">
        <f t="shared" ca="1" si="190"/>
        <v>0.83799570311996896</v>
      </c>
      <c r="J930" s="85">
        <f t="shared" ca="1" si="178"/>
        <v>39715727.183945104</v>
      </c>
      <c r="K930" s="86">
        <f ca="1">IF(J930&gt;0,MIN(99,$B$12*Q930/(J930*12*(1-Inputs!$H$16))),99)</f>
        <v>14.64411808789213</v>
      </c>
      <c r="L930" s="84">
        <f t="shared" ca="1" si="179"/>
        <v>0.89264770240076552</v>
      </c>
      <c r="M930" s="84">
        <f t="shared" ca="1" si="180"/>
        <v>0.95133536130581642</v>
      </c>
      <c r="N930" s="84">
        <f t="shared" ca="1" si="181"/>
        <v>1.0118515664652856</v>
      </c>
      <c r="O930" s="84">
        <f t="shared" ca="1" si="182"/>
        <v>1.0975748740631497</v>
      </c>
      <c r="P930" s="84">
        <f t="shared" ca="1" si="183"/>
        <v>1.0775501837492336</v>
      </c>
      <c r="Q930" s="84">
        <f t="shared" ca="1" si="184"/>
        <v>1.2760147144139222</v>
      </c>
    </row>
    <row r="931" spans="1:17" ht="15" customHeight="1" x14ac:dyDescent="0.2">
      <c r="A931" s="15">
        <v>892</v>
      </c>
      <c r="B931" s="84">
        <f t="shared" ca="1" si="189"/>
        <v>0.23856906544161194</v>
      </c>
      <c r="C931" s="84">
        <f t="shared" ca="1" si="189"/>
        <v>0.72040001177040103</v>
      </c>
      <c r="D931" s="84">
        <f t="shared" ca="1" si="189"/>
        <v>0.60049331614000834</v>
      </c>
      <c r="F931" s="84">
        <f t="shared" ca="1" si="190"/>
        <v>0.88128518715076276</v>
      </c>
      <c r="G931" s="84">
        <f t="shared" ca="1" si="190"/>
        <v>0.69670460833720427</v>
      </c>
      <c r="H931" s="84">
        <f t="shared" ca="1" si="190"/>
        <v>0.39539494130480923</v>
      </c>
      <c r="J931" s="85">
        <f t="shared" ca="1" si="178"/>
        <v>64323660.493938103</v>
      </c>
      <c r="K931" s="86">
        <f ca="1">IF(J931&gt;0,MIN(99,$B$12*Q931/(J931*12*(1-Inputs!$H$16))),99)</f>
        <v>7.4860486227929046</v>
      </c>
      <c r="L931" s="84">
        <f t="shared" ca="1" si="179"/>
        <v>0.93882618796206341</v>
      </c>
      <c r="M931" s="84">
        <f t="shared" ca="1" si="180"/>
        <v>0.97199509887422009</v>
      </c>
      <c r="N931" s="84">
        <f t="shared" ca="1" si="181"/>
        <v>1.0164340964048455</v>
      </c>
      <c r="O931" s="84">
        <f t="shared" ca="1" si="182"/>
        <v>1.0684226797504</v>
      </c>
      <c r="P931" s="84">
        <f t="shared" ca="1" si="183"/>
        <v>1.3390737610533594</v>
      </c>
      <c r="Q931" s="84">
        <f t="shared" ca="1" si="184"/>
        <v>1.0564606755668275</v>
      </c>
    </row>
    <row r="932" spans="1:17" ht="15" customHeight="1" x14ac:dyDescent="0.2">
      <c r="A932" s="15">
        <v>893</v>
      </c>
      <c r="B932" s="84">
        <f t="shared" ca="1" si="189"/>
        <v>0.96043469518566071</v>
      </c>
      <c r="C932" s="84">
        <f t="shared" ca="1" si="189"/>
        <v>0.87048754195409606</v>
      </c>
      <c r="D932" s="84">
        <f t="shared" ca="1" si="189"/>
        <v>4.7073972594684821E-2</v>
      </c>
      <c r="F932" s="84">
        <f t="shared" ca="1" si="190"/>
        <v>0.71350192738112461</v>
      </c>
      <c r="G932" s="84">
        <f t="shared" ca="1" si="190"/>
        <v>0.97843777184484282</v>
      </c>
      <c r="H932" s="84">
        <f t="shared" ca="1" si="190"/>
        <v>0.66643511795563515</v>
      </c>
      <c r="J932" s="85">
        <f t="shared" ca="1" si="178"/>
        <v>264231864.78265518</v>
      </c>
      <c r="K932" s="86">
        <f ca="1">IF(J932&gt;0,MIN(99,$B$12*Q932/(J932*12*(1-Inputs!$H$16))),99)</f>
        <v>2.0243420389550226</v>
      </c>
      <c r="L932" s="84">
        <f t="shared" ca="1" si="179"/>
        <v>1.2012420891566764</v>
      </c>
      <c r="M932" s="84">
        <f t="shared" ca="1" si="180"/>
        <v>1.0883695688949455</v>
      </c>
      <c r="N932" s="84">
        <f t="shared" ca="1" si="181"/>
        <v>0.95979872623638107</v>
      </c>
      <c r="O932" s="84">
        <f t="shared" ca="1" si="182"/>
        <v>1.0443948301261876</v>
      </c>
      <c r="P932" s="84">
        <f t="shared" ca="1" si="183"/>
        <v>1.7231324714040959</v>
      </c>
      <c r="Q932" s="84">
        <f t="shared" ca="1" si="184"/>
        <v>1.1735430485427074</v>
      </c>
    </row>
    <row r="933" spans="1:17" ht="15" customHeight="1" x14ac:dyDescent="0.2">
      <c r="A933" s="15">
        <v>894</v>
      </c>
      <c r="B933" s="84">
        <f t="shared" ca="1" si="189"/>
        <v>0.73834921571393219</v>
      </c>
      <c r="C933" s="84">
        <f t="shared" ca="1" si="189"/>
        <v>0.81396424813165558</v>
      </c>
      <c r="D933" s="84">
        <f t="shared" ca="1" si="189"/>
        <v>0.68045780715951032</v>
      </c>
      <c r="F933" s="84">
        <f t="shared" ca="1" si="190"/>
        <v>0.59288515930243879</v>
      </c>
      <c r="G933" s="84">
        <f t="shared" ca="1" si="190"/>
        <v>0.44449000487358892</v>
      </c>
      <c r="H933" s="84">
        <f t="shared" ca="1" si="190"/>
        <v>0.68814263812055754</v>
      </c>
      <c r="J933" s="85">
        <f t="shared" ca="1" si="178"/>
        <v>180219204.98095953</v>
      </c>
      <c r="K933" s="86">
        <f ca="1">IF(J933&gt;0,MIN(99,$B$12*Q933/(J933*12*(1-Inputs!$H$16))),99)</f>
        <v>2.9963184339976516</v>
      </c>
      <c r="L933" s="84">
        <f t="shared" ca="1" si="179"/>
        <v>1.0853240056324092</v>
      </c>
      <c r="M933" s="84">
        <f t="shared" ca="1" si="180"/>
        <v>1.0371030549178921</v>
      </c>
      <c r="N933" s="84">
        <f t="shared" ca="1" si="181"/>
        <v>1.0242480592001195</v>
      </c>
      <c r="O933" s="84">
        <f t="shared" ca="1" si="182"/>
        <v>1.0314425113364385</v>
      </c>
      <c r="P933" s="84">
        <f t="shared" ca="1" si="183"/>
        <v>1.154022314268242</v>
      </c>
      <c r="Q933" s="84">
        <f t="shared" ca="1" si="184"/>
        <v>1.1847288848118782</v>
      </c>
    </row>
    <row r="934" spans="1:17" ht="15" customHeight="1" x14ac:dyDescent="0.2">
      <c r="A934" s="15">
        <v>895</v>
      </c>
      <c r="B934" s="84">
        <f t="shared" ca="1" si="189"/>
        <v>0.47030254763120705</v>
      </c>
      <c r="C934" s="84">
        <f t="shared" ca="1" si="189"/>
        <v>4.9717834942512584E-2</v>
      </c>
      <c r="D934" s="84">
        <f t="shared" ca="1" si="189"/>
        <v>0.42092316141899866</v>
      </c>
      <c r="F934" s="84">
        <f t="shared" ca="1" si="190"/>
        <v>0.23828242809060096</v>
      </c>
      <c r="G934" s="84">
        <f t="shared" ca="1" si="190"/>
        <v>0.11264083440193462</v>
      </c>
      <c r="H934" s="84">
        <f t="shared" ca="1" si="190"/>
        <v>9.3385643573356547E-2</v>
      </c>
      <c r="J934" s="85">
        <f t="shared" ca="1" si="178"/>
        <v>138829267.33028787</v>
      </c>
      <c r="K934" s="86">
        <f ca="1">IF(J934&gt;0,MIN(99,$B$12*Q934/(J934*12*(1-Inputs!$H$16))),99)</f>
        <v>3.090490904556833</v>
      </c>
      <c r="L934" s="84">
        <f t="shared" ca="1" si="179"/>
        <v>1.005123362069428</v>
      </c>
      <c r="M934" s="84">
        <f t="shared" ca="1" si="180"/>
        <v>1.0016331153779627</v>
      </c>
      <c r="N934" s="84">
        <f t="shared" ca="1" si="181"/>
        <v>1.0013518671201393</v>
      </c>
      <c r="O934" s="84">
        <f t="shared" ca="1" si="182"/>
        <v>1.0018704055552754</v>
      </c>
      <c r="P934" s="84">
        <f t="shared" ca="1" si="183"/>
        <v>0.96259772673871169</v>
      </c>
      <c r="Q934" s="84">
        <f t="shared" ca="1" si="184"/>
        <v>0.94132250722298449</v>
      </c>
    </row>
    <row r="935" spans="1:17" ht="15" customHeight="1" x14ac:dyDescent="0.2">
      <c r="A935" s="15">
        <v>896</v>
      </c>
      <c r="B935" s="84">
        <f t="shared" ca="1" si="189"/>
        <v>0.19756831273681352</v>
      </c>
      <c r="C935" s="84">
        <f t="shared" ca="1" si="189"/>
        <v>0.84398519295257657</v>
      </c>
      <c r="D935" s="84">
        <f t="shared" ca="1" si="189"/>
        <v>0.4505178786280406</v>
      </c>
      <c r="F935" s="84">
        <f t="shared" ca="1" si="190"/>
        <v>0.66305013640044996</v>
      </c>
      <c r="G935" s="84">
        <f t="shared" ca="1" si="190"/>
        <v>0.8461634198021406</v>
      </c>
      <c r="H935" s="84">
        <f t="shared" ca="1" si="190"/>
        <v>0.45381254384488334</v>
      </c>
      <c r="J935" s="85">
        <f t="shared" ca="1" si="178"/>
        <v>56262979.968607292</v>
      </c>
      <c r="K935" s="86">
        <f ca="1">IF(J935&gt;0,MIN(99,$B$12*Q935/(J935*12*(1-Inputs!$H$16))),99)</f>
        <v>8.7412226115801914</v>
      </c>
      <c r="L935" s="84">
        <f t="shared" ca="1" si="179"/>
        <v>0.92408532852997816</v>
      </c>
      <c r="M935" s="84">
        <f t="shared" ca="1" si="180"/>
        <v>0.96540020335744625</v>
      </c>
      <c r="N935" s="84">
        <f t="shared" ca="1" si="181"/>
        <v>1.0036568529304288</v>
      </c>
      <c r="O935" s="84">
        <f t="shared" ca="1" si="182"/>
        <v>1.0386975085724044</v>
      </c>
      <c r="P935" s="84">
        <f t="shared" ca="1" si="183"/>
        <v>1.4897967812641109</v>
      </c>
      <c r="Q935" s="84">
        <f t="shared" ca="1" si="184"/>
        <v>1.079008467374541</v>
      </c>
    </row>
    <row r="936" spans="1:17" ht="15" customHeight="1" x14ac:dyDescent="0.2">
      <c r="A936" s="15">
        <v>897</v>
      </c>
      <c r="B936" s="84">
        <f t="shared" ca="1" si="189"/>
        <v>0.2978811231298526</v>
      </c>
      <c r="C936" s="84">
        <f t="shared" ca="1" si="189"/>
        <v>0.44930322318581573</v>
      </c>
      <c r="D936" s="84">
        <f t="shared" ca="1" si="189"/>
        <v>0.50298522889518826</v>
      </c>
      <c r="F936" s="84">
        <f t="shared" ca="1" si="190"/>
        <v>0.31654126852519915</v>
      </c>
      <c r="G936" s="84">
        <f t="shared" ca="1" si="190"/>
        <v>0.2313826863130054</v>
      </c>
      <c r="H936" s="84">
        <f t="shared" ca="1" si="190"/>
        <v>1.0692137640514687E-2</v>
      </c>
      <c r="J936" s="85">
        <f t="shared" ref="J936:J999" ca="1" si="191">$B$5*L936*M936-$B$6*L936*N936-$B$7*L936*M936-$B$8*L936*M936-$B$9*O936-$B$10*P936-$B$11</f>
        <v>100998197.61231194</v>
      </c>
      <c r="K936" s="86">
        <f ca="1">IF(J936&gt;0,MIN(99,$B$12*Q936/(J936*12*(1-Inputs!$H$16))),99)</f>
        <v>3.9511600653141867</v>
      </c>
      <c r="L936" s="84">
        <f t="shared" ref="L936:L999" ca="1" si="192">IF($D$16=$B$16,$C$16,IF(B936&lt;($C$16-$B$16)/($D$16-$B$16),$B$16+SQRT(B936*($D$16-$B$16)*($C$16-$B$16)),$D$16-SQRT((1-B936)*($D$16-$B$16)*($D$16-$C$16))))</f>
        <v>0.95806181019565062</v>
      </c>
      <c r="M936" s="84">
        <f t="shared" ref="M936:M999" ca="1" si="193">IF($D$17=$B$17,$C$17,IF(IF($B$33=1,B936,C936)&lt;($C$17-$B$17)/($D$17-$B$17),$B$17+SQRT(IF($B$33=1,B936,C936)*($D$17-$B$17)*($C$17-$B$17)),$D$17-SQRT((1-IF($B$33=1,B936,C936))*($D$17-$B$17)*($D$17-$C$17))))</f>
        <v>0.98060090095890173</v>
      </c>
      <c r="N936" s="84">
        <f t="shared" ref="N936:N999" ca="1" si="194">IF($D$18=$B$18,$C$18,IF(D936&lt;($C$18-$B$18)/($D$18-$B$18),$B$18+SQRT(D936*($D$18-$B$18)*($C$18-$B$18)),$D$18-SQRT((1-D936)*($D$18-$B$18)*($D$18-$C$18))))</f>
        <v>1.0079014414354588</v>
      </c>
      <c r="O936" s="84">
        <f t="shared" ref="O936:O999" ca="1" si="195">IF($D$19=$B$19,$C$19,IF(F936&lt;($C$19-$B$19)/($D$19-$B$19),$B$19+SQRT(F936*($D$19-$B$19)*($C$19-$B$19)),$D$19-SQRT((1-F936)*($D$19-$B$19)*($D$19-$C$19))))</f>
        <v>1.0076723052538272</v>
      </c>
      <c r="P936" s="84">
        <f t="shared" ref="P936:P999" ca="1" si="196">IF($D$20=$B$20,$C$20,IF(G936&lt;($C$20-$B$20)/($D$20-$B$20),$B$20+SQRT(G936*($D$20-$B$20)*($C$20-$B$20)),$D$20-SQRT((1-G936)*($D$20-$B$20)*($D$20-$C$20))))</f>
        <v>1.0290879652418568</v>
      </c>
      <c r="Q936" s="84">
        <f t="shared" ref="Q936:Q999" ca="1" si="197">IF($D$21=$B$21,$C$21,IF(H936&lt;($C$21-$B$21)/($D$21-$B$21),$B$21+SQRT(H936*($D$21-$B$21)*($C$21-$B$21)),$D$21-SQRT((1-H936)*($D$21-$B$21)*($D$21-$C$21))))</f>
        <v>0.87552426845249798</v>
      </c>
    </row>
    <row r="937" spans="1:17" ht="15" customHeight="1" x14ac:dyDescent="0.2">
      <c r="A937" s="15">
        <v>898</v>
      </c>
      <c r="B937" s="84">
        <f t="shared" ca="1" si="189"/>
        <v>0.40896524089341257</v>
      </c>
      <c r="C937" s="84">
        <f t="shared" ca="1" si="189"/>
        <v>0.45024441913942448</v>
      </c>
      <c r="D937" s="84">
        <f t="shared" ca="1" si="189"/>
        <v>0.52522187479056082</v>
      </c>
      <c r="F937" s="84">
        <f t="shared" ca="1" si="190"/>
        <v>1.147660231118619E-2</v>
      </c>
      <c r="G937" s="84">
        <f t="shared" ca="1" si="190"/>
        <v>0.89277189723411632</v>
      </c>
      <c r="H937" s="84">
        <f t="shared" ca="1" si="190"/>
        <v>5.9114185947918396E-2</v>
      </c>
      <c r="J937" s="85">
        <f t="shared" ca="1" si="191"/>
        <v>107876462.31513284</v>
      </c>
      <c r="K937" s="86">
        <f ca="1">IF(J937&gt;0,MIN(99,$B$12*Q937/(J937*12*(1-Inputs!$H$16))),99)</f>
        <v>3.8913623249886466</v>
      </c>
      <c r="L937" s="84">
        <f t="shared" ca="1" si="192"/>
        <v>0.98949612956999689</v>
      </c>
      <c r="M937" s="84">
        <f t="shared" ca="1" si="193"/>
        <v>0.9946642636054166</v>
      </c>
      <c r="N937" s="84">
        <f t="shared" ca="1" si="194"/>
        <v>1.0097677768499655</v>
      </c>
      <c r="O937" s="84">
        <f t="shared" ca="1" si="195"/>
        <v>0.97688988611348782</v>
      </c>
      <c r="P937" s="84">
        <f t="shared" ca="1" si="196"/>
        <v>1.5513811639930688</v>
      </c>
      <c r="Q937" s="84">
        <f t="shared" ca="1" si="197"/>
        <v>0.92099719417848802</v>
      </c>
    </row>
    <row r="938" spans="1:17" ht="15" customHeight="1" x14ac:dyDescent="0.2">
      <c r="A938" s="15">
        <v>899</v>
      </c>
      <c r="B938" s="84">
        <f t="shared" ca="1" si="189"/>
        <v>0.37501175464661907</v>
      </c>
      <c r="C938" s="84">
        <f t="shared" ca="1" si="189"/>
        <v>0.16202066167295481</v>
      </c>
      <c r="D938" s="84">
        <f t="shared" ca="1" si="189"/>
        <v>0.10512704875615864</v>
      </c>
      <c r="F938" s="84">
        <f t="shared" ca="1" si="190"/>
        <v>7.5604206181525524E-2</v>
      </c>
      <c r="G938" s="84">
        <f t="shared" ca="1" si="190"/>
        <v>2.8470555518740559E-2</v>
      </c>
      <c r="H938" s="84">
        <f t="shared" ca="1" si="190"/>
        <v>0.72857336474111289</v>
      </c>
      <c r="J938" s="85">
        <f t="shared" ca="1" si="191"/>
        <v>133046894.85210116</v>
      </c>
      <c r="K938" s="86">
        <f ca="1">IF(J938&gt;0,MIN(99,$B$12*Q938/(J938*12*(1-Inputs!$H$16))),99)</f>
        <v>4.1337884621658683</v>
      </c>
      <c r="L938" s="84">
        <f t="shared" ca="1" si="192"/>
        <v>0.98039917818176547</v>
      </c>
      <c r="M938" s="84">
        <f t="shared" ca="1" si="193"/>
        <v>0.99059438937569733</v>
      </c>
      <c r="N938" s="84">
        <f t="shared" ca="1" si="194"/>
        <v>0.97011476106982242</v>
      </c>
      <c r="O938" s="84">
        <f t="shared" ca="1" si="195"/>
        <v>0.98786300463716825</v>
      </c>
      <c r="P938" s="84">
        <f t="shared" ca="1" si="196"/>
        <v>0.88904933017636101</v>
      </c>
      <c r="Q938" s="84">
        <f t="shared" ca="1" si="197"/>
        <v>1.2066544901248613</v>
      </c>
    </row>
    <row r="939" spans="1:17" ht="15" customHeight="1" x14ac:dyDescent="0.2">
      <c r="A939" s="15">
        <v>900</v>
      </c>
      <c r="B939" s="84">
        <f t="shared" ca="1" si="189"/>
        <v>0.33046887295103777</v>
      </c>
      <c r="C939" s="84">
        <f t="shared" ca="1" si="189"/>
        <v>0.24007372060570842</v>
      </c>
      <c r="D939" s="84">
        <f t="shared" ca="1" si="189"/>
        <v>0.21834724476582001</v>
      </c>
      <c r="F939" s="84">
        <f t="shared" ca="1" si="190"/>
        <v>0.9557341001429962</v>
      </c>
      <c r="G939" s="84">
        <f t="shared" ca="1" si="190"/>
        <v>0.20033762800138866</v>
      </c>
      <c r="H939" s="84">
        <f t="shared" ca="1" si="190"/>
        <v>0.29599354804757161</v>
      </c>
      <c r="J939" s="85">
        <f t="shared" ca="1" si="191"/>
        <v>100395918.24449633</v>
      </c>
      <c r="K939" s="86">
        <f ca="1">IF(J939&gt;0,MIN(99,$B$12*Q939/(J939*12*(1-Inputs!$H$16))),99)</f>
        <v>4.6329028523311973</v>
      </c>
      <c r="L939" s="84">
        <f t="shared" ca="1" si="192"/>
        <v>0.96781532150478022</v>
      </c>
      <c r="M939" s="84">
        <f t="shared" ca="1" si="193"/>
        <v>0.98496451274841346</v>
      </c>
      <c r="N939" s="84">
        <f t="shared" ca="1" si="194"/>
        <v>0.98387138506953686</v>
      </c>
      <c r="O939" s="84">
        <f t="shared" ca="1" si="195"/>
        <v>1.0853255881687836</v>
      </c>
      <c r="P939" s="84">
        <f t="shared" ca="1" si="196"/>
        <v>1.012418166574554</v>
      </c>
      <c r="Q939" s="84">
        <f t="shared" ca="1" si="197"/>
        <v>1.0204675315023679</v>
      </c>
    </row>
    <row r="940" spans="1:17" ht="15" customHeight="1" x14ac:dyDescent="0.2">
      <c r="A940" s="15">
        <v>901</v>
      </c>
      <c r="B940" s="84">
        <f t="shared" ref="B940:D959" ca="1" si="198">RAND()</f>
        <v>0.36610668959446557</v>
      </c>
      <c r="C940" s="84">
        <f t="shared" ca="1" si="198"/>
        <v>0.59589440060828158</v>
      </c>
      <c r="D940" s="84">
        <f t="shared" ca="1" si="198"/>
        <v>0.31498748827472955</v>
      </c>
      <c r="F940" s="84">
        <f t="shared" ref="F940:H959" ca="1" si="199">RAND()</f>
        <v>0.70506513723749331</v>
      </c>
      <c r="G940" s="84">
        <f t="shared" ca="1" si="199"/>
        <v>9.8502022804327627E-2</v>
      </c>
      <c r="H940" s="84">
        <f t="shared" ca="1" si="199"/>
        <v>0.35826632770581401</v>
      </c>
      <c r="J940" s="85">
        <f t="shared" ca="1" si="191"/>
        <v>114829149.1824377</v>
      </c>
      <c r="K940" s="86">
        <f ca="1">IF(J940&gt;0,MIN(99,$B$12*Q940/(J940*12*(1-Inputs!$H$16))),99)</f>
        <v>4.1387996984028232</v>
      </c>
      <c r="L940" s="84">
        <f t="shared" ca="1" si="192"/>
        <v>0.97794581192864605</v>
      </c>
      <c r="M940" s="84">
        <f t="shared" ca="1" si="193"/>
        <v>0.98949678077436409</v>
      </c>
      <c r="N940" s="84">
        <f t="shared" ca="1" si="194"/>
        <v>0.99290771165232139</v>
      </c>
      <c r="O940" s="84">
        <f t="shared" ca="1" si="195"/>
        <v>1.043409057576653</v>
      </c>
      <c r="P940" s="84">
        <f t="shared" ca="1" si="196"/>
        <v>0.95300367676570963</v>
      </c>
      <c r="Q940" s="84">
        <f t="shared" ca="1" si="197"/>
        <v>1.0426930940922894</v>
      </c>
    </row>
    <row r="941" spans="1:17" ht="15" customHeight="1" x14ac:dyDescent="0.2">
      <c r="A941" s="15">
        <v>902</v>
      </c>
      <c r="B941" s="84">
        <f t="shared" ca="1" si="198"/>
        <v>0.97848256100636877</v>
      </c>
      <c r="C941" s="84">
        <f t="shared" ca="1" si="198"/>
        <v>0.6536623080604641</v>
      </c>
      <c r="D941" s="84">
        <f t="shared" ca="1" si="198"/>
        <v>0.29597947553470327</v>
      </c>
      <c r="F941" s="84">
        <f t="shared" ca="1" si="199"/>
        <v>0.5323084570071962</v>
      </c>
      <c r="G941" s="84">
        <f t="shared" ca="1" si="199"/>
        <v>0.4958588821000518</v>
      </c>
      <c r="H941" s="84">
        <f t="shared" ca="1" si="199"/>
        <v>0.35547863827783355</v>
      </c>
      <c r="J941" s="85">
        <f t="shared" ca="1" si="191"/>
        <v>295540338.3250981</v>
      </c>
      <c r="K941" s="86">
        <f ca="1">IF(J941&gt;0,MIN(99,$B$12*Q941/(J941*12*(1-Inputs!$H$16))),99)</f>
        <v>1.6065188110465063</v>
      </c>
      <c r="L941" s="84">
        <f t="shared" ca="1" si="192"/>
        <v>1.2206065457832995</v>
      </c>
      <c r="M941" s="84">
        <f t="shared" ca="1" si="193"/>
        <v>1.0969337907671868</v>
      </c>
      <c r="N941" s="84">
        <f t="shared" ca="1" si="194"/>
        <v>0.99125381078954244</v>
      </c>
      <c r="O941" s="84">
        <f t="shared" ca="1" si="195"/>
        <v>1.0256688901427087</v>
      </c>
      <c r="P941" s="84">
        <f t="shared" ca="1" si="196"/>
        <v>1.1875863882310425</v>
      </c>
      <c r="Q941" s="84">
        <f t="shared" ca="1" si="197"/>
        <v>1.041675675020258</v>
      </c>
    </row>
    <row r="942" spans="1:17" ht="15" customHeight="1" x14ac:dyDescent="0.2">
      <c r="A942" s="15">
        <v>903</v>
      </c>
      <c r="B942" s="84">
        <f t="shared" ca="1" si="198"/>
        <v>0.87017397836436372</v>
      </c>
      <c r="C942" s="84">
        <f t="shared" ca="1" si="198"/>
        <v>0.59892423530273498</v>
      </c>
      <c r="D942" s="84">
        <f t="shared" ca="1" si="198"/>
        <v>0.96814996650200857</v>
      </c>
      <c r="F942" s="84">
        <f t="shared" ca="1" si="199"/>
        <v>0.92128677223130329</v>
      </c>
      <c r="G942" s="84">
        <f t="shared" ca="1" si="199"/>
        <v>0.98048954029323676</v>
      </c>
      <c r="H942" s="84">
        <f t="shared" ca="1" si="199"/>
        <v>0.32284526269444946</v>
      </c>
      <c r="J942" s="85">
        <f t="shared" ca="1" si="191"/>
        <v>182900046.70220506</v>
      </c>
      <c r="K942" s="86">
        <f ca="1">IF(J942&gt;0,MIN(99,$B$12*Q942/(J942*12*(1-Inputs!$H$16))),99)</f>
        <v>2.5666223578235137</v>
      </c>
      <c r="L942" s="84">
        <f t="shared" ca="1" si="192"/>
        <v>1.1413920736823597</v>
      </c>
      <c r="M942" s="84">
        <f t="shared" ca="1" si="193"/>
        <v>1.0619000003724588</v>
      </c>
      <c r="N942" s="84">
        <f t="shared" ca="1" si="194"/>
        <v>1.0695062291905446</v>
      </c>
      <c r="O942" s="84">
        <f t="shared" ca="1" si="195"/>
        <v>1.0764852655113659</v>
      </c>
      <c r="P942" s="84">
        <f t="shared" ca="1" si="196"/>
        <v>1.7299419794759292</v>
      </c>
      <c r="Q942" s="84">
        <f t="shared" ca="1" si="197"/>
        <v>1.0299253099644685</v>
      </c>
    </row>
    <row r="943" spans="1:17" ht="15" customHeight="1" x14ac:dyDescent="0.2">
      <c r="A943" s="15">
        <v>904</v>
      </c>
      <c r="B943" s="84">
        <f t="shared" ca="1" si="198"/>
        <v>0.99864789538246812</v>
      </c>
      <c r="C943" s="84">
        <f t="shared" ca="1" si="198"/>
        <v>0.49130634764139824</v>
      </c>
      <c r="D943" s="84">
        <f t="shared" ca="1" si="198"/>
        <v>0.2078427730239909</v>
      </c>
      <c r="F943" s="84">
        <f t="shared" ca="1" si="199"/>
        <v>0.3716577880934786</v>
      </c>
      <c r="G943" s="84">
        <f t="shared" ca="1" si="199"/>
        <v>0.26688888687992229</v>
      </c>
      <c r="H943" s="84">
        <f t="shared" ca="1" si="199"/>
        <v>0.15281933104191303</v>
      </c>
      <c r="J943" s="85">
        <f t="shared" ca="1" si="191"/>
        <v>339929329.61113685</v>
      </c>
      <c r="K943" s="86">
        <f ca="1">IF(J943&gt;0,MIN(99,$B$12*Q943/(J943*12*(1-Inputs!$H$16))),99)</f>
        <v>1.2994102834579737</v>
      </c>
      <c r="L943" s="84">
        <f t="shared" ca="1" si="192"/>
        <v>1.2613649574657562</v>
      </c>
      <c r="M943" s="84">
        <f t="shared" ca="1" si="193"/>
        <v>1.1149598106829122</v>
      </c>
      <c r="N943" s="84">
        <f t="shared" ca="1" si="194"/>
        <v>0.98277708953798015</v>
      </c>
      <c r="O943" s="84">
        <f t="shared" ca="1" si="195"/>
        <v>1.0119605698171712</v>
      </c>
      <c r="P943" s="84">
        <f t="shared" ca="1" si="196"/>
        <v>1.0485714758181151</v>
      </c>
      <c r="Q943" s="84">
        <f t="shared" ca="1" si="197"/>
        <v>0.96909171037179698</v>
      </c>
    </row>
    <row r="944" spans="1:17" ht="15" customHeight="1" x14ac:dyDescent="0.2">
      <c r="A944" s="15">
        <v>905</v>
      </c>
      <c r="B944" s="84">
        <f t="shared" ca="1" si="198"/>
        <v>0.39181278013918586</v>
      </c>
      <c r="C944" s="84">
        <f t="shared" ca="1" si="198"/>
        <v>4.7214755055450586E-2</v>
      </c>
      <c r="D944" s="84">
        <f t="shared" ca="1" si="198"/>
        <v>0.41201037445127742</v>
      </c>
      <c r="F944" s="84">
        <f t="shared" ca="1" si="199"/>
        <v>0.35583506412056465</v>
      </c>
      <c r="G944" s="84">
        <f t="shared" ca="1" si="199"/>
        <v>0.98217807812008717</v>
      </c>
      <c r="H944" s="84">
        <f t="shared" ca="1" si="199"/>
        <v>9.5617697159374071E-2</v>
      </c>
      <c r="J944" s="85">
        <f t="shared" ca="1" si="191"/>
        <v>93997083.748870179</v>
      </c>
      <c r="K944" s="86">
        <f ca="1">IF(J944&gt;0,MIN(99,$B$12*Q944/(J944*12*(1-Inputs!$H$16))),99)</f>
        <v>4.5702385466277802</v>
      </c>
      <c r="L944" s="84">
        <f t="shared" ca="1" si="192"/>
        <v>0.98494984583385237</v>
      </c>
      <c r="M944" s="84">
        <f t="shared" ca="1" si="193"/>
        <v>0.99263030714801892</v>
      </c>
      <c r="N944" s="84">
        <f t="shared" ca="1" si="194"/>
        <v>1.0006692962582999</v>
      </c>
      <c r="O944" s="84">
        <f t="shared" ca="1" si="195"/>
        <v>1.0107108939369869</v>
      </c>
      <c r="P944" s="84">
        <f t="shared" ca="1" si="196"/>
        <v>1.7358196798700216</v>
      </c>
      <c r="Q944" s="84">
        <f t="shared" ca="1" si="197"/>
        <v>0.9425039743888558</v>
      </c>
    </row>
    <row r="945" spans="1:17" ht="15" customHeight="1" x14ac:dyDescent="0.2">
      <c r="A945" s="15">
        <v>906</v>
      </c>
      <c r="B945" s="84">
        <f t="shared" ca="1" si="198"/>
        <v>0.93058629406908233</v>
      </c>
      <c r="C945" s="84">
        <f t="shared" ca="1" si="198"/>
        <v>0.62188444927950171</v>
      </c>
      <c r="D945" s="84">
        <f t="shared" ca="1" si="198"/>
        <v>0.82551970183144052</v>
      </c>
      <c r="F945" s="84">
        <f t="shared" ca="1" si="199"/>
        <v>0.83625063091315921</v>
      </c>
      <c r="G945" s="84">
        <f t="shared" ca="1" si="199"/>
        <v>0.65092766548080383</v>
      </c>
      <c r="H945" s="84">
        <f t="shared" ca="1" si="199"/>
        <v>0.28951163489525222</v>
      </c>
      <c r="J945" s="85">
        <f t="shared" ca="1" si="191"/>
        <v>236980538.38082772</v>
      </c>
      <c r="K945" s="86">
        <f ca="1">IF(J945&gt;0,MIN(99,$B$12*Q945/(J945*12*(1-Inputs!$H$16))),99)</f>
        <v>1.958373054122736</v>
      </c>
      <c r="L945" s="84">
        <f t="shared" ca="1" si="192"/>
        <v>1.1773046338586053</v>
      </c>
      <c r="M945" s="84">
        <f t="shared" ca="1" si="193"/>
        <v>1.0777828696561098</v>
      </c>
      <c r="N945" s="84">
        <f t="shared" ca="1" si="194"/>
        <v>1.041514329024859</v>
      </c>
      <c r="O945" s="84">
        <f t="shared" ca="1" si="195"/>
        <v>1.0608492023719711</v>
      </c>
      <c r="P945" s="84">
        <f t="shared" ca="1" si="196"/>
        <v>1.3009411357460339</v>
      </c>
      <c r="Q945" s="84">
        <f t="shared" ca="1" si="197"/>
        <v>1.0182116180047558</v>
      </c>
    </row>
    <row r="946" spans="1:17" ht="15" customHeight="1" x14ac:dyDescent="0.2">
      <c r="A946" s="15">
        <v>907</v>
      </c>
      <c r="B946" s="84">
        <f t="shared" ca="1" si="198"/>
        <v>0.94284281543273896</v>
      </c>
      <c r="C946" s="84">
        <f t="shared" ca="1" si="198"/>
        <v>9.9679628337917436E-2</v>
      </c>
      <c r="D946" s="84">
        <f t="shared" ca="1" si="198"/>
        <v>0.92695359848716485</v>
      </c>
      <c r="F946" s="84">
        <f t="shared" ca="1" si="199"/>
        <v>2.6440991082593457E-2</v>
      </c>
      <c r="G946" s="84">
        <f t="shared" ca="1" si="199"/>
        <v>0.41915748054854129</v>
      </c>
      <c r="H946" s="84">
        <f t="shared" ca="1" si="199"/>
        <v>0.22030716280564766</v>
      </c>
      <c r="J946" s="85">
        <f t="shared" ca="1" si="191"/>
        <v>259402722.89916104</v>
      </c>
      <c r="K946" s="86">
        <f ca="1">IF(J946&gt;0,MIN(99,$B$12*Q946/(J946*12*(1-Inputs!$H$16))),99)</f>
        <v>1.74764484327221</v>
      </c>
      <c r="L946" s="84">
        <f t="shared" ca="1" si="192"/>
        <v>1.1863483622373596</v>
      </c>
      <c r="M946" s="84">
        <f t="shared" ca="1" si="193"/>
        <v>1.0817825944034312</v>
      </c>
      <c r="N946" s="84">
        <f t="shared" ca="1" si="194"/>
        <v>1.0587648232108096</v>
      </c>
      <c r="O946" s="84">
        <f t="shared" ca="1" si="195"/>
        <v>0.98051709378374319</v>
      </c>
      <c r="P946" s="84">
        <f t="shared" ca="1" si="196"/>
        <v>1.1380422960342673</v>
      </c>
      <c r="Q946" s="84">
        <f t="shared" ca="1" si="197"/>
        <v>0.99462106241294213</v>
      </c>
    </row>
    <row r="947" spans="1:17" ht="15" customHeight="1" x14ac:dyDescent="0.2">
      <c r="A947" s="15">
        <v>908</v>
      </c>
      <c r="B947" s="84">
        <f t="shared" ca="1" si="198"/>
        <v>0.10097108394212051</v>
      </c>
      <c r="C947" s="84">
        <f t="shared" ca="1" si="198"/>
        <v>0.89525255394544112</v>
      </c>
      <c r="D947" s="84">
        <f t="shared" ca="1" si="198"/>
        <v>0.59545238427291014</v>
      </c>
      <c r="F947" s="84">
        <f t="shared" ca="1" si="199"/>
        <v>0.38584612498305904</v>
      </c>
      <c r="G947" s="84">
        <f t="shared" ca="1" si="199"/>
        <v>0.72681632152906317</v>
      </c>
      <c r="H947" s="84">
        <f t="shared" ca="1" si="199"/>
        <v>0.78171201323061545</v>
      </c>
      <c r="J947" s="85">
        <f t="shared" ca="1" si="191"/>
        <v>35008832.788429484</v>
      </c>
      <c r="K947" s="86">
        <f ca="1">IF(J947&gt;0,MIN(99,$B$12*Q947/(J947*12*(1-Inputs!$H$16))),99)</f>
        <v>16.119789277314212</v>
      </c>
      <c r="L947" s="84">
        <f t="shared" ca="1" si="192"/>
        <v>0.88157976798383719</v>
      </c>
      <c r="M947" s="84">
        <f t="shared" ca="1" si="193"/>
        <v>0.94638369133009759</v>
      </c>
      <c r="N947" s="84">
        <f t="shared" ca="1" si="194"/>
        <v>1.0159689934278502</v>
      </c>
      <c r="O947" s="84">
        <f t="shared" ca="1" si="195"/>
        <v>1.0130946112275816</v>
      </c>
      <c r="P947" s="84">
        <f t="shared" ca="1" si="196"/>
        <v>1.3657497369538898</v>
      </c>
      <c r="Q947" s="84">
        <f t="shared" ca="1" si="197"/>
        <v>1.2381319568556137</v>
      </c>
    </row>
    <row r="948" spans="1:17" ht="15" customHeight="1" x14ac:dyDescent="0.2">
      <c r="A948" s="15">
        <v>909</v>
      </c>
      <c r="B948" s="84">
        <f t="shared" ca="1" si="198"/>
        <v>0.78273607962803082</v>
      </c>
      <c r="C948" s="84">
        <f t="shared" ca="1" si="198"/>
        <v>0.39661447292894647</v>
      </c>
      <c r="D948" s="84">
        <f t="shared" ca="1" si="198"/>
        <v>0.49880878166864429</v>
      </c>
      <c r="F948" s="84">
        <f t="shared" ca="1" si="199"/>
        <v>0.36995542775408341</v>
      </c>
      <c r="G948" s="84">
        <f t="shared" ca="1" si="199"/>
        <v>0.84027444235483939</v>
      </c>
      <c r="H948" s="84">
        <f t="shared" ca="1" si="199"/>
        <v>0.28497669566193451</v>
      </c>
      <c r="J948" s="85">
        <f t="shared" ca="1" si="191"/>
        <v>187781370.51566225</v>
      </c>
      <c r="K948" s="86">
        <f ca="1">IF(J948&gt;0,MIN(99,$B$12*Q948/(J948*12*(1-Inputs!$H$16))),99)</f>
        <v>2.4676553464825903</v>
      </c>
      <c r="L948" s="84">
        <f t="shared" ca="1" si="192"/>
        <v>1.1021596428748603</v>
      </c>
      <c r="M948" s="84">
        <f t="shared" ca="1" si="193"/>
        <v>1.0445488684248248</v>
      </c>
      <c r="N948" s="84">
        <f t="shared" ca="1" si="194"/>
        <v>1.0075556002510002</v>
      </c>
      <c r="O948" s="84">
        <f t="shared" ca="1" si="195"/>
        <v>1.011825368047867</v>
      </c>
      <c r="P948" s="84">
        <f t="shared" ca="1" si="196"/>
        <v>1.48272505257638</v>
      </c>
      <c r="Q948" s="84">
        <f t="shared" ca="1" si="197"/>
        <v>1.0166394266344192</v>
      </c>
    </row>
    <row r="949" spans="1:17" ht="15" customHeight="1" x14ac:dyDescent="0.2">
      <c r="A949" s="15">
        <v>910</v>
      </c>
      <c r="B949" s="84">
        <f t="shared" ca="1" si="198"/>
        <v>0.64020883239954218</v>
      </c>
      <c r="C949" s="84">
        <f t="shared" ca="1" si="198"/>
        <v>0.75692426365105525</v>
      </c>
      <c r="D949" s="84">
        <f t="shared" ca="1" si="198"/>
        <v>0.63024791802523061</v>
      </c>
      <c r="F949" s="84">
        <f t="shared" ca="1" si="199"/>
        <v>0.24834722657401131</v>
      </c>
      <c r="G949" s="84">
        <f t="shared" ca="1" si="199"/>
        <v>0.29970697998031992</v>
      </c>
      <c r="H949" s="84">
        <f t="shared" ca="1" si="199"/>
        <v>0.33456758839030443</v>
      </c>
      <c r="J949" s="85">
        <f t="shared" ca="1" si="191"/>
        <v>165124978.15745997</v>
      </c>
      <c r="K949" s="86">
        <f ca="1">IF(J949&gt;0,MIN(99,$B$12*Q949/(J949*12*(1-Inputs!$H$16))),99)</f>
        <v>2.854468444916062</v>
      </c>
      <c r="L949" s="84">
        <f t="shared" ca="1" si="192"/>
        <v>1.0525785856868477</v>
      </c>
      <c r="M949" s="84">
        <f t="shared" ca="1" si="193"/>
        <v>1.0226209009839706</v>
      </c>
      <c r="N949" s="84">
        <f t="shared" ca="1" si="194"/>
        <v>1.0192413266140956</v>
      </c>
      <c r="O949" s="84">
        <f t="shared" ca="1" si="195"/>
        <v>1.002599313581455</v>
      </c>
      <c r="P949" s="84">
        <f t="shared" ca="1" si="196"/>
        <v>1.0670040434305039</v>
      </c>
      <c r="Q949" s="84">
        <f t="shared" ca="1" si="197"/>
        <v>1.0341129125039552</v>
      </c>
    </row>
    <row r="950" spans="1:17" ht="15" customHeight="1" x14ac:dyDescent="0.2">
      <c r="A950" s="15">
        <v>911</v>
      </c>
      <c r="B950" s="84">
        <f t="shared" ca="1" si="198"/>
        <v>0.30390680906093503</v>
      </c>
      <c r="C950" s="84">
        <f t="shared" ca="1" si="198"/>
        <v>0.30183548723910281</v>
      </c>
      <c r="D950" s="84">
        <f t="shared" ca="1" si="198"/>
        <v>0.38397064218036303</v>
      </c>
      <c r="F950" s="84">
        <f t="shared" ca="1" si="199"/>
        <v>0.88131969592711634</v>
      </c>
      <c r="G950" s="84">
        <f t="shared" ca="1" si="199"/>
        <v>0.14430090185908118</v>
      </c>
      <c r="H950" s="84">
        <f t="shared" ca="1" si="199"/>
        <v>0.13617460437245532</v>
      </c>
      <c r="J950" s="85">
        <f t="shared" ca="1" si="191"/>
        <v>95835052.638040021</v>
      </c>
      <c r="K950" s="86">
        <f ca="1">IF(J950&gt;0,MIN(99,$B$12*Q950/(J950*12*(1-Inputs!$H$16))),99)</f>
        <v>4.5751405701633541</v>
      </c>
      <c r="L950" s="84">
        <f t="shared" ca="1" si="192"/>
        <v>0.95990407247909704</v>
      </c>
      <c r="M950" s="84">
        <f t="shared" ca="1" si="193"/>
        <v>0.98142510848423625</v>
      </c>
      <c r="N950" s="84">
        <f t="shared" ca="1" si="194"/>
        <v>0.9985256536452688</v>
      </c>
      <c r="O950" s="84">
        <f t="shared" ca="1" si="195"/>
        <v>1.0684289897819026</v>
      </c>
      <c r="P950" s="84">
        <f t="shared" ca="1" si="196"/>
        <v>0.98209872758983252</v>
      </c>
      <c r="Q950" s="84">
        <f t="shared" ca="1" si="197"/>
        <v>0.96196388882164097</v>
      </c>
    </row>
    <row r="951" spans="1:17" ht="15" customHeight="1" x14ac:dyDescent="0.2">
      <c r="A951" s="15">
        <v>912</v>
      </c>
      <c r="B951" s="84">
        <f t="shared" ca="1" si="198"/>
        <v>0.99501533299242739</v>
      </c>
      <c r="C951" s="84">
        <f t="shared" ca="1" si="198"/>
        <v>8.7075202901429782E-2</v>
      </c>
      <c r="D951" s="84">
        <f t="shared" ca="1" si="198"/>
        <v>3.922146348202904E-2</v>
      </c>
      <c r="F951" s="84">
        <f t="shared" ca="1" si="199"/>
        <v>0.14123541257651873</v>
      </c>
      <c r="G951" s="84">
        <f t="shared" ca="1" si="199"/>
        <v>0.37522439461262158</v>
      </c>
      <c r="H951" s="84">
        <f t="shared" ca="1" si="199"/>
        <v>0.47861566709981884</v>
      </c>
      <c r="J951" s="85">
        <f t="shared" ca="1" si="191"/>
        <v>336394719.96538329</v>
      </c>
      <c r="K951" s="86">
        <f ca="1">IF(J951&gt;0,MIN(99,$B$12*Q951/(J951*12*(1-Inputs!$H$16))),99)</f>
        <v>1.4754585903592914</v>
      </c>
      <c r="L951" s="84">
        <f t="shared" ca="1" si="192"/>
        <v>1.2488200131103693</v>
      </c>
      <c r="M951" s="84">
        <f t="shared" ca="1" si="193"/>
        <v>1.1094116205681044</v>
      </c>
      <c r="N951" s="84">
        <f t="shared" ca="1" si="194"/>
        <v>0.95797904841212922</v>
      </c>
      <c r="O951" s="84">
        <f t="shared" ca="1" si="195"/>
        <v>0.99445673786189603</v>
      </c>
      <c r="P951" s="84">
        <f t="shared" ca="1" si="196"/>
        <v>1.1111339313028319</v>
      </c>
      <c r="Q951" s="84">
        <f t="shared" ca="1" si="197"/>
        <v>1.0889454815896455</v>
      </c>
    </row>
    <row r="952" spans="1:17" ht="15" customHeight="1" x14ac:dyDescent="0.2">
      <c r="A952" s="15">
        <v>913</v>
      </c>
      <c r="B952" s="84">
        <f t="shared" ca="1" si="198"/>
        <v>0.82186422012891169</v>
      </c>
      <c r="C952" s="84">
        <f t="shared" ca="1" si="198"/>
        <v>0.26232017275976727</v>
      </c>
      <c r="D952" s="84">
        <f t="shared" ca="1" si="198"/>
        <v>0.76624322049745952</v>
      </c>
      <c r="F952" s="84">
        <f t="shared" ca="1" si="199"/>
        <v>0.44348664888129274</v>
      </c>
      <c r="G952" s="84">
        <f t="shared" ca="1" si="199"/>
        <v>0.94076841135266409</v>
      </c>
      <c r="H952" s="84">
        <f t="shared" ca="1" si="199"/>
        <v>0.98859935934074261</v>
      </c>
      <c r="J952" s="85">
        <f t="shared" ca="1" si="191"/>
        <v>187421556.25848538</v>
      </c>
      <c r="K952" s="86">
        <f ca="1">IF(J952&gt;0,MIN(99,$B$12*Q952/(J952*12*(1-Inputs!$H$16))),99)</f>
        <v>3.5241633395165688</v>
      </c>
      <c r="L952" s="84">
        <f t="shared" ca="1" si="192"/>
        <v>1.118495464179869</v>
      </c>
      <c r="M952" s="84">
        <f t="shared" ca="1" si="193"/>
        <v>1.0517736308242527</v>
      </c>
      <c r="N952" s="84">
        <f t="shared" ca="1" si="194"/>
        <v>1.0338184409098861</v>
      </c>
      <c r="O952" s="84">
        <f t="shared" ca="1" si="195"/>
        <v>1.0178422839628687</v>
      </c>
      <c r="P952" s="84">
        <f t="shared" ca="1" si="196"/>
        <v>1.6313359402530991</v>
      </c>
      <c r="Q952" s="84">
        <f t="shared" ca="1" si="197"/>
        <v>1.4491238700588693</v>
      </c>
    </row>
    <row r="953" spans="1:17" ht="15" customHeight="1" x14ac:dyDescent="0.2">
      <c r="A953" s="15">
        <v>914</v>
      </c>
      <c r="B953" s="84">
        <f t="shared" ca="1" si="198"/>
        <v>0.75785996323315952</v>
      </c>
      <c r="C953" s="84">
        <f t="shared" ca="1" si="198"/>
        <v>0.33346980437169838</v>
      </c>
      <c r="D953" s="84">
        <f t="shared" ca="1" si="198"/>
        <v>0.5460998423400274</v>
      </c>
      <c r="F953" s="84">
        <f t="shared" ca="1" si="199"/>
        <v>0.56971496765026242</v>
      </c>
      <c r="G953" s="84">
        <f t="shared" ca="1" si="199"/>
        <v>0.56769793272968916</v>
      </c>
      <c r="H953" s="84">
        <f t="shared" ca="1" si="199"/>
        <v>0.65575944203623315</v>
      </c>
      <c r="J953" s="85">
        <f t="shared" ca="1" si="191"/>
        <v>185861637.95220423</v>
      </c>
      <c r="K953" s="86">
        <f ca="1">IF(J953&gt;0,MIN(99,$B$12*Q953/(J953*12*(1-Inputs!$H$16))),99)</f>
        <v>2.8647610024560253</v>
      </c>
      <c r="L953" s="84">
        <f t="shared" ca="1" si="192"/>
        <v>1.0925328658211551</v>
      </c>
      <c r="M953" s="84">
        <f t="shared" ca="1" si="193"/>
        <v>1.0402912816413576</v>
      </c>
      <c r="N953" s="84">
        <f t="shared" ca="1" si="194"/>
        <v>1.011560287988664</v>
      </c>
      <c r="O953" s="84">
        <f t="shared" ca="1" si="195"/>
        <v>1.029186493073827</v>
      </c>
      <c r="P953" s="84">
        <f t="shared" ca="1" si="196"/>
        <v>1.2375401753215338</v>
      </c>
      <c r="Q953" s="84">
        <f t="shared" ca="1" si="197"/>
        <v>1.1681755108868059</v>
      </c>
    </row>
    <row r="954" spans="1:17" ht="15" customHeight="1" x14ac:dyDescent="0.2">
      <c r="A954" s="15">
        <v>915</v>
      </c>
      <c r="B954" s="84">
        <f t="shared" ca="1" si="198"/>
        <v>0.8614146909340078</v>
      </c>
      <c r="C954" s="84">
        <f t="shared" ca="1" si="198"/>
        <v>0.73226822150468807</v>
      </c>
      <c r="D954" s="84">
        <f t="shared" ca="1" si="198"/>
        <v>0.28387893917895402</v>
      </c>
      <c r="F954" s="84">
        <f t="shared" ca="1" si="199"/>
        <v>0.51910066274970135</v>
      </c>
      <c r="G954" s="84">
        <f t="shared" ca="1" si="199"/>
        <v>0.89370495584272014</v>
      </c>
      <c r="H954" s="84">
        <f t="shared" ca="1" si="199"/>
        <v>0.1403273435728718</v>
      </c>
      <c r="J954" s="85">
        <f t="shared" ca="1" si="191"/>
        <v>214259392.67207164</v>
      </c>
      <c r="K954" s="86">
        <f ca="1">IF(J954&gt;0,MIN(99,$B$12*Q954/(J954*12*(1-Inputs!$H$16))),99)</f>
        <v>2.0502587002151453</v>
      </c>
      <c r="L954" s="84">
        <f t="shared" ca="1" si="192"/>
        <v>1.1369584120760199</v>
      </c>
      <c r="M954" s="84">
        <f t="shared" ca="1" si="193"/>
        <v>1.0599391469162907</v>
      </c>
      <c r="N954" s="84">
        <f t="shared" ca="1" si="194"/>
        <v>0.99017313270972185</v>
      </c>
      <c r="O954" s="84">
        <f t="shared" ca="1" si="195"/>
        <v>1.0244606891035193</v>
      </c>
      <c r="P954" s="84">
        <f t="shared" ca="1" si="196"/>
        <v>1.5527389015672051</v>
      </c>
      <c r="Q954" s="84">
        <f t="shared" ca="1" si="197"/>
        <v>0.96378125321460695</v>
      </c>
    </row>
    <row r="955" spans="1:17" ht="15" customHeight="1" x14ac:dyDescent="0.2">
      <c r="A955" s="15">
        <v>916</v>
      </c>
      <c r="B955" s="84">
        <f t="shared" ca="1" si="198"/>
        <v>0.39237002428582757</v>
      </c>
      <c r="C955" s="84">
        <f t="shared" ca="1" si="198"/>
        <v>6.7342533551571937E-2</v>
      </c>
      <c r="D955" s="84">
        <f t="shared" ca="1" si="198"/>
        <v>0.34138555320957653</v>
      </c>
      <c r="F955" s="84">
        <f t="shared" ca="1" si="199"/>
        <v>0.10874964010436605</v>
      </c>
      <c r="G955" s="84">
        <f t="shared" ca="1" si="199"/>
        <v>0.59805729374162286</v>
      </c>
      <c r="H955" s="84">
        <f t="shared" ca="1" si="199"/>
        <v>0.85293648827761015</v>
      </c>
      <c r="J955" s="85">
        <f t="shared" ca="1" si="191"/>
        <v>116470725.28715648</v>
      </c>
      <c r="K955" s="86">
        <f ca="1">IF(J955&gt;0,MIN(99,$B$12*Q955/(J955*12*(1-Inputs!$H$16))),99)</f>
        <v>5.0370906507352977</v>
      </c>
      <c r="L955" s="84">
        <f t="shared" ca="1" si="192"/>
        <v>0.98509909026970011</v>
      </c>
      <c r="M955" s="84">
        <f t="shared" ca="1" si="193"/>
        <v>0.9926970774381374</v>
      </c>
      <c r="N955" s="84">
        <f t="shared" ca="1" si="194"/>
        <v>0.99512393561357315</v>
      </c>
      <c r="O955" s="84">
        <f t="shared" ca="1" si="195"/>
        <v>0.99144653497492252</v>
      </c>
      <c r="P955" s="84">
        <f t="shared" ca="1" si="196"/>
        <v>1.2598937079215931</v>
      </c>
      <c r="Q955" s="84">
        <f t="shared" ca="1" si="197"/>
        <v>1.2871420781176859</v>
      </c>
    </row>
    <row r="956" spans="1:17" ht="15" customHeight="1" x14ac:dyDescent="0.2">
      <c r="A956" s="15">
        <v>917</v>
      </c>
      <c r="B956" s="84">
        <f t="shared" ca="1" si="198"/>
        <v>0.38429377427776401</v>
      </c>
      <c r="C956" s="84">
        <f t="shared" ca="1" si="198"/>
        <v>0.47461580430420391</v>
      </c>
      <c r="D956" s="84">
        <f t="shared" ca="1" si="198"/>
        <v>0.23424577604969321</v>
      </c>
      <c r="F956" s="84">
        <f t="shared" ca="1" si="199"/>
        <v>0.88762206592842063</v>
      </c>
      <c r="G956" s="84">
        <f t="shared" ca="1" si="199"/>
        <v>0.13148353413467007</v>
      </c>
      <c r="H956" s="84">
        <f t="shared" ca="1" si="199"/>
        <v>0.99159860019770674</v>
      </c>
      <c r="J956" s="85">
        <f t="shared" ca="1" si="191"/>
        <v>114717089.39520346</v>
      </c>
      <c r="K956" s="86">
        <f ca="1">IF(J956&gt;0,MIN(99,$B$12*Q956/(J956*12*(1-Inputs!$H$16))),99)</f>
        <v>5.7928328922677066</v>
      </c>
      <c r="L956" s="84">
        <f t="shared" ca="1" si="192"/>
        <v>0.98292558670411023</v>
      </c>
      <c r="M956" s="84">
        <f t="shared" ca="1" si="193"/>
        <v>0.99172467627072636</v>
      </c>
      <c r="N956" s="84">
        <f t="shared" ca="1" si="194"/>
        <v>0.98547869325651138</v>
      </c>
      <c r="O956" s="84">
        <f t="shared" ca="1" si="195"/>
        <v>1.0695972011404915</v>
      </c>
      <c r="P956" s="84">
        <f t="shared" ca="1" si="196"/>
        <v>0.97449082833678646</v>
      </c>
      <c r="Q956" s="84">
        <f t="shared" ca="1" si="197"/>
        <v>1.4579715899601275</v>
      </c>
    </row>
    <row r="957" spans="1:17" ht="15" customHeight="1" x14ac:dyDescent="0.2">
      <c r="A957" s="15">
        <v>918</v>
      </c>
      <c r="B957" s="84">
        <f t="shared" ca="1" si="198"/>
        <v>5.4994495314675818E-2</v>
      </c>
      <c r="C957" s="84">
        <f t="shared" ca="1" si="198"/>
        <v>0.74858989904665585</v>
      </c>
      <c r="D957" s="84">
        <f t="shared" ca="1" si="198"/>
        <v>0.20171469174206991</v>
      </c>
      <c r="F957" s="84">
        <f t="shared" ca="1" si="199"/>
        <v>0.69263860631056406</v>
      </c>
      <c r="G957" s="84">
        <f t="shared" ca="1" si="199"/>
        <v>3.7206777018358173E-3</v>
      </c>
      <c r="H957" s="84">
        <f t="shared" ca="1" si="199"/>
        <v>0.40051195069322343</v>
      </c>
      <c r="J957" s="85">
        <f t="shared" ca="1" si="191"/>
        <v>38529260.838545784</v>
      </c>
      <c r="K957" s="86">
        <f ca="1">IF(J957&gt;0,MIN(99,$B$12*Q957/(J957*12*(1-Inputs!$H$16))),99)</f>
        <v>12.520609620299243</v>
      </c>
      <c r="L957" s="84">
        <f t="shared" ca="1" si="192"/>
        <v>0.85365672713062135</v>
      </c>
      <c r="M957" s="84">
        <f t="shared" ca="1" si="193"/>
        <v>0.9338912353925054</v>
      </c>
      <c r="N957" s="84">
        <f t="shared" ca="1" si="194"/>
        <v>0.98212589866036437</v>
      </c>
      <c r="O957" s="84">
        <f t="shared" ca="1" si="195"/>
        <v>1.0419824458402236</v>
      </c>
      <c r="P957" s="84">
        <f t="shared" ca="1" si="196"/>
        <v>0.8415699973119154</v>
      </c>
      <c r="Q957" s="84">
        <f t="shared" ca="1" si="197"/>
        <v>1.0583908916680009</v>
      </c>
    </row>
    <row r="958" spans="1:17" ht="15" customHeight="1" x14ac:dyDescent="0.2">
      <c r="A958" s="15">
        <v>919</v>
      </c>
      <c r="B958" s="84">
        <f t="shared" ca="1" si="198"/>
        <v>0.34713805857087177</v>
      </c>
      <c r="C958" s="84">
        <f t="shared" ca="1" si="198"/>
        <v>0.6393072883796006</v>
      </c>
      <c r="D958" s="84">
        <f t="shared" ca="1" si="198"/>
        <v>0.1995652066671969</v>
      </c>
      <c r="F958" s="84">
        <f t="shared" ca="1" si="199"/>
        <v>0.54132232036264583</v>
      </c>
      <c r="G958" s="84">
        <f t="shared" ca="1" si="199"/>
        <v>0.44433557766929355</v>
      </c>
      <c r="H958" s="84">
        <f t="shared" ca="1" si="199"/>
        <v>0.82674432894252292</v>
      </c>
      <c r="J958" s="85">
        <f t="shared" ca="1" si="191"/>
        <v>108638403.89587127</v>
      </c>
      <c r="K958" s="86">
        <f ca="1">IF(J958&gt;0,MIN(99,$B$12*Q958/(J958*12*(1-Inputs!$H$16))),99)</f>
        <v>5.3198055944229932</v>
      </c>
      <c r="L958" s="84">
        <f t="shared" ca="1" si="192"/>
        <v>0.97261839891372226</v>
      </c>
      <c r="M958" s="84">
        <f t="shared" ca="1" si="193"/>
        <v>0.98711335582075177</v>
      </c>
      <c r="N958" s="84">
        <f t="shared" ca="1" si="194"/>
        <v>0.98189514885245244</v>
      </c>
      <c r="O958" s="84">
        <f t="shared" ca="1" si="195"/>
        <v>1.026503266344178</v>
      </c>
      <c r="P958" s="84">
        <f t="shared" ca="1" si="196"/>
        <v>1.1539238086388948</v>
      </c>
      <c r="Q958" s="84">
        <f t="shared" ca="1" si="197"/>
        <v>1.2679702958117094</v>
      </c>
    </row>
    <row r="959" spans="1:17" ht="15" customHeight="1" x14ac:dyDescent="0.2">
      <c r="A959" s="15">
        <v>920</v>
      </c>
      <c r="B959" s="84">
        <f t="shared" ca="1" si="198"/>
        <v>0.55983378535478223</v>
      </c>
      <c r="C959" s="84">
        <f t="shared" ca="1" si="198"/>
        <v>0.28893699217140267</v>
      </c>
      <c r="D959" s="84">
        <f t="shared" ca="1" si="198"/>
        <v>0.91764475449232197</v>
      </c>
      <c r="F959" s="84">
        <f t="shared" ca="1" si="199"/>
        <v>0.46718482625660118</v>
      </c>
      <c r="G959" s="84">
        <f t="shared" ca="1" si="199"/>
        <v>0.64215884888696728</v>
      </c>
      <c r="H959" s="84">
        <f t="shared" ca="1" si="199"/>
        <v>1.1201500607851744E-2</v>
      </c>
      <c r="J959" s="85">
        <f t="shared" ca="1" si="191"/>
        <v>128174928.3166372</v>
      </c>
      <c r="K959" s="86">
        <f ca="1">IF(J959&gt;0,MIN(99,$B$12*Q959/(J959*12*(1-Inputs!$H$16))),99)</f>
        <v>3.1162188853027106</v>
      </c>
      <c r="L959" s="84">
        <f t="shared" ca="1" si="192"/>
        <v>1.0289860684560375</v>
      </c>
      <c r="M959" s="84">
        <f t="shared" ca="1" si="193"/>
        <v>1.0121867557876865</v>
      </c>
      <c r="N959" s="84">
        <f t="shared" ca="1" si="194"/>
        <v>1.0568102954336156</v>
      </c>
      <c r="O959" s="84">
        <f t="shared" ca="1" si="195"/>
        <v>1.0198652987717476</v>
      </c>
      <c r="P959" s="84">
        <f t="shared" ca="1" si="196"/>
        <v>1.2939282855220444</v>
      </c>
      <c r="Q959" s="84">
        <f t="shared" ca="1" si="197"/>
        <v>0.87631648151076535</v>
      </c>
    </row>
    <row r="960" spans="1:17" ht="15" customHeight="1" x14ac:dyDescent="0.2">
      <c r="A960" s="15">
        <v>921</v>
      </c>
      <c r="B960" s="84">
        <f t="shared" ref="B960:D979" ca="1" si="200">RAND()</f>
        <v>0.75388034011456528</v>
      </c>
      <c r="C960" s="84">
        <f t="shared" ca="1" si="200"/>
        <v>0.30394161861916213</v>
      </c>
      <c r="D960" s="84">
        <f t="shared" ca="1" si="200"/>
        <v>0.20970603868248872</v>
      </c>
      <c r="F960" s="84">
        <f t="shared" ref="F960:H979" ca="1" si="201">RAND()</f>
        <v>0.40660791470959545</v>
      </c>
      <c r="G960" s="84">
        <f t="shared" ca="1" si="201"/>
        <v>0.79615297447806266</v>
      </c>
      <c r="H960" s="84">
        <f t="shared" ca="1" si="201"/>
        <v>0.15876276131557632</v>
      </c>
      <c r="J960" s="85">
        <f t="shared" ca="1" si="191"/>
        <v>186445671.83714658</v>
      </c>
      <c r="K960" s="86">
        <f ca="1">IF(J960&gt;0,MIN(99,$B$12*Q960/(J960*12*(1-Inputs!$H$16))),99)</f>
        <v>2.3750859257113262</v>
      </c>
      <c r="L960" s="84">
        <f t="shared" ca="1" si="192"/>
        <v>1.0910395335017675</v>
      </c>
      <c r="M960" s="84">
        <f t="shared" ca="1" si="193"/>
        <v>1.0396308329874748</v>
      </c>
      <c r="N960" s="84">
        <f t="shared" ca="1" si="194"/>
        <v>0.9829731776629127</v>
      </c>
      <c r="O960" s="84">
        <f t="shared" ca="1" si="195"/>
        <v>1.0147779319131511</v>
      </c>
      <c r="P960" s="84">
        <f t="shared" ca="1" si="196"/>
        <v>1.4334318895938791</v>
      </c>
      <c r="Q960" s="84">
        <f t="shared" ca="1" si="197"/>
        <v>0.97154198572357331</v>
      </c>
    </row>
    <row r="961" spans="1:17" ht="15" customHeight="1" x14ac:dyDescent="0.2">
      <c r="A961" s="15">
        <v>922</v>
      </c>
      <c r="B961" s="84">
        <f t="shared" ca="1" si="200"/>
        <v>0.51313584757826702</v>
      </c>
      <c r="C961" s="84">
        <f t="shared" ca="1" si="200"/>
        <v>0.59962135244679415</v>
      </c>
      <c r="D961" s="84">
        <f t="shared" ca="1" si="200"/>
        <v>0.67084868764647443</v>
      </c>
      <c r="F961" s="84">
        <f t="shared" ca="1" si="201"/>
        <v>0.56542114848910752</v>
      </c>
      <c r="G961" s="84">
        <f t="shared" ca="1" si="201"/>
        <v>0.41815577389467695</v>
      </c>
      <c r="H961" s="84">
        <f t="shared" ca="1" si="201"/>
        <v>0.69517911939369958</v>
      </c>
      <c r="J961" s="85">
        <f t="shared" ca="1" si="191"/>
        <v>130908528.05550434</v>
      </c>
      <c r="K961" s="86">
        <f ca="1">IF(J961&gt;0,MIN(99,$B$12*Q961/(J961*12*(1-Inputs!$H$16))),99)</f>
        <v>4.1378866689899398</v>
      </c>
      <c r="L961" s="84">
        <f t="shared" ca="1" si="192"/>
        <v>1.0162649599339351</v>
      </c>
      <c r="M961" s="84">
        <f t="shared" ca="1" si="193"/>
        <v>1.0065606544234809</v>
      </c>
      <c r="N961" s="84">
        <f t="shared" ca="1" si="194"/>
        <v>1.0232609741366261</v>
      </c>
      <c r="O961" s="84">
        <f t="shared" ca="1" si="195"/>
        <v>1.028775145382552</v>
      </c>
      <c r="P961" s="84">
        <f t="shared" ca="1" si="196"/>
        <v>1.1374176448107902</v>
      </c>
      <c r="Q961" s="84">
        <f t="shared" ca="1" si="197"/>
        <v>1.188437844101959</v>
      </c>
    </row>
    <row r="962" spans="1:17" ht="15" customHeight="1" x14ac:dyDescent="0.2">
      <c r="A962" s="15">
        <v>923</v>
      </c>
      <c r="B962" s="84">
        <f t="shared" ca="1" si="200"/>
        <v>0.80387607703863595</v>
      </c>
      <c r="C962" s="84">
        <f t="shared" ca="1" si="200"/>
        <v>0.10626407144734706</v>
      </c>
      <c r="D962" s="84">
        <f t="shared" ca="1" si="200"/>
        <v>0.63568241628969002</v>
      </c>
      <c r="F962" s="84">
        <f t="shared" ca="1" si="201"/>
        <v>0.49177801046603842</v>
      </c>
      <c r="G962" s="84">
        <f t="shared" ca="1" si="201"/>
        <v>0.25447964770153686</v>
      </c>
      <c r="H962" s="84">
        <f t="shared" ca="1" si="201"/>
        <v>0.31893774762033089</v>
      </c>
      <c r="J962" s="85">
        <f t="shared" ca="1" si="191"/>
        <v>206443280.3572554</v>
      </c>
      <c r="K962" s="86">
        <f ca="1">IF(J962&gt;0,MIN(99,$B$12*Q962/(J962*12*(1-Inputs!$H$16))),99)</f>
        <v>2.2708551375459742</v>
      </c>
      <c r="L962" s="84">
        <f t="shared" ca="1" si="192"/>
        <v>1.1107835592664743</v>
      </c>
      <c r="M962" s="84">
        <f t="shared" ca="1" si="193"/>
        <v>1.0483629250136317</v>
      </c>
      <c r="N962" s="84">
        <f t="shared" ca="1" si="194"/>
        <v>1.0197661010109196</v>
      </c>
      <c r="O962" s="84">
        <f t="shared" ca="1" si="195"/>
        <v>1.0220128810226889</v>
      </c>
      <c r="P962" s="84">
        <f t="shared" ca="1" si="196"/>
        <v>1.0417095287457936</v>
      </c>
      <c r="Q962" s="84">
        <f t="shared" ca="1" si="197"/>
        <v>1.0285374830449892</v>
      </c>
    </row>
    <row r="963" spans="1:17" ht="15" customHeight="1" x14ac:dyDescent="0.2">
      <c r="A963" s="15">
        <v>924</v>
      </c>
      <c r="B963" s="84">
        <f t="shared" ca="1" si="200"/>
        <v>0.71388203632650382</v>
      </c>
      <c r="C963" s="84">
        <f t="shared" ca="1" si="200"/>
        <v>0.58608054182637315</v>
      </c>
      <c r="D963" s="84">
        <f t="shared" ca="1" si="200"/>
        <v>0.50516698828084561</v>
      </c>
      <c r="F963" s="84">
        <f t="shared" ca="1" si="201"/>
        <v>0.27057320373368499</v>
      </c>
      <c r="G963" s="84">
        <f t="shared" ca="1" si="201"/>
        <v>5.1240571075746866E-2</v>
      </c>
      <c r="H963" s="84">
        <f t="shared" ca="1" si="201"/>
        <v>0.22389472338483474</v>
      </c>
      <c r="J963" s="85">
        <f t="shared" ca="1" si="191"/>
        <v>191055739.44557136</v>
      </c>
      <c r="K963" s="86">
        <f ca="1">IF(J963&gt;0,MIN(99,$B$12*Q963/(J963*12*(1-Inputs!$H$16))),99)</f>
        <v>2.3757905106368287</v>
      </c>
      <c r="L963" s="84">
        <f t="shared" ca="1" si="192"/>
        <v>1.0766537875201401</v>
      </c>
      <c r="M963" s="84">
        <f t="shared" ca="1" si="193"/>
        <v>1.0332685206974943</v>
      </c>
      <c r="N963" s="84">
        <f t="shared" ca="1" si="194"/>
        <v>1.0080826853566145</v>
      </c>
      <c r="O963" s="84">
        <f t="shared" ca="1" si="195"/>
        <v>1.0042264417050222</v>
      </c>
      <c r="P963" s="84">
        <f t="shared" ca="1" si="196"/>
        <v>0.91444789156516137</v>
      </c>
      <c r="Q963" s="84">
        <f t="shared" ca="1" si="197"/>
        <v>0.99585973576301778</v>
      </c>
    </row>
    <row r="964" spans="1:17" ht="15" customHeight="1" x14ac:dyDescent="0.2">
      <c r="A964" s="15">
        <v>925</v>
      </c>
      <c r="B964" s="84">
        <f t="shared" ca="1" si="200"/>
        <v>0.58941290110529698</v>
      </c>
      <c r="C964" s="84">
        <f t="shared" ca="1" si="200"/>
        <v>0.31422818765040927</v>
      </c>
      <c r="D964" s="84">
        <f t="shared" ca="1" si="200"/>
        <v>0.9599008870633241</v>
      </c>
      <c r="F964" s="84">
        <f t="shared" ca="1" si="201"/>
        <v>0.72705017613612066</v>
      </c>
      <c r="G964" s="84">
        <f t="shared" ca="1" si="201"/>
        <v>0.78565832195416696</v>
      </c>
      <c r="H964" s="84">
        <f t="shared" ca="1" si="201"/>
        <v>0.22771442476259196</v>
      </c>
      <c r="J964" s="85">
        <f t="shared" ca="1" si="191"/>
        <v>122707599.25143607</v>
      </c>
      <c r="K964" s="86">
        <f ca="1">IF(J964&gt;0,MIN(99,$B$12*Q964/(J964*12*(1-Inputs!$H$16))),99)</f>
        <v>3.7039643849887391</v>
      </c>
      <c r="L964" s="84">
        <f t="shared" ca="1" si="192"/>
        <v>1.0373958626243607</v>
      </c>
      <c r="M964" s="84">
        <f t="shared" ca="1" si="193"/>
        <v>1.0159061136062983</v>
      </c>
      <c r="N964" s="84">
        <f t="shared" ca="1" si="194"/>
        <v>1.0669577056339588</v>
      </c>
      <c r="O964" s="84">
        <f t="shared" ca="1" si="195"/>
        <v>1.0460087168209495</v>
      </c>
      <c r="P964" s="84">
        <f t="shared" ca="1" si="196"/>
        <v>1.4225188817072221</v>
      </c>
      <c r="Q964" s="84">
        <f t="shared" ca="1" si="197"/>
        <v>0.99716770080958295</v>
      </c>
    </row>
    <row r="965" spans="1:17" ht="15" customHeight="1" x14ac:dyDescent="0.2">
      <c r="A965" s="15">
        <v>926</v>
      </c>
      <c r="B965" s="84">
        <f t="shared" ca="1" si="200"/>
        <v>0.95644541189085175</v>
      </c>
      <c r="C965" s="84">
        <f t="shared" ca="1" si="200"/>
        <v>0.38801487113340272</v>
      </c>
      <c r="D965" s="84">
        <f t="shared" ca="1" si="200"/>
        <v>0.79162641727418315</v>
      </c>
      <c r="F965" s="84">
        <f t="shared" ca="1" si="201"/>
        <v>0.16127513994286402</v>
      </c>
      <c r="G965" s="84">
        <f t="shared" ca="1" si="201"/>
        <v>0.62336205355641494</v>
      </c>
      <c r="H965" s="84">
        <f t="shared" ca="1" si="201"/>
        <v>0.96451702644024417</v>
      </c>
      <c r="J965" s="85">
        <f t="shared" ca="1" si="191"/>
        <v>266149980.54585284</v>
      </c>
      <c r="K965" s="86">
        <f ca="1">IF(J965&gt;0,MIN(99,$B$12*Q965/(J965*12*(1-Inputs!$H$16))),99)</f>
        <v>2.3999010014778159</v>
      </c>
      <c r="L965" s="84">
        <f t="shared" ca="1" si="192"/>
        <v>1.1976129476914394</v>
      </c>
      <c r="M965" s="84">
        <f t="shared" ca="1" si="193"/>
        <v>1.0867645265581878</v>
      </c>
      <c r="N965" s="84">
        <f t="shared" ca="1" si="194"/>
        <v>1.0369780193859097</v>
      </c>
      <c r="O965" s="84">
        <f t="shared" ca="1" si="195"/>
        <v>0.99614211517655515</v>
      </c>
      <c r="P965" s="84">
        <f t="shared" ca="1" si="196"/>
        <v>1.2791794404709109</v>
      </c>
      <c r="Q965" s="84">
        <f t="shared" ca="1" si="197"/>
        <v>1.4013599683290463</v>
      </c>
    </row>
    <row r="966" spans="1:17" ht="15" customHeight="1" x14ac:dyDescent="0.2">
      <c r="A966" s="15">
        <v>927</v>
      </c>
      <c r="B966" s="84">
        <f t="shared" ca="1" si="200"/>
        <v>0.89626884343670676</v>
      </c>
      <c r="C966" s="84">
        <f t="shared" ca="1" si="200"/>
        <v>4.6757317716955904E-2</v>
      </c>
      <c r="D966" s="84">
        <f t="shared" ca="1" si="200"/>
        <v>0.93218236195141924</v>
      </c>
      <c r="F966" s="84">
        <f t="shared" ca="1" si="201"/>
        <v>0.95634752300532133</v>
      </c>
      <c r="G966" s="84">
        <f t="shared" ca="1" si="201"/>
        <v>0.17211662611347822</v>
      </c>
      <c r="H966" s="84">
        <f t="shared" ca="1" si="201"/>
        <v>0.8594372824705202</v>
      </c>
      <c r="J966" s="85">
        <f t="shared" ca="1" si="191"/>
        <v>222481717.24060905</v>
      </c>
      <c r="K966" s="86">
        <f ca="1">IF(J966&gt;0,MIN(99,$B$12*Q966/(J966*12*(1-Inputs!$H$16))),99)</f>
        <v>2.6472315222721678</v>
      </c>
      <c r="L966" s="84">
        <f t="shared" ca="1" si="192"/>
        <v>1.1555720550815143</v>
      </c>
      <c r="M966" s="84">
        <f t="shared" ca="1" si="193"/>
        <v>1.0681713101844601</v>
      </c>
      <c r="N966" s="84">
        <f t="shared" ca="1" si="194"/>
        <v>1.0599176196091404</v>
      </c>
      <c r="O966" s="84">
        <f t="shared" ca="1" si="195"/>
        <v>1.0855099031461679</v>
      </c>
      <c r="P966" s="84">
        <f t="shared" ca="1" si="196"/>
        <v>0.99752334062143366</v>
      </c>
      <c r="Q966" s="84">
        <f t="shared" ca="1" si="197"/>
        <v>1.2921597087137262</v>
      </c>
    </row>
    <row r="967" spans="1:17" ht="15" customHeight="1" x14ac:dyDescent="0.2">
      <c r="A967" s="15">
        <v>928</v>
      </c>
      <c r="B967" s="84">
        <f t="shared" ca="1" si="200"/>
        <v>0.79776939177467499</v>
      </c>
      <c r="C967" s="84">
        <f t="shared" ca="1" si="200"/>
        <v>0.73185550115830744</v>
      </c>
      <c r="D967" s="84">
        <f t="shared" ca="1" si="200"/>
        <v>0.68291717021650866</v>
      </c>
      <c r="F967" s="84">
        <f t="shared" ca="1" si="201"/>
        <v>0.4998983368490586</v>
      </c>
      <c r="G967" s="84">
        <f t="shared" ca="1" si="201"/>
        <v>0.63194652143184527</v>
      </c>
      <c r="H967" s="84">
        <f t="shared" ca="1" si="201"/>
        <v>0.16017099026658344</v>
      </c>
      <c r="J967" s="85">
        <f t="shared" ca="1" si="191"/>
        <v>194024654.44369543</v>
      </c>
      <c r="K967" s="86">
        <f ca="1">IF(J967&gt;0,MIN(99,$B$12*Q967/(J967*12*(1-Inputs!$H$16))),99)</f>
        <v>2.2836583964111563</v>
      </c>
      <c r="L967" s="84">
        <f t="shared" ca="1" si="192"/>
        <v>1.1082465633608045</v>
      </c>
      <c r="M967" s="84">
        <f t="shared" ca="1" si="193"/>
        <v>1.0472409004588474</v>
      </c>
      <c r="N967" s="84">
        <f t="shared" ca="1" si="194"/>
        <v>1.0245030711019565</v>
      </c>
      <c r="O967" s="84">
        <f t="shared" ca="1" si="195"/>
        <v>1.0227333493376483</v>
      </c>
      <c r="P967" s="84">
        <f t="shared" ca="1" si="196"/>
        <v>1.2858684339770075</v>
      </c>
      <c r="Q967" s="84">
        <f t="shared" ca="1" si="197"/>
        <v>0.97211579596435083</v>
      </c>
    </row>
    <row r="968" spans="1:17" ht="15" customHeight="1" x14ac:dyDescent="0.2">
      <c r="A968" s="15">
        <v>929</v>
      </c>
      <c r="B968" s="84">
        <f t="shared" ca="1" si="200"/>
        <v>8.5095951902254274E-2</v>
      </c>
      <c r="C968" s="84">
        <f t="shared" ca="1" si="200"/>
        <v>0.43666535031895648</v>
      </c>
      <c r="D968" s="84">
        <f t="shared" ca="1" si="200"/>
        <v>0.6138552121425469</v>
      </c>
      <c r="F968" s="84">
        <f t="shared" ca="1" si="201"/>
        <v>0.78055380798379004</v>
      </c>
      <c r="G968" s="84">
        <f t="shared" ca="1" si="201"/>
        <v>0.92813497994640892</v>
      </c>
      <c r="H968" s="84">
        <f t="shared" ca="1" si="201"/>
        <v>0.69695706947068747</v>
      </c>
      <c r="J968" s="85">
        <f t="shared" ca="1" si="191"/>
        <v>13334709.92854096</v>
      </c>
      <c r="K968" s="86">
        <f ca="1">IF(J968&gt;0,MIN(99,$B$12*Q968/(J968*12*(1-Inputs!$H$16))),99)</f>
        <v>40.654419254833883</v>
      </c>
      <c r="L968" s="84">
        <f t="shared" ca="1" si="192"/>
        <v>0.8728432143227296</v>
      </c>
      <c r="M968" s="84">
        <f t="shared" ca="1" si="193"/>
        <v>0.94247505500959361</v>
      </c>
      <c r="N968" s="84">
        <f t="shared" ca="1" si="194"/>
        <v>1.0176813296387561</v>
      </c>
      <c r="O968" s="84">
        <f t="shared" ca="1" si="195"/>
        <v>1.0528118296391924</v>
      </c>
      <c r="P968" s="84">
        <f t="shared" ca="1" si="196"/>
        <v>1.6078471925495332</v>
      </c>
      <c r="Q968" s="84">
        <f t="shared" ca="1" si="197"/>
        <v>1.1893817651220968</v>
      </c>
    </row>
    <row r="969" spans="1:17" ht="15" customHeight="1" x14ac:dyDescent="0.2">
      <c r="A969" s="15">
        <v>930</v>
      </c>
      <c r="B969" s="84">
        <f t="shared" ca="1" si="200"/>
        <v>0.97120741057602133</v>
      </c>
      <c r="C969" s="84">
        <f t="shared" ca="1" si="200"/>
        <v>0.59598737891997</v>
      </c>
      <c r="D969" s="84">
        <f t="shared" ca="1" si="200"/>
        <v>0.79187298661376515</v>
      </c>
      <c r="F969" s="84">
        <f t="shared" ca="1" si="201"/>
        <v>0.3603166680872395</v>
      </c>
      <c r="G969" s="84">
        <f t="shared" ca="1" si="201"/>
        <v>0.36263311431607093</v>
      </c>
      <c r="H969" s="84">
        <f t="shared" ca="1" si="201"/>
        <v>0.58362139940391566</v>
      </c>
      <c r="J969" s="85">
        <f t="shared" ca="1" si="191"/>
        <v>282107552.460334</v>
      </c>
      <c r="K969" s="86">
        <f ca="1">IF(J969&gt;0,MIN(99,$B$12*Q969/(J969*12*(1-Inputs!$H$16))),99)</f>
        <v>1.8320188334381391</v>
      </c>
      <c r="L969" s="84">
        <f t="shared" ca="1" si="192"/>
        <v>1.2120795657532699</v>
      </c>
      <c r="M969" s="84">
        <f t="shared" ca="1" si="193"/>
        <v>1.0931626057406498</v>
      </c>
      <c r="N969" s="84">
        <f t="shared" ca="1" si="194"/>
        <v>1.0370096283399179</v>
      </c>
      <c r="O969" s="84">
        <f t="shared" ca="1" si="195"/>
        <v>1.011063277096182</v>
      </c>
      <c r="P969" s="84">
        <f t="shared" ca="1" si="196"/>
        <v>1.1035977826259633</v>
      </c>
      <c r="Q969" s="84">
        <f t="shared" ca="1" si="197"/>
        <v>1.1338995643700598</v>
      </c>
    </row>
    <row r="970" spans="1:17" ht="15" customHeight="1" x14ac:dyDescent="0.2">
      <c r="A970" s="15">
        <v>931</v>
      </c>
      <c r="B970" s="84">
        <f t="shared" ca="1" si="200"/>
        <v>0.4803783507557523</v>
      </c>
      <c r="C970" s="84">
        <f t="shared" ca="1" si="200"/>
        <v>0.88224347747801135</v>
      </c>
      <c r="D970" s="84">
        <f t="shared" ca="1" si="200"/>
        <v>0.36765793526279611</v>
      </c>
      <c r="F970" s="84">
        <f t="shared" ca="1" si="201"/>
        <v>0.46589545840017121</v>
      </c>
      <c r="G970" s="84">
        <f t="shared" ca="1" si="201"/>
        <v>0.56623713356962313</v>
      </c>
      <c r="H970" s="84">
        <f t="shared" ca="1" si="201"/>
        <v>0.96655529262843598</v>
      </c>
      <c r="J970" s="85">
        <f t="shared" ca="1" si="191"/>
        <v>128226299.92819135</v>
      </c>
      <c r="K970" s="86">
        <f ca="1">IF(J970&gt;0,MIN(99,$B$12*Q970/(J970*12*(1-Inputs!$H$16))),99)</f>
        <v>4.9927236425450392</v>
      </c>
      <c r="L970" s="84">
        <f t="shared" ca="1" si="192"/>
        <v>1.0077024564813883</v>
      </c>
      <c r="M970" s="84">
        <f t="shared" ca="1" si="193"/>
        <v>1.0027737586296364</v>
      </c>
      <c r="N970" s="84">
        <f t="shared" ca="1" si="194"/>
        <v>0.99724603951956869</v>
      </c>
      <c r="O970" s="84">
        <f t="shared" ca="1" si="195"/>
        <v>1.019754087474835</v>
      </c>
      <c r="P970" s="84">
        <f t="shared" ca="1" si="196"/>
        <v>1.2364847104234351</v>
      </c>
      <c r="Q970" s="84">
        <f t="shared" ca="1" si="197"/>
        <v>1.4045738532982064</v>
      </c>
    </row>
    <row r="971" spans="1:17" ht="15" customHeight="1" x14ac:dyDescent="0.2">
      <c r="A971" s="15">
        <v>932</v>
      </c>
      <c r="B971" s="84">
        <f t="shared" ca="1" si="200"/>
        <v>2.7246728851657798E-2</v>
      </c>
      <c r="C971" s="84">
        <f t="shared" ca="1" si="200"/>
        <v>0.47744195163357084</v>
      </c>
      <c r="D971" s="84">
        <f t="shared" ca="1" si="200"/>
        <v>0.51071109845756779</v>
      </c>
      <c r="F971" s="84">
        <f t="shared" ca="1" si="201"/>
        <v>0.49110587539419948</v>
      </c>
      <c r="G971" s="84">
        <f t="shared" ca="1" si="201"/>
        <v>0.4773095627333479</v>
      </c>
      <c r="H971" s="84">
        <f t="shared" ca="1" si="201"/>
        <v>0.96626216050679981</v>
      </c>
      <c r="J971" s="85">
        <f t="shared" ca="1" si="191"/>
        <v>9974560.4080215842</v>
      </c>
      <c r="K971" s="86">
        <f ca="1">IF(J971&gt;0,MIN(99,$B$12*Q971/(J971*12*(1-Inputs!$H$16))),99)</f>
        <v>64.161736171934294</v>
      </c>
      <c r="L971" s="84">
        <f t="shared" ca="1" si="192"/>
        <v>0.83036476312431495</v>
      </c>
      <c r="M971" s="84">
        <f t="shared" ca="1" si="193"/>
        <v>0.92347067140098515</v>
      </c>
      <c r="N971" s="84">
        <f t="shared" ca="1" si="194"/>
        <v>1.0085450535716367</v>
      </c>
      <c r="O971" s="84">
        <f t="shared" ca="1" si="195"/>
        <v>1.0219535052641637</v>
      </c>
      <c r="P971" s="84">
        <f t="shared" ca="1" si="196"/>
        <v>1.1752773406663091</v>
      </c>
      <c r="Q971" s="84">
        <f t="shared" ca="1" si="197"/>
        <v>1.4041057356784554</v>
      </c>
    </row>
    <row r="972" spans="1:17" ht="15" customHeight="1" x14ac:dyDescent="0.2">
      <c r="A972" s="15">
        <v>933</v>
      </c>
      <c r="B972" s="84">
        <f t="shared" ca="1" si="200"/>
        <v>0.35010382855985134</v>
      </c>
      <c r="C972" s="84">
        <f t="shared" ca="1" si="200"/>
        <v>0.72844595328351658</v>
      </c>
      <c r="D972" s="84">
        <f t="shared" ca="1" si="200"/>
        <v>0.76070960280821409</v>
      </c>
      <c r="F972" s="84">
        <f t="shared" ca="1" si="201"/>
        <v>0.6965670628506403</v>
      </c>
      <c r="G972" s="84">
        <f t="shared" ca="1" si="201"/>
        <v>0.2544116514959901</v>
      </c>
      <c r="H972" s="84">
        <f t="shared" ca="1" si="201"/>
        <v>0.5474710828724717</v>
      </c>
      <c r="J972" s="85">
        <f t="shared" ca="1" si="191"/>
        <v>100073183.92203622</v>
      </c>
      <c r="K972" s="86">
        <f ca="1">IF(J972&gt;0,MIN(99,$B$12*Q972/(J972*12*(1-Inputs!$H$16))),99)</f>
        <v>5.0913547790289515</v>
      </c>
      <c r="L972" s="84">
        <f t="shared" ca="1" si="192"/>
        <v>0.9734607787775289</v>
      </c>
      <c r="M972" s="84">
        <f t="shared" ca="1" si="193"/>
        <v>0.98749022714313528</v>
      </c>
      <c r="N972" s="84">
        <f t="shared" ca="1" si="194"/>
        <v>1.0331527951042871</v>
      </c>
      <c r="O972" s="84">
        <f t="shared" ca="1" si="195"/>
        <v>1.0424302772566707</v>
      </c>
      <c r="P972" s="84">
        <f t="shared" ca="1" si="196"/>
        <v>1.0416720868023579</v>
      </c>
      <c r="Q972" s="84">
        <f t="shared" ca="1" si="197"/>
        <v>1.1178435359105094</v>
      </c>
    </row>
    <row r="973" spans="1:17" ht="15" customHeight="1" x14ac:dyDescent="0.2">
      <c r="A973" s="15">
        <v>934</v>
      </c>
      <c r="B973" s="84">
        <f t="shared" ca="1" si="200"/>
        <v>0.23059183910656467</v>
      </c>
      <c r="C973" s="84">
        <f t="shared" ca="1" si="200"/>
        <v>8.3332756552247589E-2</v>
      </c>
      <c r="D973" s="84">
        <f t="shared" ca="1" si="200"/>
        <v>0.45099549198703126</v>
      </c>
      <c r="F973" s="84">
        <f t="shared" ca="1" si="201"/>
        <v>0.30406267568798773</v>
      </c>
      <c r="G973" s="84">
        <f t="shared" ca="1" si="201"/>
        <v>0.96088876701992931</v>
      </c>
      <c r="H973" s="84">
        <f t="shared" ca="1" si="201"/>
        <v>0.82696186153869633</v>
      </c>
      <c r="J973" s="85">
        <f t="shared" ca="1" si="191"/>
        <v>62650294.073665604</v>
      </c>
      <c r="K973" s="86">
        <f ca="1">IF(J973&gt;0,MIN(99,$B$12*Q973/(J973*12*(1-Inputs!$H$16))),99)</f>
        <v>9.2258933304060378</v>
      </c>
      <c r="L973" s="84">
        <f t="shared" ca="1" si="192"/>
        <v>0.93606390625925018</v>
      </c>
      <c r="M973" s="84">
        <f t="shared" ca="1" si="193"/>
        <v>0.97075928495835717</v>
      </c>
      <c r="N973" s="84">
        <f t="shared" ca="1" si="194"/>
        <v>1.0036945543701921</v>
      </c>
      <c r="O973" s="84">
        <f t="shared" ca="1" si="195"/>
        <v>1.0067257119576243</v>
      </c>
      <c r="P973" s="84">
        <f t="shared" ca="1" si="196"/>
        <v>1.6747071540933103</v>
      </c>
      <c r="Q973" s="84">
        <f t="shared" ca="1" si="197"/>
        <v>1.2681233061500803</v>
      </c>
    </row>
    <row r="974" spans="1:17" ht="15" customHeight="1" x14ac:dyDescent="0.2">
      <c r="A974" s="15">
        <v>935</v>
      </c>
      <c r="B974" s="84">
        <f t="shared" ca="1" si="200"/>
        <v>2.9915546813256144E-2</v>
      </c>
      <c r="C974" s="84">
        <f t="shared" ca="1" si="200"/>
        <v>0.99689246817224164</v>
      </c>
      <c r="D974" s="84">
        <f t="shared" ca="1" si="200"/>
        <v>0.90150854618430343</v>
      </c>
      <c r="F974" s="84">
        <f t="shared" ca="1" si="201"/>
        <v>0.2330660723560104</v>
      </c>
      <c r="G974" s="84">
        <f t="shared" ca="1" si="201"/>
        <v>0.44367897017175062</v>
      </c>
      <c r="H974" s="84">
        <f t="shared" ca="1" si="201"/>
        <v>6.6553993146568402E-2</v>
      </c>
      <c r="J974" s="85">
        <f t="shared" ca="1" si="191"/>
        <v>7749096.5867722332</v>
      </c>
      <c r="K974" s="86">
        <f ca="1">IF(J974&gt;0,MIN(99,$B$12*Q974/(J974*12*(1-Inputs!$H$16))),99)</f>
        <v>54.456488122429697</v>
      </c>
      <c r="L974" s="84">
        <f t="shared" ca="1" si="192"/>
        <v>0.83301292111669023</v>
      </c>
      <c r="M974" s="84">
        <f t="shared" ca="1" si="193"/>
        <v>0.9246554276461747</v>
      </c>
      <c r="N974" s="84">
        <f t="shared" ca="1" si="194"/>
        <v>1.0536679166562779</v>
      </c>
      <c r="O974" s="84">
        <f t="shared" ca="1" si="195"/>
        <v>1.0014945236263881</v>
      </c>
      <c r="P974" s="84">
        <f t="shared" ca="1" si="196"/>
        <v>1.1535051262818015</v>
      </c>
      <c r="Q974" s="84">
        <f t="shared" ca="1" si="197"/>
        <v>0.92582871380071929</v>
      </c>
    </row>
    <row r="975" spans="1:17" ht="15" customHeight="1" x14ac:dyDescent="0.2">
      <c r="A975" s="15">
        <v>936</v>
      </c>
      <c r="B975" s="84">
        <f t="shared" ca="1" si="200"/>
        <v>6.872832389983119E-2</v>
      </c>
      <c r="C975" s="84">
        <f t="shared" ca="1" si="200"/>
        <v>0.71766096469056018</v>
      </c>
      <c r="D975" s="84">
        <f t="shared" ca="1" si="200"/>
        <v>0.10156132853801092</v>
      </c>
      <c r="F975" s="84">
        <f t="shared" ca="1" si="201"/>
        <v>0.82142427451350597</v>
      </c>
      <c r="G975" s="84">
        <f t="shared" ca="1" si="201"/>
        <v>0.36917521256478791</v>
      </c>
      <c r="H975" s="84">
        <f t="shared" ca="1" si="201"/>
        <v>0.3435737486614705</v>
      </c>
      <c r="J975" s="85">
        <f t="shared" ca="1" si="191"/>
        <v>33930036.65546684</v>
      </c>
      <c r="K975" s="86">
        <f ca="1">IF(J975&gt;0,MIN(99,$B$12*Q975/(J975*12*(1-Inputs!$H$16))),99)</f>
        <v>13.935202080123616</v>
      </c>
      <c r="L975" s="84">
        <f t="shared" ca="1" si="192"/>
        <v>0.86293143032346853</v>
      </c>
      <c r="M975" s="84">
        <f t="shared" ca="1" si="193"/>
        <v>0.93804063379004932</v>
      </c>
      <c r="N975" s="84">
        <f t="shared" ca="1" si="194"/>
        <v>0.96958138386216453</v>
      </c>
      <c r="O975" s="84">
        <f t="shared" ca="1" si="195"/>
        <v>1.0585910417577331</v>
      </c>
      <c r="P975" s="84">
        <f t="shared" ca="1" si="196"/>
        <v>1.1075039820792028</v>
      </c>
      <c r="Q975" s="84">
        <f t="shared" ca="1" si="197"/>
        <v>1.037355326427412</v>
      </c>
    </row>
    <row r="976" spans="1:17" ht="15" customHeight="1" x14ac:dyDescent="0.2">
      <c r="A976" s="15">
        <v>937</v>
      </c>
      <c r="B976" s="84">
        <f t="shared" ca="1" si="200"/>
        <v>0.26261949381724958</v>
      </c>
      <c r="C976" s="84">
        <f t="shared" ca="1" si="200"/>
        <v>0.22268322014716402</v>
      </c>
      <c r="D976" s="84">
        <f t="shared" ca="1" si="200"/>
        <v>0.54335597873686503</v>
      </c>
      <c r="F976" s="84">
        <f t="shared" ca="1" si="201"/>
        <v>0.53181998077549597</v>
      </c>
      <c r="G976" s="84">
        <f t="shared" ca="1" si="201"/>
        <v>0.11344824580712853</v>
      </c>
      <c r="H976" s="84">
        <f t="shared" ca="1" si="201"/>
        <v>0.51785828206947226</v>
      </c>
      <c r="J976" s="85">
        <f t="shared" ca="1" si="191"/>
        <v>92158527.062344119</v>
      </c>
      <c r="K976" s="86">
        <f ca="1">IF(J976&gt;0,MIN(99,$B$12*Q976/(J976*12*(1-Inputs!$H$16))),99)</f>
        <v>5.4658918260356408</v>
      </c>
      <c r="L976" s="84">
        <f t="shared" ca="1" si="192"/>
        <v>0.94688569764363928</v>
      </c>
      <c r="M976" s="84">
        <f t="shared" ca="1" si="193"/>
        <v>0.97560083329637515</v>
      </c>
      <c r="N976" s="84">
        <f t="shared" ca="1" si="194"/>
        <v>1.0113223896835406</v>
      </c>
      <c r="O976" s="84">
        <f t="shared" ca="1" si="195"/>
        <v>1.0256239045773192</v>
      </c>
      <c r="P976" s="84">
        <f t="shared" ca="1" si="196"/>
        <v>0.96312688941949853</v>
      </c>
      <c r="Q976" s="84">
        <f t="shared" ca="1" si="197"/>
        <v>1.1051634126841021</v>
      </c>
    </row>
    <row r="977" spans="1:17" ht="15" customHeight="1" x14ac:dyDescent="0.2">
      <c r="A977" s="15">
        <v>938</v>
      </c>
      <c r="B977" s="84">
        <f t="shared" ca="1" si="200"/>
        <v>0.80070862204282445</v>
      </c>
      <c r="C977" s="84">
        <f t="shared" ca="1" si="200"/>
        <v>0.17514531288097368</v>
      </c>
      <c r="D977" s="84">
        <f t="shared" ca="1" si="200"/>
        <v>0.90162633825262883</v>
      </c>
      <c r="F977" s="84">
        <f t="shared" ca="1" si="201"/>
        <v>0.58603926156451547</v>
      </c>
      <c r="G977" s="84">
        <f t="shared" ca="1" si="201"/>
        <v>0.94756314981820366</v>
      </c>
      <c r="H977" s="84">
        <f t="shared" ca="1" si="201"/>
        <v>0.44860466498092944</v>
      </c>
      <c r="J977" s="85">
        <f t="shared" ca="1" si="191"/>
        <v>173079774.3779909</v>
      </c>
      <c r="K977" s="86">
        <f ca="1">IF(J977&gt;0,MIN(99,$B$12*Q977/(J977*12*(1-Inputs!$H$16))),99)</f>
        <v>2.836087502601647</v>
      </c>
      <c r="L977" s="84">
        <f t="shared" ca="1" si="192"/>
        <v>1.1094628003465334</v>
      </c>
      <c r="M977" s="84">
        <f t="shared" ca="1" si="193"/>
        <v>1.0477787995383749</v>
      </c>
      <c r="N977" s="84">
        <f t="shared" ca="1" si="194"/>
        <v>1.0536898806105732</v>
      </c>
      <c r="O977" s="84">
        <f t="shared" ca="1" si="195"/>
        <v>1.0307694099719269</v>
      </c>
      <c r="P977" s="84">
        <f t="shared" ca="1" si="196"/>
        <v>1.6450143985712518</v>
      </c>
      <c r="Q977" s="84">
        <f t="shared" ca="1" si="197"/>
        <v>1.0769508613318954</v>
      </c>
    </row>
    <row r="978" spans="1:17" ht="15" customHeight="1" x14ac:dyDescent="0.2">
      <c r="A978" s="15">
        <v>939</v>
      </c>
      <c r="B978" s="84">
        <f t="shared" ca="1" si="200"/>
        <v>0.29240576350866887</v>
      </c>
      <c r="C978" s="84">
        <f t="shared" ca="1" si="200"/>
        <v>0.54536756877825388</v>
      </c>
      <c r="D978" s="84">
        <f t="shared" ca="1" si="200"/>
        <v>0.92201665982516512</v>
      </c>
      <c r="F978" s="84">
        <f t="shared" ca="1" si="201"/>
        <v>6.5057441537426208E-2</v>
      </c>
      <c r="G978" s="84">
        <f t="shared" ca="1" si="201"/>
        <v>0.98151835530147991</v>
      </c>
      <c r="H978" s="84">
        <f t="shared" ca="1" si="201"/>
        <v>5.2978920372052651E-2</v>
      </c>
      <c r="J978" s="85">
        <f t="shared" ca="1" si="191"/>
        <v>66502137.308700725</v>
      </c>
      <c r="K978" s="86">
        <f ca="1">IF(J978&gt;0,MIN(99,$B$12*Q978/(J978*12*(1-Inputs!$H$16))),99)</f>
        <v>6.283462099021663</v>
      </c>
      <c r="L978" s="84">
        <f t="shared" ca="1" si="192"/>
        <v>0.95637157548724461</v>
      </c>
      <c r="M978" s="84">
        <f t="shared" ca="1" si="193"/>
        <v>0.9798447088690091</v>
      </c>
      <c r="N978" s="84">
        <f t="shared" ca="1" si="194"/>
        <v>1.0577136764175237</v>
      </c>
      <c r="O978" s="84">
        <f t="shared" ca="1" si="195"/>
        <v>0.98656201384144382</v>
      </c>
      <c r="P978" s="84">
        <f t="shared" ca="1" si="196"/>
        <v>1.7334914109247392</v>
      </c>
      <c r="Q978" s="84">
        <f t="shared" ca="1" si="197"/>
        <v>0.91677876330237251</v>
      </c>
    </row>
    <row r="979" spans="1:17" ht="15" customHeight="1" x14ac:dyDescent="0.2">
      <c r="A979" s="15">
        <v>940</v>
      </c>
      <c r="B979" s="84">
        <f t="shared" ca="1" si="200"/>
        <v>0.93326494230847123</v>
      </c>
      <c r="C979" s="84">
        <f t="shared" ca="1" si="200"/>
        <v>0.7025399989214195</v>
      </c>
      <c r="D979" s="84">
        <f t="shared" ca="1" si="200"/>
        <v>0.38964351277989306</v>
      </c>
      <c r="F979" s="84">
        <f t="shared" ca="1" si="201"/>
        <v>0.69044898676121846</v>
      </c>
      <c r="G979" s="84">
        <f t="shared" ca="1" si="201"/>
        <v>8.407729341647785E-2</v>
      </c>
      <c r="H979" s="84">
        <f t="shared" ca="1" si="201"/>
        <v>0.77189770471141284</v>
      </c>
      <c r="J979" s="85">
        <f t="shared" ca="1" si="191"/>
        <v>266034301.24174625</v>
      </c>
      <c r="K979" s="86">
        <f ca="1">IF(J979&gt;0,MIN(99,$B$12*Q979/(J979*12*(1-Inputs!$H$16))),99)</f>
        <v>2.1108687435466584</v>
      </c>
      <c r="L979" s="84">
        <f t="shared" ca="1" si="192"/>
        <v>1.179208192247013</v>
      </c>
      <c r="M979" s="84">
        <f t="shared" ca="1" si="193"/>
        <v>1.0786247469522006</v>
      </c>
      <c r="N979" s="84">
        <f t="shared" ca="1" si="194"/>
        <v>0.99896425770954189</v>
      </c>
      <c r="O979" s="84">
        <f t="shared" ca="1" si="195"/>
        <v>1.0417340779486008</v>
      </c>
      <c r="P979" s="84">
        <f t="shared" ca="1" si="196"/>
        <v>0.94247545654089793</v>
      </c>
      <c r="Q979" s="84">
        <f t="shared" ca="1" si="197"/>
        <v>1.2320513438846536</v>
      </c>
    </row>
    <row r="980" spans="1:17" ht="15" customHeight="1" x14ac:dyDescent="0.2">
      <c r="A980" s="15">
        <v>941</v>
      </c>
      <c r="B980" s="84">
        <f t="shared" ref="B980:D999" ca="1" si="202">RAND()</f>
        <v>0.78975678521198001</v>
      </c>
      <c r="C980" s="84">
        <f t="shared" ca="1" si="202"/>
        <v>0.22590760786739039</v>
      </c>
      <c r="D980" s="84">
        <f t="shared" ca="1" si="202"/>
        <v>8.9493834466192523E-2</v>
      </c>
      <c r="F980" s="84">
        <f t="shared" ref="F980:H999" ca="1" si="203">RAND()</f>
        <v>0.97547031739842627</v>
      </c>
      <c r="G980" s="84">
        <f t="shared" ca="1" si="203"/>
        <v>0.81876647148974835</v>
      </c>
      <c r="H980" s="84">
        <f t="shared" ca="1" si="203"/>
        <v>0.58200717683786851</v>
      </c>
      <c r="J980" s="85">
        <f t="shared" ca="1" si="191"/>
        <v>186952287.96008462</v>
      </c>
      <c r="K980" s="86">
        <f ca="1">IF(J980&gt;0,MIN(99,$B$12*Q980/(J980*12*(1-Inputs!$H$16))),99)</f>
        <v>2.7626992390044416</v>
      </c>
      <c r="L980" s="84">
        <f t="shared" ca="1" si="192"/>
        <v>1.1049751723031229</v>
      </c>
      <c r="M980" s="84">
        <f t="shared" ca="1" si="193"/>
        <v>1.0457940786146274</v>
      </c>
      <c r="N980" s="84">
        <f t="shared" ca="1" si="194"/>
        <v>0.96770300295574474</v>
      </c>
      <c r="O980" s="84">
        <f t="shared" ca="1" si="195"/>
        <v>1.0921009724567128</v>
      </c>
      <c r="P980" s="84">
        <f t="shared" ca="1" si="196"/>
        <v>1.4579455261218073</v>
      </c>
      <c r="Q980" s="84">
        <f t="shared" ca="1" si="197"/>
        <v>1.133168083990203</v>
      </c>
    </row>
    <row r="981" spans="1:17" ht="15" customHeight="1" x14ac:dyDescent="0.2">
      <c r="A981" s="15">
        <v>942</v>
      </c>
      <c r="B981" s="84">
        <f t="shared" ca="1" si="202"/>
        <v>0.22912442140514666</v>
      </c>
      <c r="C981" s="84">
        <f t="shared" ca="1" si="202"/>
        <v>0.15690184032760968</v>
      </c>
      <c r="D981" s="84">
        <f t="shared" ca="1" si="202"/>
        <v>0.23204057369791153</v>
      </c>
      <c r="F981" s="84">
        <f t="shared" ca="1" si="203"/>
        <v>0.47083944915573195</v>
      </c>
      <c r="G981" s="84">
        <f t="shared" ca="1" si="203"/>
        <v>0.67361923408725299</v>
      </c>
      <c r="H981" s="84">
        <f t="shared" ca="1" si="203"/>
        <v>0.70310318313066933</v>
      </c>
      <c r="J981" s="85">
        <f t="shared" ca="1" si="191"/>
        <v>77186920.641282305</v>
      </c>
      <c r="K981" s="86">
        <f ca="1">IF(J981&gt;0,MIN(99,$B$12*Q981/(J981*12*(1-Inputs!$H$16))),99)</f>
        <v>7.0427988418127638</v>
      </c>
      <c r="L981" s="84">
        <f t="shared" ca="1" si="192"/>
        <v>0.93555060700003279</v>
      </c>
      <c r="M981" s="84">
        <f t="shared" ca="1" si="193"/>
        <v>0.97052964061509672</v>
      </c>
      <c r="N981" s="84">
        <f t="shared" ca="1" si="194"/>
        <v>0.98525908312640498</v>
      </c>
      <c r="O981" s="84">
        <f t="shared" ca="1" si="195"/>
        <v>1.0201812527124543</v>
      </c>
      <c r="P981" s="84">
        <f t="shared" ca="1" si="196"/>
        <v>1.3195087698583459</v>
      </c>
      <c r="Q981" s="84">
        <f t="shared" ca="1" si="197"/>
        <v>1.1926662800664807</v>
      </c>
    </row>
    <row r="982" spans="1:17" ht="15" customHeight="1" x14ac:dyDescent="0.2">
      <c r="A982" s="15">
        <v>943</v>
      </c>
      <c r="B982" s="84">
        <f t="shared" ca="1" si="202"/>
        <v>0.88307921416023061</v>
      </c>
      <c r="C982" s="84">
        <f t="shared" ca="1" si="202"/>
        <v>0.16893781161732757</v>
      </c>
      <c r="D982" s="84">
        <f t="shared" ca="1" si="202"/>
        <v>0.45982112383054174</v>
      </c>
      <c r="F982" s="84">
        <f t="shared" ca="1" si="203"/>
        <v>0.89648387999138313</v>
      </c>
      <c r="G982" s="84">
        <f t="shared" ca="1" si="203"/>
        <v>0.16659108844085901</v>
      </c>
      <c r="H982" s="84">
        <f t="shared" ca="1" si="203"/>
        <v>0.20471059028458416</v>
      </c>
      <c r="J982" s="85">
        <f t="shared" ca="1" si="191"/>
        <v>232922227.96711576</v>
      </c>
      <c r="K982" s="86">
        <f ca="1">IF(J982&gt;0,MIN(99,$B$12*Q982/(J982*12*(1-Inputs!$H$16))),99)</f>
        <v>1.935556711855158</v>
      </c>
      <c r="L982" s="84">
        <f t="shared" ca="1" si="192"/>
        <v>1.1482064352856649</v>
      </c>
      <c r="M982" s="84">
        <f t="shared" ca="1" si="193"/>
        <v>1.064913754169617</v>
      </c>
      <c r="N982" s="84">
        <f t="shared" ca="1" si="194"/>
        <v>1.004394199338513</v>
      </c>
      <c r="O982" s="84">
        <f t="shared" ca="1" si="195"/>
        <v>1.0712967422474433</v>
      </c>
      <c r="P982" s="84">
        <f t="shared" ca="1" si="196"/>
        <v>0.99456457967078205</v>
      </c>
      <c r="Q982" s="84">
        <f t="shared" ca="1" si="197"/>
        <v>0.98911497651150171</v>
      </c>
    </row>
    <row r="983" spans="1:17" ht="15" customHeight="1" x14ac:dyDescent="0.2">
      <c r="A983" s="15">
        <v>944</v>
      </c>
      <c r="B983" s="84">
        <f t="shared" ca="1" si="202"/>
        <v>0.70329541689515485</v>
      </c>
      <c r="C983" s="84">
        <f t="shared" ca="1" si="202"/>
        <v>6.4177004540260874E-2</v>
      </c>
      <c r="D983" s="84">
        <f t="shared" ca="1" si="202"/>
        <v>0.8550571308528282</v>
      </c>
      <c r="F983" s="84">
        <f t="shared" ca="1" si="203"/>
        <v>0.73710081394756377</v>
      </c>
      <c r="G983" s="84">
        <f t="shared" ca="1" si="203"/>
        <v>0.44543341052172769</v>
      </c>
      <c r="H983" s="84">
        <f t="shared" ca="1" si="203"/>
        <v>0.15476884921213707</v>
      </c>
      <c r="J983" s="85">
        <f t="shared" ca="1" si="191"/>
        <v>163359948.94689459</v>
      </c>
      <c r="K983" s="86">
        <f ca="1">IF(J983&gt;0,MIN(99,$B$12*Q983/(J983*12*(1-Inputs!$H$16))),99)</f>
        <v>2.7061489509542245</v>
      </c>
      <c r="L983" s="84">
        <f t="shared" ca="1" si="192"/>
        <v>1.073017624093298</v>
      </c>
      <c r="M983" s="84">
        <f t="shared" ca="1" si="193"/>
        <v>1.0316603727927196</v>
      </c>
      <c r="N983" s="84">
        <f t="shared" ca="1" si="194"/>
        <v>1.0458427952183926</v>
      </c>
      <c r="O983" s="84">
        <f t="shared" ca="1" si="195"/>
        <v>1.0472320066493757</v>
      </c>
      <c r="P983" s="84">
        <f t="shared" ca="1" si="196"/>
        <v>1.154624388994812</v>
      </c>
      <c r="Q983" s="84">
        <f t="shared" ca="1" si="197"/>
        <v>0.96990059923378458</v>
      </c>
    </row>
    <row r="984" spans="1:17" ht="15" customHeight="1" x14ac:dyDescent="0.2">
      <c r="A984" s="15">
        <v>945</v>
      </c>
      <c r="B984" s="84">
        <f t="shared" ca="1" si="202"/>
        <v>0.14670058493240068</v>
      </c>
      <c r="C984" s="84">
        <f t="shared" ca="1" si="202"/>
        <v>0.56302413967440423</v>
      </c>
      <c r="D984" s="84">
        <f t="shared" ca="1" si="202"/>
        <v>0.38369216313194399</v>
      </c>
      <c r="F984" s="84">
        <f t="shared" ca="1" si="203"/>
        <v>0.68643101773853155</v>
      </c>
      <c r="G984" s="84">
        <f t="shared" ca="1" si="203"/>
        <v>0.92985502816065635</v>
      </c>
      <c r="H984" s="84">
        <f t="shared" ca="1" si="203"/>
        <v>0.86113529858127813</v>
      </c>
      <c r="J984" s="85">
        <f t="shared" ca="1" si="191"/>
        <v>38606465.809797183</v>
      </c>
      <c r="K984" s="86">
        <f ca="1">IF(J984&gt;0,MIN(99,$B$12*Q984/(J984*12*(1-Inputs!$H$16))),99)</f>
        <v>15.271189378266333</v>
      </c>
      <c r="L984" s="84">
        <f t="shared" ca="1" si="192"/>
        <v>0.90346717792843068</v>
      </c>
      <c r="M984" s="84">
        <f t="shared" ca="1" si="193"/>
        <v>0.9561758735554573</v>
      </c>
      <c r="N984" s="84">
        <f t="shared" ca="1" si="194"/>
        <v>0.99850403958574896</v>
      </c>
      <c r="O984" s="84">
        <f t="shared" ca="1" si="195"/>
        <v>1.0412805951118955</v>
      </c>
      <c r="P984" s="84">
        <f t="shared" ca="1" si="196"/>
        <v>1.6109163381422231</v>
      </c>
      <c r="Q984" s="84">
        <f t="shared" ca="1" si="197"/>
        <v>1.2934893303596133</v>
      </c>
    </row>
    <row r="985" spans="1:17" ht="15" customHeight="1" x14ac:dyDescent="0.2">
      <c r="A985" s="15">
        <v>946</v>
      </c>
      <c r="B985" s="84">
        <f t="shared" ca="1" si="202"/>
        <v>4.7560276004782409E-2</v>
      </c>
      <c r="C985" s="84">
        <f t="shared" ca="1" si="202"/>
        <v>0.53159994727568738</v>
      </c>
      <c r="D985" s="84">
        <f t="shared" ca="1" si="202"/>
        <v>6.3867196030773954E-2</v>
      </c>
      <c r="F985" s="84">
        <f t="shared" ca="1" si="203"/>
        <v>0.1547033825534585</v>
      </c>
      <c r="G985" s="84">
        <f t="shared" ca="1" si="203"/>
        <v>7.6024937763580325E-2</v>
      </c>
      <c r="H985" s="84">
        <f t="shared" ca="1" si="203"/>
        <v>0.32105819614499442</v>
      </c>
      <c r="J985" s="85">
        <f t="shared" ca="1" si="191"/>
        <v>42668581.114013687</v>
      </c>
      <c r="K985" s="86">
        <f ca="1">IF(J985&gt;0,MIN(99,$B$12*Q985/(J985*12*(1-Inputs!$H$16))),99)</f>
        <v>10.995111930401142</v>
      </c>
      <c r="L985" s="84">
        <f t="shared" ca="1" si="192"/>
        <v>0.84814732428830208</v>
      </c>
      <c r="M985" s="84">
        <f t="shared" ca="1" si="193"/>
        <v>0.93142639022711238</v>
      </c>
      <c r="N985" s="84">
        <f t="shared" ca="1" si="194"/>
        <v>0.96323724547791723</v>
      </c>
      <c r="O985" s="84">
        <f t="shared" ca="1" si="195"/>
        <v>0.99560159339108634</v>
      </c>
      <c r="P985" s="84">
        <f t="shared" ca="1" si="196"/>
        <v>0.936202169787548</v>
      </c>
      <c r="Q985" s="84">
        <f t="shared" ca="1" si="197"/>
        <v>1.0292901044042861</v>
      </c>
    </row>
    <row r="986" spans="1:17" ht="15" customHeight="1" x14ac:dyDescent="0.2">
      <c r="A986" s="15">
        <v>947</v>
      </c>
      <c r="B986" s="84">
        <f t="shared" ca="1" si="202"/>
        <v>0.67478268284479581</v>
      </c>
      <c r="C986" s="84">
        <f t="shared" ca="1" si="202"/>
        <v>0.98221282527957054</v>
      </c>
      <c r="D986" s="84">
        <f t="shared" ca="1" si="202"/>
        <v>0.23601386828567561</v>
      </c>
      <c r="F986" s="84">
        <f t="shared" ca="1" si="203"/>
        <v>0.2147878529987779</v>
      </c>
      <c r="G986" s="84">
        <f t="shared" ca="1" si="203"/>
        <v>0.83793213401426636</v>
      </c>
      <c r="H986" s="84">
        <f t="shared" ca="1" si="203"/>
        <v>0.55223873224806919</v>
      </c>
      <c r="J986" s="85">
        <f t="shared" ca="1" si="191"/>
        <v>165700499.86660105</v>
      </c>
      <c r="K986" s="86">
        <f ca="1">IF(J986&gt;0,MIN(99,$B$12*Q986/(J986*12*(1-Inputs!$H$16))),99)</f>
        <v>3.0805946443343748</v>
      </c>
      <c r="L986" s="84">
        <f t="shared" ca="1" si="192"/>
        <v>1.063535153964446</v>
      </c>
      <c r="M986" s="84">
        <f t="shared" ca="1" si="193"/>
        <v>1.0274666079148176</v>
      </c>
      <c r="N986" s="84">
        <f t="shared" ca="1" si="194"/>
        <v>0.98565402715447925</v>
      </c>
      <c r="O986" s="84">
        <f t="shared" ca="1" si="195"/>
        <v>1.0001874111037619</v>
      </c>
      <c r="P986" s="84">
        <f t="shared" ca="1" si="196"/>
        <v>1.4799486226566223</v>
      </c>
      <c r="Q986" s="84">
        <f t="shared" ca="1" si="197"/>
        <v>1.1199233922999514</v>
      </c>
    </row>
    <row r="987" spans="1:17" ht="15" customHeight="1" x14ac:dyDescent="0.2">
      <c r="A987" s="15">
        <v>948</v>
      </c>
      <c r="B987" s="84">
        <f t="shared" ca="1" si="202"/>
        <v>0.34474199780918413</v>
      </c>
      <c r="C987" s="84">
        <f t="shared" ca="1" si="202"/>
        <v>0.6632204382513609</v>
      </c>
      <c r="D987" s="84">
        <f t="shared" ca="1" si="202"/>
        <v>0.65856787746781997</v>
      </c>
      <c r="F987" s="84">
        <f t="shared" ca="1" si="203"/>
        <v>0.79922959432900731</v>
      </c>
      <c r="G987" s="84">
        <f t="shared" ca="1" si="203"/>
        <v>0.38228199012619779</v>
      </c>
      <c r="H987" s="84">
        <f t="shared" ca="1" si="203"/>
        <v>0.99272426572335148</v>
      </c>
      <c r="J987" s="85">
        <f t="shared" ca="1" si="191"/>
        <v>96403615.928333864</v>
      </c>
      <c r="K987" s="86">
        <f ca="1">IF(J987&gt;0,MIN(99,$B$12*Q987/(J987*12*(1-Inputs!$H$16))),99)</f>
        <v>6.9108836870933539</v>
      </c>
      <c r="L987" s="84">
        <f t="shared" ca="1" si="192"/>
        <v>0.97193520445449366</v>
      </c>
      <c r="M987" s="84">
        <f t="shared" ca="1" si="193"/>
        <v>0.98680770226662828</v>
      </c>
      <c r="N987" s="84">
        <f t="shared" ca="1" si="194"/>
        <v>1.0220201859075027</v>
      </c>
      <c r="O987" s="84">
        <f t="shared" ca="1" si="195"/>
        <v>1.0553791937141297</v>
      </c>
      <c r="P987" s="84">
        <f t="shared" ca="1" si="196"/>
        <v>1.1153912855630479</v>
      </c>
      <c r="Q987" s="84">
        <f t="shared" ca="1" si="197"/>
        <v>1.4616952946539603</v>
      </c>
    </row>
    <row r="988" spans="1:17" ht="15" customHeight="1" x14ac:dyDescent="0.2">
      <c r="A988" s="15">
        <v>949</v>
      </c>
      <c r="B988" s="84">
        <f t="shared" ca="1" si="202"/>
        <v>0.13207349720162753</v>
      </c>
      <c r="C988" s="84">
        <f t="shared" ca="1" si="202"/>
        <v>0.75551128380679522</v>
      </c>
      <c r="D988" s="84">
        <f t="shared" ca="1" si="202"/>
        <v>0.94976811792932059</v>
      </c>
      <c r="F988" s="84">
        <f t="shared" ca="1" si="203"/>
        <v>0.69458336733979287</v>
      </c>
      <c r="G988" s="84">
        <f t="shared" ca="1" si="203"/>
        <v>0.98352748956664315</v>
      </c>
      <c r="H988" s="84">
        <f t="shared" ca="1" si="203"/>
        <v>8.5455691468529382E-2</v>
      </c>
      <c r="J988" s="85">
        <f t="shared" ca="1" si="191"/>
        <v>16568491.114885047</v>
      </c>
      <c r="K988" s="86">
        <f ca="1">IF(J988&gt;0,MIN(99,$B$12*Q988/(J988*12*(1-Inputs!$H$16))),99)</f>
        <v>25.776840114392332</v>
      </c>
      <c r="L988" s="84">
        <f t="shared" ca="1" si="192"/>
        <v>0.89689449714889968</v>
      </c>
      <c r="M988" s="84">
        <f t="shared" ca="1" si="193"/>
        <v>0.9532353297421321</v>
      </c>
      <c r="N988" s="84">
        <f t="shared" ca="1" si="194"/>
        <v>1.0641640367378538</v>
      </c>
      <c r="O988" s="84">
        <f t="shared" ca="1" si="195"/>
        <v>1.042203782348984</v>
      </c>
      <c r="P988" s="84">
        <f t="shared" ca="1" si="196"/>
        <v>1.7407202322552378</v>
      </c>
      <c r="Q988" s="84">
        <f t="shared" ca="1" si="197"/>
        <v>0.93700644563352153</v>
      </c>
    </row>
    <row r="989" spans="1:17" ht="15" customHeight="1" x14ac:dyDescent="0.2">
      <c r="A989" s="15">
        <v>950</v>
      </c>
      <c r="B989" s="84">
        <f t="shared" ca="1" si="202"/>
        <v>0.97917287941204778</v>
      </c>
      <c r="C989" s="84">
        <f t="shared" ca="1" si="202"/>
        <v>7.7393712768771827E-3</v>
      </c>
      <c r="D989" s="84">
        <f t="shared" ca="1" si="202"/>
        <v>1.0777628798935512E-2</v>
      </c>
      <c r="F989" s="84">
        <f t="shared" ca="1" si="203"/>
        <v>0.605826294612415</v>
      </c>
      <c r="G989" s="84">
        <f t="shared" ca="1" si="203"/>
        <v>0.80491821512432737</v>
      </c>
      <c r="H989" s="84">
        <f t="shared" ca="1" si="203"/>
        <v>0.54321997790250687</v>
      </c>
      <c r="J989" s="85">
        <f t="shared" ca="1" si="191"/>
        <v>296586606.50791848</v>
      </c>
      <c r="K989" s="86">
        <f ca="1">IF(J989&gt;0,MIN(99,$B$12*Q989/(J989*12*(1-Inputs!$H$16))),99)</f>
        <v>1.7150707225201669</v>
      </c>
      <c r="L989" s="84">
        <f t="shared" ca="1" si="192"/>
        <v>1.2214861785998847</v>
      </c>
      <c r="M989" s="84">
        <f t="shared" ca="1" si="193"/>
        <v>1.0973228215958124</v>
      </c>
      <c r="N989" s="84">
        <f t="shared" ca="1" si="194"/>
        <v>0.9489169782444874</v>
      </c>
      <c r="O989" s="84">
        <f t="shared" ca="1" si="195"/>
        <v>1.0327305530535322</v>
      </c>
      <c r="P989" s="84">
        <f t="shared" ca="1" si="196"/>
        <v>1.4427638032638113</v>
      </c>
      <c r="Q989" s="84">
        <f t="shared" ca="1" si="197"/>
        <v>1.1159982398259718</v>
      </c>
    </row>
    <row r="990" spans="1:17" ht="15" customHeight="1" x14ac:dyDescent="0.2">
      <c r="A990" s="15">
        <v>951</v>
      </c>
      <c r="B990" s="84">
        <f t="shared" ca="1" si="202"/>
        <v>0.56274387616898924</v>
      </c>
      <c r="C990" s="84">
        <f t="shared" ca="1" si="202"/>
        <v>0.23504772782921368</v>
      </c>
      <c r="D990" s="84">
        <f t="shared" ca="1" si="202"/>
        <v>0.47841218472113434</v>
      </c>
      <c r="F990" s="84">
        <f t="shared" ca="1" si="203"/>
        <v>0.69774427955705554</v>
      </c>
      <c r="G990" s="84">
        <f t="shared" ca="1" si="203"/>
        <v>7.32107496940817E-2</v>
      </c>
      <c r="H990" s="84">
        <f t="shared" ca="1" si="203"/>
        <v>0.31803530251954093</v>
      </c>
      <c r="J990" s="85">
        <f t="shared" ca="1" si="191"/>
        <v>149850822.45648569</v>
      </c>
      <c r="K990" s="86">
        <f ca="1">IF(J990&gt;0,MIN(99,$B$12*Q990/(J990*12*(1-Inputs!$H$16))),99)</f>
        <v>3.1274900103000594</v>
      </c>
      <c r="L990" s="84">
        <f t="shared" ca="1" si="192"/>
        <v>1.0298006585923118</v>
      </c>
      <c r="M990" s="84">
        <f t="shared" ca="1" si="193"/>
        <v>1.0125470205137517</v>
      </c>
      <c r="N990" s="84">
        <f t="shared" ca="1" si="194"/>
        <v>1.005886942593393</v>
      </c>
      <c r="O990" s="84">
        <f t="shared" ca="1" si="195"/>
        <v>1.042565039973709</v>
      </c>
      <c r="P990" s="84">
        <f t="shared" ca="1" si="196"/>
        <v>0.93393194161620796</v>
      </c>
      <c r="Q990" s="84">
        <f t="shared" ca="1" si="197"/>
        <v>1.0282175291738582</v>
      </c>
    </row>
    <row r="991" spans="1:17" ht="15" customHeight="1" x14ac:dyDescent="0.2">
      <c r="A991" s="15">
        <v>952</v>
      </c>
      <c r="B991" s="84">
        <f t="shared" ca="1" si="202"/>
        <v>0.2898708528091718</v>
      </c>
      <c r="C991" s="84">
        <f t="shared" ca="1" si="202"/>
        <v>0.52472569595673502</v>
      </c>
      <c r="D991" s="84">
        <f t="shared" ca="1" si="202"/>
        <v>0.81574302009972954</v>
      </c>
      <c r="F991" s="84">
        <f t="shared" ca="1" si="203"/>
        <v>0.54256415598040419</v>
      </c>
      <c r="G991" s="84">
        <f t="shared" ca="1" si="203"/>
        <v>0.84867786051848237</v>
      </c>
      <c r="H991" s="84">
        <f t="shared" ca="1" si="203"/>
        <v>0.45712638605074296</v>
      </c>
      <c r="J991" s="85">
        <f t="shared" ca="1" si="191"/>
        <v>71983373.818399265</v>
      </c>
      <c r="K991" s="86">
        <f ca="1">IF(J991&gt;0,MIN(99,$B$12*Q991/(J991*12*(1-Inputs!$H$16))),99)</f>
        <v>6.8405563768249591</v>
      </c>
      <c r="L991" s="84">
        <f t="shared" ca="1" si="192"/>
        <v>0.95558369511401586</v>
      </c>
      <c r="M991" s="84">
        <f t="shared" ca="1" si="193"/>
        <v>0.97949222000870217</v>
      </c>
      <c r="N991" s="84">
        <f t="shared" ca="1" si="194"/>
        <v>1.0401637425321137</v>
      </c>
      <c r="O991" s="84">
        <f t="shared" ca="1" si="195"/>
        <v>1.0266188582493283</v>
      </c>
      <c r="P991" s="84">
        <f t="shared" ca="1" si="196"/>
        <v>1.4928574092936311</v>
      </c>
      <c r="Q991" s="84">
        <f t="shared" ca="1" si="197"/>
        <v>1.0803228596124272</v>
      </c>
    </row>
    <row r="992" spans="1:17" ht="15" customHeight="1" x14ac:dyDescent="0.2">
      <c r="A992" s="15">
        <v>953</v>
      </c>
      <c r="B992" s="84">
        <f t="shared" ca="1" si="202"/>
        <v>0.10498046861097121</v>
      </c>
      <c r="C992" s="84">
        <f t="shared" ca="1" si="202"/>
        <v>0.19185205976863084</v>
      </c>
      <c r="D992" s="84">
        <f t="shared" ca="1" si="202"/>
        <v>7.0792228830951154E-2</v>
      </c>
      <c r="F992" s="84">
        <f t="shared" ca="1" si="203"/>
        <v>0.54535954195619674</v>
      </c>
      <c r="G992" s="84">
        <f t="shared" ca="1" si="203"/>
        <v>0.78985646561236855</v>
      </c>
      <c r="H992" s="84">
        <f t="shared" ca="1" si="203"/>
        <v>0.71524186773049925</v>
      </c>
      <c r="J992" s="85">
        <f t="shared" ca="1" si="191"/>
        <v>41527715.121222779</v>
      </c>
      <c r="K992" s="86">
        <f ca="1">IF(J992&gt;0,MIN(99,$B$12*Q992/(J992*12*(1-Inputs!$H$16))),99)</f>
        <v>13.162653578940198</v>
      </c>
      <c r="L992" s="84">
        <f t="shared" ca="1" si="192"/>
        <v>0.88367521667212934</v>
      </c>
      <c r="M992" s="84">
        <f t="shared" ca="1" si="193"/>
        <v>0.94732117161906693</v>
      </c>
      <c r="N992" s="84">
        <f t="shared" ca="1" si="194"/>
        <v>0.96452098298151268</v>
      </c>
      <c r="O992" s="84">
        <f t="shared" ca="1" si="195"/>
        <v>1.0268796324141531</v>
      </c>
      <c r="P992" s="84">
        <f t="shared" ca="1" si="196"/>
        <v>1.4268515922904654</v>
      </c>
      <c r="Q992" s="84">
        <f t="shared" ca="1" si="197"/>
        <v>1.1992547009573638</v>
      </c>
    </row>
    <row r="993" spans="1:17" ht="15" customHeight="1" x14ac:dyDescent="0.2">
      <c r="A993" s="15">
        <v>954</v>
      </c>
      <c r="B993" s="84">
        <f t="shared" ca="1" si="202"/>
        <v>8.3999969519989337E-2</v>
      </c>
      <c r="C993" s="84">
        <f t="shared" ca="1" si="202"/>
        <v>0.23010512752178958</v>
      </c>
      <c r="D993" s="84">
        <f t="shared" ca="1" si="202"/>
        <v>7.9162069681778413E-2</v>
      </c>
      <c r="F993" s="84">
        <f t="shared" ca="1" si="203"/>
        <v>0.10560155820031136</v>
      </c>
      <c r="G993" s="84">
        <f t="shared" ca="1" si="203"/>
        <v>0.6837081782724882</v>
      </c>
      <c r="H993" s="84">
        <f t="shared" ca="1" si="203"/>
        <v>0.66668515500128711</v>
      </c>
      <c r="J993" s="85">
        <f t="shared" ca="1" si="191"/>
        <v>43501707.17475231</v>
      </c>
      <c r="K993" s="86">
        <f ca="1">IF(J993&gt;0,MIN(99,$B$12*Q993/(J993*12*(1-Inputs!$H$16))),99)</f>
        <v>12.297297560817457</v>
      </c>
      <c r="L993" s="84">
        <f t="shared" ca="1" si="192"/>
        <v>0.87221109283923726</v>
      </c>
      <c r="M993" s="84">
        <f t="shared" ca="1" si="193"/>
        <v>0.94219225093315917</v>
      </c>
      <c r="N993" s="84">
        <f t="shared" ca="1" si="194"/>
        <v>0.96599138511279203</v>
      </c>
      <c r="O993" s="84">
        <f t="shared" ca="1" si="195"/>
        <v>0.99113217173814327</v>
      </c>
      <c r="P993" s="84">
        <f t="shared" ca="1" si="196"/>
        <v>1.3279711507289136</v>
      </c>
      <c r="Q993" s="84">
        <f t="shared" ca="1" si="197"/>
        <v>1.1736697843641131</v>
      </c>
    </row>
    <row r="994" spans="1:17" ht="15" customHeight="1" x14ac:dyDescent="0.2">
      <c r="A994" s="15">
        <v>955</v>
      </c>
      <c r="B994" s="84">
        <f t="shared" ca="1" si="202"/>
        <v>0.74788791688915301</v>
      </c>
      <c r="C994" s="84">
        <f t="shared" ca="1" si="202"/>
        <v>0.88167365770817252</v>
      </c>
      <c r="D994" s="84">
        <f t="shared" ca="1" si="202"/>
        <v>0.46780010833043173</v>
      </c>
      <c r="F994" s="84">
        <f t="shared" ca="1" si="203"/>
        <v>0.53010948718950701</v>
      </c>
      <c r="G994" s="84">
        <f t="shared" ca="1" si="203"/>
        <v>0.50159519427408739</v>
      </c>
      <c r="H994" s="84">
        <f t="shared" ca="1" si="203"/>
        <v>0.11322272327976357</v>
      </c>
      <c r="J994" s="85">
        <f t="shared" ca="1" si="191"/>
        <v>186934232.98713893</v>
      </c>
      <c r="K994" s="86">
        <f ca="1">IF(J994&gt;0,MIN(99,$B$12*Q994/(J994*12*(1-Inputs!$H$16))),99)</f>
        <v>2.3197103518667084</v>
      </c>
      <c r="L994" s="84">
        <f t="shared" ca="1" si="192"/>
        <v>1.0888135036375046</v>
      </c>
      <c r="M994" s="84">
        <f t="shared" ca="1" si="193"/>
        <v>1.038646337836417</v>
      </c>
      <c r="N994" s="84">
        <f t="shared" ca="1" si="194"/>
        <v>1.0050316629086484</v>
      </c>
      <c r="O994" s="84">
        <f t="shared" ca="1" si="195"/>
        <v>1.0254665636371578</v>
      </c>
      <c r="P994" s="84">
        <f t="shared" ca="1" si="196"/>
        <v>1.1914386055045725</v>
      </c>
      <c r="Q994" s="84">
        <f t="shared" ca="1" si="197"/>
        <v>0.95137676870554955</v>
      </c>
    </row>
    <row r="995" spans="1:17" ht="15" customHeight="1" x14ac:dyDescent="0.2">
      <c r="A995" s="15">
        <v>956</v>
      </c>
      <c r="B995" s="84">
        <f t="shared" ca="1" si="202"/>
        <v>0.93523955700149597</v>
      </c>
      <c r="C995" s="84">
        <f t="shared" ca="1" si="202"/>
        <v>0.39210310548708027</v>
      </c>
      <c r="D995" s="84">
        <f t="shared" ca="1" si="202"/>
        <v>0.52760028961699545</v>
      </c>
      <c r="F995" s="84">
        <f t="shared" ca="1" si="203"/>
        <v>0.73532822663139863</v>
      </c>
      <c r="G995" s="84">
        <f t="shared" ca="1" si="203"/>
        <v>0.26657329054922363</v>
      </c>
      <c r="H995" s="84">
        <f t="shared" ca="1" si="203"/>
        <v>0.93381541332845075</v>
      </c>
      <c r="J995" s="85">
        <f t="shared" ca="1" si="191"/>
        <v>259514219.61010319</v>
      </c>
      <c r="K995" s="86">
        <f ca="1">IF(J995&gt;0,MIN(99,$B$12*Q995/(J995*12*(1-Inputs!$H$16))),99)</f>
        <v>2.390434777137159</v>
      </c>
      <c r="L995" s="84">
        <f t="shared" ca="1" si="192"/>
        <v>1.1806360189887353</v>
      </c>
      <c r="M995" s="84">
        <f t="shared" ca="1" si="193"/>
        <v>1.0792562247802135</v>
      </c>
      <c r="N995" s="84">
        <f t="shared" ca="1" si="194"/>
        <v>1.0099699628263497</v>
      </c>
      <c r="O995" s="84">
        <f t="shared" ca="1" si="195"/>
        <v>1.0470145835578613</v>
      </c>
      <c r="P995" s="84">
        <f t="shared" ca="1" si="196"/>
        <v>1.0483962437161289</v>
      </c>
      <c r="Q995" s="84">
        <f t="shared" ca="1" si="197"/>
        <v>1.3610309434460297</v>
      </c>
    </row>
    <row r="996" spans="1:17" ht="15" customHeight="1" x14ac:dyDescent="0.2">
      <c r="A996" s="15">
        <v>957</v>
      </c>
      <c r="B996" s="84">
        <f t="shared" ca="1" si="202"/>
        <v>2.7651955045233323E-2</v>
      </c>
      <c r="C996" s="84">
        <f t="shared" ca="1" si="202"/>
        <v>0.93834478213742312</v>
      </c>
      <c r="D996" s="84">
        <f t="shared" ca="1" si="202"/>
        <v>0.92017056974454736</v>
      </c>
      <c r="F996" s="84">
        <f t="shared" ca="1" si="203"/>
        <v>1.6715427793146942E-3</v>
      </c>
      <c r="G996" s="84">
        <f t="shared" ca="1" si="203"/>
        <v>0.17751184509349138</v>
      </c>
      <c r="H996" s="84">
        <f t="shared" ca="1" si="203"/>
        <v>0.16540272550925084</v>
      </c>
      <c r="J996" s="85">
        <f t="shared" ca="1" si="191"/>
        <v>16356177.717100486</v>
      </c>
      <c r="K996" s="86">
        <f ca="1">IF(J996&gt;0,MIN(99,$B$12*Q996/(J996*12*(1-Inputs!$H$16))),99)</f>
        <v>27.1486260742114</v>
      </c>
      <c r="L996" s="84">
        <f t="shared" ca="1" si="192"/>
        <v>0.83077494905949045</v>
      </c>
      <c r="M996" s="84">
        <f t="shared" ca="1" si="193"/>
        <v>0.92365418399720767</v>
      </c>
      <c r="N996" s="84">
        <f t="shared" ca="1" si="194"/>
        <v>1.0573292014285589</v>
      </c>
      <c r="O996" s="84">
        <f t="shared" ca="1" si="195"/>
        <v>0.97255875687143112</v>
      </c>
      <c r="P996" s="84">
        <f t="shared" ca="1" si="196"/>
        <v>1.0003672740560177</v>
      </c>
      <c r="Q996" s="84">
        <f t="shared" ca="1" si="197"/>
        <v>0.97422578072168886</v>
      </c>
    </row>
    <row r="997" spans="1:17" ht="15" customHeight="1" x14ac:dyDescent="0.2">
      <c r="A997" s="15">
        <v>958</v>
      </c>
      <c r="B997" s="84">
        <f t="shared" ca="1" si="202"/>
        <v>0.97080653360795743</v>
      </c>
      <c r="C997" s="84">
        <f t="shared" ca="1" si="202"/>
        <v>0.9653234459839215</v>
      </c>
      <c r="D997" s="84">
        <f t="shared" ca="1" si="202"/>
        <v>0.43758002624953174</v>
      </c>
      <c r="F997" s="84">
        <f t="shared" ca="1" si="203"/>
        <v>0.34705127611328224</v>
      </c>
      <c r="G997" s="84">
        <f t="shared" ca="1" si="203"/>
        <v>0.14274040860999049</v>
      </c>
      <c r="H997" s="84">
        <f t="shared" ca="1" si="203"/>
        <v>0.58499452800335627</v>
      </c>
      <c r="J997" s="85">
        <f t="shared" ca="1" si="191"/>
        <v>295507282.85966229</v>
      </c>
      <c r="K997" s="86">
        <f ca="1">IF(J997&gt;0,MIN(99,$B$12*Q997/(J997*12*(1-Inputs!$H$16))),99)</f>
        <v>1.7499076927916037</v>
      </c>
      <c r="L997" s="84">
        <f t="shared" ca="1" si="192"/>
        <v>1.2116430617145537</v>
      </c>
      <c r="M997" s="84">
        <f t="shared" ca="1" si="193"/>
        <v>1.0929695552715468</v>
      </c>
      <c r="N997" s="84">
        <f t="shared" ca="1" si="194"/>
        <v>1.0026417382352424</v>
      </c>
      <c r="O997" s="84">
        <f t="shared" ca="1" si="195"/>
        <v>1.0100237730095358</v>
      </c>
      <c r="P997" s="84">
        <f t="shared" ca="1" si="196"/>
        <v>0.98119106439395509</v>
      </c>
      <c r="Q997" s="84">
        <f t="shared" ca="1" si="197"/>
        <v>1.1345229105263008</v>
      </c>
    </row>
    <row r="998" spans="1:17" ht="15" customHeight="1" x14ac:dyDescent="0.2">
      <c r="A998" s="15">
        <v>959</v>
      </c>
      <c r="B998" s="84">
        <f t="shared" ca="1" si="202"/>
        <v>0.62644142673114178</v>
      </c>
      <c r="C998" s="84">
        <f t="shared" ca="1" si="202"/>
        <v>0.21924730605459275</v>
      </c>
      <c r="D998" s="84">
        <f t="shared" ca="1" si="202"/>
        <v>0.38400997948573135</v>
      </c>
      <c r="F998" s="84">
        <f t="shared" ca="1" si="203"/>
        <v>0.23004953706118147</v>
      </c>
      <c r="G998" s="84">
        <f t="shared" ca="1" si="203"/>
        <v>0.50051359540792117</v>
      </c>
      <c r="H998" s="84">
        <f t="shared" ca="1" si="203"/>
        <v>0.23563746685452802</v>
      </c>
      <c r="J998" s="85">
        <f t="shared" ca="1" si="191"/>
        <v>162252926.20927346</v>
      </c>
      <c r="K998" s="86">
        <f ca="1">IF(J998&gt;0,MIN(99,$B$12*Q998/(J998*12*(1-Inputs!$H$16))),99)</f>
        <v>2.8087347957700657</v>
      </c>
      <c r="L998" s="84">
        <f t="shared" ca="1" si="192"/>
        <v>1.048363057238084</v>
      </c>
      <c r="M998" s="84">
        <f t="shared" ca="1" si="193"/>
        <v>1.0207565201939452</v>
      </c>
      <c r="N998" s="84">
        <f t="shared" ca="1" si="194"/>
        <v>0.99852870616539091</v>
      </c>
      <c r="O998" s="84">
        <f t="shared" ca="1" si="195"/>
        <v>1.0012777402991957</v>
      </c>
      <c r="P998" s="84">
        <f t="shared" ca="1" si="196"/>
        <v>1.190710569185313</v>
      </c>
      <c r="Q998" s="84">
        <f t="shared" ca="1" si="197"/>
        <v>0.99984623118823501</v>
      </c>
    </row>
    <row r="999" spans="1:17" ht="15" customHeight="1" x14ac:dyDescent="0.2">
      <c r="A999" s="15">
        <v>960</v>
      </c>
      <c r="B999" s="84">
        <f t="shared" ca="1" si="202"/>
        <v>0.40442779720431099</v>
      </c>
      <c r="C999" s="84">
        <f t="shared" ca="1" si="202"/>
        <v>0.10618126517835647</v>
      </c>
      <c r="D999" s="84">
        <f t="shared" ca="1" si="202"/>
        <v>0.40087120390005893</v>
      </c>
      <c r="F999" s="84">
        <f t="shared" ca="1" si="203"/>
        <v>0.42763620837825911</v>
      </c>
      <c r="G999" s="84">
        <f t="shared" ca="1" si="203"/>
        <v>8.238862530842328E-2</v>
      </c>
      <c r="H999" s="84">
        <f t="shared" ca="1" si="203"/>
        <v>0.23847906078117553</v>
      </c>
      <c r="J999" s="85">
        <f t="shared" ca="1" si="191"/>
        <v>125587763.59109406</v>
      </c>
      <c r="K999" s="86">
        <f ca="1">IF(J999&gt;0,MIN(99,$B$12*Q999/(J999*12*(1-Inputs!$H$16))),99)</f>
        <v>3.632196893520125</v>
      </c>
      <c r="L999" s="84">
        <f t="shared" ca="1" si="192"/>
        <v>0.98830290008690691</v>
      </c>
      <c r="M999" s="84">
        <f t="shared" ca="1" si="193"/>
        <v>0.99413042609039459</v>
      </c>
      <c r="N999" s="84">
        <f t="shared" ca="1" si="194"/>
        <v>0.99982302498691933</v>
      </c>
      <c r="O999" s="84">
        <f t="shared" ca="1" si="195"/>
        <v>1.0165131567287868</v>
      </c>
      <c r="P999" s="84">
        <f t="shared" ca="1" si="196"/>
        <v>0.94118566165268647</v>
      </c>
      <c r="Q999" s="84">
        <f t="shared" ca="1" si="197"/>
        <v>1.0007985117500011</v>
      </c>
    </row>
    <row r="1000" spans="1:17" ht="15" customHeight="1" x14ac:dyDescent="0.2">
      <c r="A1000" s="15">
        <v>961</v>
      </c>
      <c r="B1000" s="84">
        <f t="shared" ref="B1000:D1019" ca="1" si="204">RAND()</f>
        <v>0.48680970247743216</v>
      </c>
      <c r="C1000" s="84">
        <f t="shared" ca="1" si="204"/>
        <v>0.99628800358837111</v>
      </c>
      <c r="D1000" s="84">
        <f t="shared" ca="1" si="204"/>
        <v>0.19562388322449664</v>
      </c>
      <c r="F1000" s="84">
        <f t="shared" ref="F1000:H1019" ca="1" si="205">RAND()</f>
        <v>0.58842472800381573</v>
      </c>
      <c r="G1000" s="84">
        <f t="shared" ca="1" si="205"/>
        <v>0.49932567959455743</v>
      </c>
      <c r="H1000" s="84">
        <f t="shared" ca="1" si="205"/>
        <v>0.19985938872292253</v>
      </c>
      <c r="J1000" s="85">
        <f t="shared" ref="J1000:J1039" ca="1" si="206">$B$5*L1000*M1000-$B$6*L1000*N1000-$B$7*L1000*M1000-$B$8*L1000*M1000-$B$9*O1000-$B$10*P1000-$B$11</f>
        <v>132720523.37736903</v>
      </c>
      <c r="K1000" s="86">
        <f ca="1">IF(J1000&gt;0,MIN(99,$B$12*Q1000/(J1000*12*(1-Inputs!$H$16))),99)</f>
        <v>3.3908411347055614</v>
      </c>
      <c r="L1000" s="84">
        <f t="shared" ref="L1000:L1039" ca="1" si="207">IF($D$16=$B$16,$C$16,IF(B1000&lt;($C$16-$B$16)/($D$16-$B$16),$B$16+SQRT(B1000*($D$16-$B$16)*($C$16-$B$16)),$D$16-SQRT((1-B1000)*($D$16-$B$16)*($D$16-$C$16))))</f>
        <v>1.0093617762644971</v>
      </c>
      <c r="M1000" s="84">
        <f t="shared" ref="M1000:M1039" ca="1" si="208">IF($D$17=$B$17,$C$17,IF(IF($B$33=1,B1000,C1000)&lt;($C$17-$B$17)/($D$17-$B$17),$B$17+SQRT(IF($B$33=1,B1000,C1000)*($D$17-$B$17)*($C$17-$B$17)),$D$17-SQRT((1-IF($B$33=1,B1000,C1000))*($D$17-$B$17)*($D$17-$C$17))))</f>
        <v>1.0035076177331244</v>
      </c>
      <c r="N1000" s="84">
        <f t="shared" ref="N1000:N1039" ca="1" si="209">IF($D$18=$B$18,$C$18,IF(D1000&lt;($C$18-$B$18)/($D$18-$B$18),$B$18+SQRT(D1000*($D$18-$B$18)*($C$18-$B$18)),$D$18-SQRT((1-D1000)*($D$18-$B$18)*($D$18-$C$18))))</f>
        <v>0.9814687912000748</v>
      </c>
      <c r="O1000" s="84">
        <f t="shared" ref="O1000:O1039" ca="1" si="210">IF($D$19=$B$19,$C$19,IF(F1000&lt;($C$19-$B$19)/($D$19-$B$19),$B$19+SQRT(F1000*($D$19-$B$19)*($C$19-$B$19)),$D$19-SQRT((1-F1000)*($D$19-$B$19)*($D$19-$C$19))))</f>
        <v>1.0310033171827082</v>
      </c>
      <c r="P1000" s="84">
        <f t="shared" ref="P1000:P1039" ca="1" si="211">IF($D$20=$B$20,$C$20,IF(G1000&lt;($C$20-$B$20)/($D$20-$B$20),$B$20+SQRT(G1000*($D$20-$B$20)*($C$20-$B$20)),$D$20-SQRT((1-G1000)*($D$20-$B$20)*($D$20-$C$20))))</f>
        <v>1.1899118774345192</v>
      </c>
      <c r="Q1000" s="84">
        <f t="shared" ref="Q1000:Q1039" ca="1" si="212">IF($D$21=$B$21,$C$21,IF(H1000&lt;($C$21-$B$21)/($D$21-$B$21),$B$21+SQRT(H1000*($D$21-$B$21)*($C$21-$B$21)),$D$21-SQRT((1-H1000)*($D$21-$B$21)*($D$21-$C$21))))</f>
        <v>0.987359865836825</v>
      </c>
    </row>
    <row r="1001" spans="1:17" ht="15" customHeight="1" x14ac:dyDescent="0.2">
      <c r="A1001" s="15">
        <v>962</v>
      </c>
      <c r="B1001" s="84">
        <f t="shared" ca="1" si="204"/>
        <v>0.76690430358277206</v>
      </c>
      <c r="C1001" s="84">
        <f t="shared" ca="1" si="204"/>
        <v>0.28828198119041337</v>
      </c>
      <c r="D1001" s="84">
        <f t="shared" ca="1" si="204"/>
        <v>4.8596910412015748E-2</v>
      </c>
      <c r="F1001" s="84">
        <f t="shared" ca="1" si="205"/>
        <v>0.27157201722064317</v>
      </c>
      <c r="G1001" s="84">
        <f t="shared" ca="1" si="205"/>
        <v>0.61862281701691568</v>
      </c>
      <c r="H1001" s="84">
        <f t="shared" ca="1" si="205"/>
        <v>0.71586958663892186</v>
      </c>
      <c r="J1001" s="85">
        <f t="shared" ca="1" si="206"/>
        <v>203324142.15244818</v>
      </c>
      <c r="K1001" s="86">
        <f ca="1">IF(J1001&gt;0,MIN(99,$B$12*Q1001/(J1001*12*(1-Inputs!$H$16))),99)</f>
        <v>2.6891638988384354</v>
      </c>
      <c r="L1001" s="84">
        <f t="shared" ca="1" si="207"/>
        <v>1.0959730236602068</v>
      </c>
      <c r="M1001" s="84">
        <f t="shared" ca="1" si="208"/>
        <v>1.0418127431301691</v>
      </c>
      <c r="N1001" s="84">
        <f t="shared" ca="1" si="209"/>
        <v>0.96013356451186693</v>
      </c>
      <c r="O1001" s="84">
        <f t="shared" ca="1" si="210"/>
        <v>1.0043001413079793</v>
      </c>
      <c r="P1001" s="84">
        <f t="shared" ca="1" si="211"/>
        <v>1.2755192816785312</v>
      </c>
      <c r="Q1001" s="84">
        <f t="shared" ca="1" si="212"/>
        <v>1.199599186069414</v>
      </c>
    </row>
    <row r="1002" spans="1:17" ht="15" customHeight="1" x14ac:dyDescent="0.2">
      <c r="A1002" s="15">
        <v>963</v>
      </c>
      <c r="B1002" s="84">
        <f t="shared" ca="1" si="204"/>
        <v>0.51196724012722317</v>
      </c>
      <c r="C1002" s="84">
        <f t="shared" ca="1" si="204"/>
        <v>0.41190098779916751</v>
      </c>
      <c r="D1002" s="84">
        <f t="shared" ca="1" si="204"/>
        <v>0.58754616273086679</v>
      </c>
      <c r="F1002" s="84">
        <f t="shared" ca="1" si="205"/>
        <v>0.22934863706550324</v>
      </c>
      <c r="G1002" s="84">
        <f t="shared" ca="1" si="205"/>
        <v>0.11509111058738142</v>
      </c>
      <c r="H1002" s="84">
        <f t="shared" ca="1" si="205"/>
        <v>0.21631890370547446</v>
      </c>
      <c r="J1002" s="85">
        <f t="shared" ca="1" si="206"/>
        <v>143580766.06457096</v>
      </c>
      <c r="K1002" s="86">
        <f ca="1">IF(J1002&gt;0,MIN(99,$B$12*Q1002/(J1002*12*(1-Inputs!$H$16))),99)</f>
        <v>3.1530042625503389</v>
      </c>
      <c r="L1002" s="84">
        <f t="shared" ca="1" si="207"/>
        <v>1.0159546285252199</v>
      </c>
      <c r="M1002" s="84">
        <f t="shared" ca="1" si="208"/>
        <v>1.0064234056955972</v>
      </c>
      <c r="N1002" s="84">
        <f t="shared" ca="1" si="209"/>
        <v>1.0152453218827808</v>
      </c>
      <c r="O1002" s="84">
        <f t="shared" ca="1" si="210"/>
        <v>1.0012274309474214</v>
      </c>
      <c r="P1002" s="84">
        <f t="shared" ca="1" si="211"/>
        <v>0.96419781071320199</v>
      </c>
      <c r="Q1002" s="84">
        <f t="shared" ca="1" si="212"/>
        <v>0.99323214227973589</v>
      </c>
    </row>
    <row r="1003" spans="1:17" ht="15" customHeight="1" x14ac:dyDescent="0.2">
      <c r="A1003" s="15">
        <v>964</v>
      </c>
      <c r="B1003" s="84">
        <f t="shared" ca="1" si="204"/>
        <v>0.14717127448801881</v>
      </c>
      <c r="C1003" s="84">
        <f t="shared" ca="1" si="204"/>
        <v>0.63801854850188688</v>
      </c>
      <c r="D1003" s="84">
        <f t="shared" ca="1" si="204"/>
        <v>0.3103080294573628</v>
      </c>
      <c r="F1003" s="84">
        <f t="shared" ca="1" si="205"/>
        <v>0.38209587622806152</v>
      </c>
      <c r="G1003" s="84">
        <f t="shared" ca="1" si="205"/>
        <v>0.26657653273343218</v>
      </c>
      <c r="H1003" s="84">
        <f t="shared" ca="1" si="205"/>
        <v>0.42950764584675449</v>
      </c>
      <c r="J1003" s="85">
        <f t="shared" ca="1" si="206"/>
        <v>65911750.522513255</v>
      </c>
      <c r="K1003" s="86">
        <f ca="1">IF(J1003&gt;0,MIN(99,$B$12*Q1003/(J1003*12*(1-Inputs!$H$16))),99)</f>
        <v>7.3957630548553404</v>
      </c>
      <c r="L1003" s="84">
        <f t="shared" ca="1" si="207"/>
        <v>0.90367310666919531</v>
      </c>
      <c r="M1003" s="84">
        <f t="shared" ca="1" si="208"/>
        <v>0.95626800376913312</v>
      </c>
      <c r="N1003" s="84">
        <f t="shared" ca="1" si="209"/>
        <v>0.99250528654260617</v>
      </c>
      <c r="O1003" s="84">
        <f t="shared" ca="1" si="210"/>
        <v>1.0127935998859874</v>
      </c>
      <c r="P1003" s="84">
        <f t="shared" ca="1" si="211"/>
        <v>1.0483980437188611</v>
      </c>
      <c r="Q1003" s="84">
        <f t="shared" ca="1" si="212"/>
        <v>1.0694876558547703</v>
      </c>
    </row>
    <row r="1004" spans="1:17" ht="15" customHeight="1" x14ac:dyDescent="0.2">
      <c r="A1004" s="15">
        <v>965</v>
      </c>
      <c r="B1004" s="84">
        <f t="shared" ca="1" si="204"/>
        <v>0.48275442378109901</v>
      </c>
      <c r="C1004" s="84">
        <f t="shared" ca="1" si="204"/>
        <v>0.54767992373306351</v>
      </c>
      <c r="D1004" s="84">
        <f t="shared" ca="1" si="204"/>
        <v>0.67776726705015977</v>
      </c>
      <c r="F1004" s="84">
        <f t="shared" ca="1" si="205"/>
        <v>0.7913649836739145</v>
      </c>
      <c r="G1004" s="84">
        <f t="shared" ca="1" si="205"/>
        <v>0.25768688108468252</v>
      </c>
      <c r="H1004" s="84">
        <f t="shared" ca="1" si="205"/>
        <v>0.15638197379242302</v>
      </c>
      <c r="J1004" s="85">
        <f t="shared" ca="1" si="206"/>
        <v>124392066.17199819</v>
      </c>
      <c r="K1004" s="86">
        <f ca="1">IF(J1004&gt;0,MIN(99,$B$12*Q1004/(J1004*12*(1-Inputs!$H$16))),99)</f>
        <v>3.556333503144101</v>
      </c>
      <c r="L1004" s="84">
        <f t="shared" ca="1" si="207"/>
        <v>1.0083142922275381</v>
      </c>
      <c r="M1004" s="84">
        <f t="shared" ca="1" si="208"/>
        <v>1.003044352180513</v>
      </c>
      <c r="N1004" s="84">
        <f t="shared" ca="1" si="209"/>
        <v>1.0239701980048947</v>
      </c>
      <c r="O1004" s="84">
        <f t="shared" ca="1" si="210"/>
        <v>1.0542840822508059</v>
      </c>
      <c r="P1004" s="84">
        <f t="shared" ca="1" si="211"/>
        <v>1.0434775277273594</v>
      </c>
      <c r="Q1004" s="84">
        <f t="shared" ca="1" si="212"/>
        <v>0.97056606864814976</v>
      </c>
    </row>
    <row r="1005" spans="1:17" ht="15" customHeight="1" x14ac:dyDescent="0.2">
      <c r="A1005" s="15">
        <v>966</v>
      </c>
      <c r="B1005" s="84">
        <f t="shared" ca="1" si="204"/>
        <v>0.26776124121268852</v>
      </c>
      <c r="C1005" s="84">
        <f t="shared" ca="1" si="204"/>
        <v>0.66062056211575426</v>
      </c>
      <c r="D1005" s="84">
        <f t="shared" ca="1" si="204"/>
        <v>9.4265652768678487E-2</v>
      </c>
      <c r="F1005" s="84">
        <f t="shared" ca="1" si="205"/>
        <v>0.40157604524391532</v>
      </c>
      <c r="G1005" s="84">
        <f t="shared" ca="1" si="205"/>
        <v>0.60336109987051012</v>
      </c>
      <c r="H1005" s="84">
        <f t="shared" ca="1" si="205"/>
        <v>0.58350030837451139</v>
      </c>
      <c r="J1005" s="85">
        <f t="shared" ca="1" si="206"/>
        <v>92564176.933073625</v>
      </c>
      <c r="K1005" s="86">
        <f ca="1">IF(J1005&gt;0,MIN(99,$B$12*Q1005/(J1005*12*(1-Inputs!$H$16))),99)</f>
        <v>5.583167629754441</v>
      </c>
      <c r="L1005" s="84">
        <f t="shared" ca="1" si="207"/>
        <v>0.94856019024081373</v>
      </c>
      <c r="M1005" s="84">
        <f t="shared" ca="1" si="208"/>
        <v>0.97634998254190286</v>
      </c>
      <c r="N1005" s="84">
        <f t="shared" ca="1" si="209"/>
        <v>0.96846005317330064</v>
      </c>
      <c r="O1005" s="84">
        <f t="shared" ca="1" si="210"/>
        <v>1.0143672897130096</v>
      </c>
      <c r="P1005" s="84">
        <f t="shared" ca="1" si="211"/>
        <v>1.2638844966860703</v>
      </c>
      <c r="Q1005" s="84">
        <f t="shared" ca="1" si="212"/>
        <v>1.1338446431753484</v>
      </c>
    </row>
    <row r="1006" spans="1:17" ht="15" customHeight="1" x14ac:dyDescent="0.2">
      <c r="A1006" s="15">
        <v>967</v>
      </c>
      <c r="B1006" s="84">
        <f t="shared" ca="1" si="204"/>
        <v>0.36306968656088634</v>
      </c>
      <c r="C1006" s="84">
        <f t="shared" ca="1" si="204"/>
        <v>0.50415069348901465</v>
      </c>
      <c r="D1006" s="84">
        <f t="shared" ca="1" si="204"/>
        <v>0.68096202024538766</v>
      </c>
      <c r="F1006" s="84">
        <f t="shared" ca="1" si="205"/>
        <v>0.56086629785843478</v>
      </c>
      <c r="G1006" s="84">
        <f t="shared" ca="1" si="205"/>
        <v>0.57820797060333851</v>
      </c>
      <c r="H1006" s="84">
        <f t="shared" ca="1" si="205"/>
        <v>0.30130772021815333</v>
      </c>
      <c r="J1006" s="85">
        <f t="shared" ca="1" si="206"/>
        <v>99115083.409775481</v>
      </c>
      <c r="K1006" s="86">
        <f ca="1">IF(J1006&gt;0,MIN(99,$B$12*Q1006/(J1006*12*(1-Inputs!$H$16))),99)</f>
        <v>4.7013133752020417</v>
      </c>
      <c r="L1006" s="84">
        <f t="shared" ca="1" si="207"/>
        <v>0.97710230018013089</v>
      </c>
      <c r="M1006" s="84">
        <f t="shared" ca="1" si="208"/>
        <v>0.98911940305943102</v>
      </c>
      <c r="N1006" s="84">
        <f t="shared" ca="1" si="209"/>
        <v>1.0243002609761385</v>
      </c>
      <c r="O1006" s="84">
        <f t="shared" ca="1" si="210"/>
        <v>1.0283410060000679</v>
      </c>
      <c r="P1006" s="84">
        <f t="shared" ca="1" si="211"/>
        <v>1.2451871208868097</v>
      </c>
      <c r="Q1006" s="84">
        <f t="shared" ca="1" si="212"/>
        <v>1.0223247926462915</v>
      </c>
    </row>
    <row r="1007" spans="1:17" ht="15" customHeight="1" x14ac:dyDescent="0.2">
      <c r="A1007" s="15">
        <v>968</v>
      </c>
      <c r="B1007" s="84">
        <f t="shared" ca="1" si="204"/>
        <v>0.51011642765660659</v>
      </c>
      <c r="C1007" s="84">
        <f t="shared" ca="1" si="204"/>
        <v>0.42219891030949019</v>
      </c>
      <c r="D1007" s="84">
        <f t="shared" ca="1" si="204"/>
        <v>0.73076838437429514</v>
      </c>
      <c r="F1007" s="84">
        <f t="shared" ca="1" si="205"/>
        <v>0.32279080034274332</v>
      </c>
      <c r="G1007" s="84">
        <f t="shared" ca="1" si="205"/>
        <v>8.3211871607004939E-2</v>
      </c>
      <c r="H1007" s="84">
        <f t="shared" ca="1" si="205"/>
        <v>0.46725507197264349</v>
      </c>
      <c r="J1007" s="85">
        <f t="shared" ca="1" si="206"/>
        <v>139766388.45035255</v>
      </c>
      <c r="K1007" s="86">
        <f ca="1">IF(J1007&gt;0,MIN(99,$B$12*Q1007/(J1007*12*(1-Inputs!$H$16))),99)</f>
        <v>3.5362498465758643</v>
      </c>
      <c r="L1007" s="84">
        <f t="shared" ca="1" si="207"/>
        <v>1.0154638923054895</v>
      </c>
      <c r="M1007" s="84">
        <f t="shared" ca="1" si="208"/>
        <v>1.0062063702296633</v>
      </c>
      <c r="N1007" s="84">
        <f t="shared" ca="1" si="209"/>
        <v>1.0296775784823033</v>
      </c>
      <c r="O1007" s="84">
        <f t="shared" ca="1" si="210"/>
        <v>1.008149626110292</v>
      </c>
      <c r="P1007" s="84">
        <f t="shared" ca="1" si="211"/>
        <v>0.94181608710671805</v>
      </c>
      <c r="Q1007" s="84">
        <f t="shared" ca="1" si="212"/>
        <v>1.0843653365725503</v>
      </c>
    </row>
    <row r="1008" spans="1:17" ht="15" customHeight="1" x14ac:dyDescent="0.2">
      <c r="A1008" s="15">
        <v>969</v>
      </c>
      <c r="B1008" s="84">
        <f t="shared" ca="1" si="204"/>
        <v>0.82686959484721201</v>
      </c>
      <c r="C1008" s="84">
        <f t="shared" ca="1" si="204"/>
        <v>0.46489919525766032</v>
      </c>
      <c r="D1008" s="84">
        <f t="shared" ca="1" si="204"/>
        <v>0.56490840582016089</v>
      </c>
      <c r="F1008" s="84">
        <f t="shared" ca="1" si="205"/>
        <v>0.99852568424912824</v>
      </c>
      <c r="G1008" s="84">
        <f t="shared" ca="1" si="205"/>
        <v>0.30557223187861027</v>
      </c>
      <c r="H1008" s="84">
        <f t="shared" ca="1" si="205"/>
        <v>0.80417704004588975</v>
      </c>
      <c r="J1008" s="85">
        <f t="shared" ca="1" si="206"/>
        <v>200406375.83689553</v>
      </c>
      <c r="K1008" s="86">
        <f ca="1">IF(J1008&gt;0,MIN(99,$B$12*Q1008/(J1008*12*(1-Inputs!$H$16))),99)</f>
        <v>2.8488298786965491</v>
      </c>
      <c r="L1008" s="84">
        <f t="shared" ca="1" si="207"/>
        <v>1.1207099137711423</v>
      </c>
      <c r="M1008" s="84">
        <f t="shared" ca="1" si="208"/>
        <v>1.0527530044256004</v>
      </c>
      <c r="N1008" s="84">
        <f t="shared" ca="1" si="209"/>
        <v>1.0132107666468615</v>
      </c>
      <c r="O1008" s="84">
        <f t="shared" ca="1" si="210"/>
        <v>1.1069964294065493</v>
      </c>
      <c r="P1008" s="84">
        <f t="shared" ca="1" si="211"/>
        <v>1.0703434734632906</v>
      </c>
      <c r="Q1008" s="84">
        <f t="shared" ca="1" si="212"/>
        <v>1.2525872632053403</v>
      </c>
    </row>
    <row r="1009" spans="1:17" ht="15" customHeight="1" x14ac:dyDescent="0.2">
      <c r="A1009" s="15">
        <v>970</v>
      </c>
      <c r="B1009" s="84">
        <f t="shared" ca="1" si="204"/>
        <v>5.0373695324822942E-2</v>
      </c>
      <c r="C1009" s="84">
        <f t="shared" ca="1" si="204"/>
        <v>0.27320858022488215</v>
      </c>
      <c r="D1009" s="84">
        <f t="shared" ca="1" si="204"/>
        <v>0.69435409621350064</v>
      </c>
      <c r="F1009" s="84">
        <f t="shared" ca="1" si="205"/>
        <v>2.4508898427095915E-2</v>
      </c>
      <c r="G1009" s="84">
        <f t="shared" ca="1" si="205"/>
        <v>0.52095376822222761</v>
      </c>
      <c r="H1009" s="84">
        <f t="shared" ca="1" si="205"/>
        <v>0.33191827453396372</v>
      </c>
      <c r="J1009" s="85">
        <f t="shared" ca="1" si="206"/>
        <v>25035781.235345468</v>
      </c>
      <c r="K1009" s="86">
        <f ca="1">IF(J1009&gt;0,MIN(99,$B$12*Q1009/(J1009*12*(1-Inputs!$H$16))),99)</f>
        <v>18.809527009371163</v>
      </c>
      <c r="L1009" s="84">
        <f t="shared" ca="1" si="207"/>
        <v>0.8502797497607596</v>
      </c>
      <c r="M1009" s="84">
        <f t="shared" ca="1" si="208"/>
        <v>0.93238041351543943</v>
      </c>
      <c r="N1009" s="84">
        <f t="shared" ca="1" si="209"/>
        <v>1.0257021755642175</v>
      </c>
      <c r="O1009" s="84">
        <f t="shared" ca="1" si="210"/>
        <v>0.98012129777432699</v>
      </c>
      <c r="P1009" s="84">
        <f t="shared" ca="1" si="211"/>
        <v>1.204605262124268</v>
      </c>
      <c r="Q1009" s="84">
        <f t="shared" ca="1" si="212"/>
        <v>1.0331632843359857</v>
      </c>
    </row>
    <row r="1010" spans="1:17" ht="15" customHeight="1" x14ac:dyDescent="0.2">
      <c r="A1010" s="15">
        <v>971</v>
      </c>
      <c r="B1010" s="84">
        <f t="shared" ca="1" si="204"/>
        <v>0.93102175658022335</v>
      </c>
      <c r="C1010" s="84">
        <f t="shared" ca="1" si="204"/>
        <v>0.59503316220973856</v>
      </c>
      <c r="D1010" s="84">
        <f t="shared" ca="1" si="204"/>
        <v>0.44170183147111508</v>
      </c>
      <c r="F1010" s="84">
        <f t="shared" ca="1" si="205"/>
        <v>0.40404923935078374</v>
      </c>
      <c r="G1010" s="84">
        <f t="shared" ca="1" si="205"/>
        <v>2.9200190022349637E-2</v>
      </c>
      <c r="H1010" s="84">
        <f t="shared" ca="1" si="205"/>
        <v>0.32407624510912147</v>
      </c>
      <c r="J1010" s="85">
        <f t="shared" ca="1" si="206"/>
        <v>270243108.27966231</v>
      </c>
      <c r="K1010" s="86">
        <f ca="1">IF(J1010&gt;0,MIN(99,$B$12*Q1010/(J1010*12*(1-Inputs!$H$16))),99)</f>
        <v>1.7378241638121084</v>
      </c>
      <c r="L1010" s="84">
        <f t="shared" ca="1" si="207"/>
        <v>1.1776115588469591</v>
      </c>
      <c r="M1010" s="84">
        <f t="shared" ca="1" si="208"/>
        <v>1.077918611843411</v>
      </c>
      <c r="N1010" s="84">
        <f t="shared" ca="1" si="209"/>
        <v>1.0029638590919383</v>
      </c>
      <c r="O1010" s="84">
        <f t="shared" ca="1" si="210"/>
        <v>1.0145689061764249</v>
      </c>
      <c r="P1010" s="84">
        <f t="shared" ca="1" si="211"/>
        <v>0.88999615513930519</v>
      </c>
      <c r="Q1010" s="84">
        <f t="shared" ca="1" si="212"/>
        <v>1.0303633453280274</v>
      </c>
    </row>
    <row r="1011" spans="1:17" ht="15" customHeight="1" x14ac:dyDescent="0.2">
      <c r="A1011" s="15">
        <v>972</v>
      </c>
      <c r="B1011" s="84">
        <f t="shared" ca="1" si="204"/>
        <v>0.22553384657462505</v>
      </c>
      <c r="C1011" s="84">
        <f t="shared" ca="1" si="204"/>
        <v>0.73583383451461448</v>
      </c>
      <c r="D1011" s="84">
        <f t="shared" ca="1" si="204"/>
        <v>0.62856269828447442</v>
      </c>
      <c r="F1011" s="84">
        <f t="shared" ca="1" si="205"/>
        <v>0.13213471545889022</v>
      </c>
      <c r="G1011" s="84">
        <f t="shared" ca="1" si="205"/>
        <v>1.8855971618070511E-2</v>
      </c>
      <c r="H1011" s="84">
        <f t="shared" ca="1" si="205"/>
        <v>0.59336238878610081</v>
      </c>
      <c r="J1011" s="85">
        <f t="shared" ca="1" si="206"/>
        <v>90741960.676999137</v>
      </c>
      <c r="K1011" s="86">
        <f ca="1">IF(J1011&gt;0,MIN(99,$B$12*Q1011/(J1011*12*(1-Inputs!$H$16))),99)</f>
        <v>5.7178855233737842</v>
      </c>
      <c r="L1011" s="84">
        <f t="shared" ca="1" si="207"/>
        <v>0.93428765721061158</v>
      </c>
      <c r="M1011" s="84">
        <f t="shared" ca="1" si="208"/>
        <v>0.96996461101539544</v>
      </c>
      <c r="N1011" s="84">
        <f t="shared" ca="1" si="209"/>
        <v>1.019079380298971</v>
      </c>
      <c r="O1011" s="84">
        <f t="shared" ca="1" si="210"/>
        <v>0.99365192242343303</v>
      </c>
      <c r="P1011" s="84">
        <f t="shared" ca="1" si="211"/>
        <v>0.8752045009401167</v>
      </c>
      <c r="Q1011" s="84">
        <f t="shared" ca="1" si="212"/>
        <v>1.1383440883648024</v>
      </c>
    </row>
    <row r="1012" spans="1:17" ht="15" customHeight="1" x14ac:dyDescent="0.2">
      <c r="A1012" s="15">
        <v>973</v>
      </c>
      <c r="B1012" s="84">
        <f t="shared" ca="1" si="204"/>
        <v>0.34592071790585122</v>
      </c>
      <c r="C1012" s="84">
        <f t="shared" ca="1" si="204"/>
        <v>0.95497847396813129</v>
      </c>
      <c r="D1012" s="84">
        <f t="shared" ca="1" si="204"/>
        <v>0.16885965108661483</v>
      </c>
      <c r="F1012" s="84">
        <f t="shared" ca="1" si="205"/>
        <v>0.35913401021223834</v>
      </c>
      <c r="G1012" s="84">
        <f t="shared" ca="1" si="205"/>
        <v>0.34691077173015927</v>
      </c>
      <c r="H1012" s="84">
        <f t="shared" ca="1" si="205"/>
        <v>0.20579898850889222</v>
      </c>
      <c r="J1012" s="85">
        <f t="shared" ca="1" si="206"/>
        <v>113961010.87861289</v>
      </c>
      <c r="K1012" s="86">
        <f ca="1">IF(J1012&gt;0,MIN(99,$B$12*Q1012/(J1012*12*(1-Inputs!$H$16))),99)</f>
        <v>3.9576022603446304</v>
      </c>
      <c r="L1012" s="84">
        <f t="shared" ca="1" si="207"/>
        <v>0.97227159137698527</v>
      </c>
      <c r="M1012" s="84">
        <f t="shared" ca="1" si="208"/>
        <v>0.98695819801060192</v>
      </c>
      <c r="N1012" s="84">
        <f t="shared" ca="1" si="209"/>
        <v>0.97845204898279492</v>
      </c>
      <c r="O1012" s="84">
        <f t="shared" ca="1" si="210"/>
        <v>1.0109701665495692</v>
      </c>
      <c r="P1012" s="84">
        <f t="shared" ca="1" si="211"/>
        <v>1.0942913754274892</v>
      </c>
      <c r="Q1012" s="84">
        <f t="shared" ca="1" si="212"/>
        <v>0.98950588109900584</v>
      </c>
    </row>
    <row r="1013" spans="1:17" ht="15" customHeight="1" x14ac:dyDescent="0.2">
      <c r="A1013" s="15">
        <v>974</v>
      </c>
      <c r="B1013" s="84">
        <f t="shared" ca="1" si="204"/>
        <v>0.95480822665117571</v>
      </c>
      <c r="C1013" s="84">
        <f t="shared" ca="1" si="204"/>
        <v>0.90801359732289377</v>
      </c>
      <c r="D1013" s="84">
        <f t="shared" ca="1" si="204"/>
        <v>0.9258948127085912</v>
      </c>
      <c r="F1013" s="84">
        <f t="shared" ca="1" si="205"/>
        <v>0.42224016733239633</v>
      </c>
      <c r="G1013" s="84">
        <f t="shared" ca="1" si="205"/>
        <v>0.61834359815246764</v>
      </c>
      <c r="H1013" s="84">
        <f t="shared" ca="1" si="205"/>
        <v>0.50964682023460262</v>
      </c>
      <c r="J1013" s="85">
        <f t="shared" ca="1" si="206"/>
        <v>256250547.44358069</v>
      </c>
      <c r="K1013" s="86">
        <f ca="1">IF(J1013&gt;0,MIN(99,$B$12*Q1013/(J1013*12*(1-Inputs!$H$16))),99)</f>
        <v>1.9596350872177846</v>
      </c>
      <c r="L1013" s="84">
        <f t="shared" ca="1" si="207"/>
        <v>1.1961719032611891</v>
      </c>
      <c r="M1013" s="84">
        <f t="shared" ca="1" si="208"/>
        <v>1.0861272030088425</v>
      </c>
      <c r="N1013" s="84">
        <f t="shared" ca="1" si="209"/>
        <v>1.0585364699175368</v>
      </c>
      <c r="O1013" s="84">
        <f t="shared" ca="1" si="210"/>
        <v>1.0160648842934419</v>
      </c>
      <c r="P1013" s="84">
        <f t="shared" ca="1" si="211"/>
        <v>1.2753043495727079</v>
      </c>
      <c r="Q1013" s="84">
        <f t="shared" ca="1" si="212"/>
        <v>1.1017167446315823</v>
      </c>
    </row>
    <row r="1014" spans="1:17" ht="15" customHeight="1" x14ac:dyDescent="0.2">
      <c r="A1014" s="15">
        <v>975</v>
      </c>
      <c r="B1014" s="84">
        <f t="shared" ca="1" si="204"/>
        <v>5.5893432510573104E-2</v>
      </c>
      <c r="C1014" s="84">
        <f t="shared" ca="1" si="204"/>
        <v>0.88861137967573922</v>
      </c>
      <c r="D1014" s="84">
        <f t="shared" ca="1" si="204"/>
        <v>0.93629297226967401</v>
      </c>
      <c r="F1014" s="84">
        <f t="shared" ca="1" si="205"/>
        <v>0.46132053694927344</v>
      </c>
      <c r="G1014" s="84">
        <f t="shared" ca="1" si="205"/>
        <v>0.88676565281942032</v>
      </c>
      <c r="H1014" s="84">
        <f t="shared" ca="1" si="205"/>
        <v>0.92446012835610547</v>
      </c>
      <c r="J1014" s="85">
        <f t="shared" ca="1" si="206"/>
        <v>1748908.9832729846</v>
      </c>
      <c r="K1014" s="86">
        <f ca="1">IF(J1014&gt;0,MIN(99,$B$12*Q1014/(J1014*12*(1-Inputs!$H$16))),99)</f>
        <v>99</v>
      </c>
      <c r="L1014" s="84">
        <f t="shared" ca="1" si="207"/>
        <v>0.85429698075866112</v>
      </c>
      <c r="M1014" s="84">
        <f t="shared" ca="1" si="208"/>
        <v>0.93417767769938787</v>
      </c>
      <c r="N1014" s="84">
        <f t="shared" ca="1" si="209"/>
        <v>1.060855472232914</v>
      </c>
      <c r="O1014" s="84">
        <f t="shared" ca="1" si="210"/>
        <v>1.0193605678989246</v>
      </c>
      <c r="P1014" s="84">
        <f t="shared" ca="1" si="211"/>
        <v>1.5427790667510062</v>
      </c>
      <c r="Q1014" s="84">
        <f t="shared" ca="1" si="212"/>
        <v>1.3507391673678499</v>
      </c>
    </row>
    <row r="1015" spans="1:17" ht="15" customHeight="1" x14ac:dyDescent="0.2">
      <c r="A1015" s="15">
        <v>976</v>
      </c>
      <c r="B1015" s="84">
        <f t="shared" ca="1" si="204"/>
        <v>0.2211965819599232</v>
      </c>
      <c r="C1015" s="84">
        <f t="shared" ca="1" si="204"/>
        <v>0.52156774703175102</v>
      </c>
      <c r="D1015" s="84">
        <f t="shared" ca="1" si="204"/>
        <v>0.34551665289078159</v>
      </c>
      <c r="F1015" s="84">
        <f t="shared" ca="1" si="205"/>
        <v>0.30921934404160112</v>
      </c>
      <c r="G1015" s="84">
        <f t="shared" ca="1" si="205"/>
        <v>0.28621392598721518</v>
      </c>
      <c r="H1015" s="84">
        <f t="shared" ca="1" si="205"/>
        <v>0.15985937568286834</v>
      </c>
      <c r="J1015" s="85">
        <f t="shared" ca="1" si="206"/>
        <v>85246746.868777081</v>
      </c>
      <c r="K1015" s="86">
        <f ca="1">IF(J1015&gt;0,MIN(99,$B$12*Q1015/(J1015*12*(1-Inputs!$H$16))),99)</f>
        <v>5.1970107125927649</v>
      </c>
      <c r="L1015" s="84">
        <f t="shared" ca="1" si="207"/>
        <v>0.93274858310137487</v>
      </c>
      <c r="M1015" s="84">
        <f t="shared" ca="1" si="208"/>
        <v>0.96927604648564381</v>
      </c>
      <c r="N1015" s="84">
        <f t="shared" ca="1" si="209"/>
        <v>0.99546289623046302</v>
      </c>
      <c r="O1015" s="84">
        <f t="shared" ca="1" si="210"/>
        <v>1.0071158458992506</v>
      </c>
      <c r="P1015" s="84">
        <f t="shared" ca="1" si="211"/>
        <v>1.0593743566884473</v>
      </c>
      <c r="Q1015" s="84">
        <f t="shared" ca="1" si="212"/>
        <v>0.97198904057291735</v>
      </c>
    </row>
    <row r="1016" spans="1:17" ht="15" customHeight="1" x14ac:dyDescent="0.2">
      <c r="A1016" s="15">
        <v>977</v>
      </c>
      <c r="B1016" s="84">
        <f t="shared" ca="1" si="204"/>
        <v>0.58227269794133385</v>
      </c>
      <c r="C1016" s="84">
        <f t="shared" ca="1" si="204"/>
        <v>0.74591509900396313</v>
      </c>
      <c r="D1016" s="84">
        <f t="shared" ca="1" si="204"/>
        <v>0.78668831077079127</v>
      </c>
      <c r="F1016" s="84">
        <f t="shared" ca="1" si="205"/>
        <v>0.19851846145035412</v>
      </c>
      <c r="G1016" s="84">
        <f t="shared" ca="1" si="205"/>
        <v>0.60017236140887464</v>
      </c>
      <c r="H1016" s="84">
        <f t="shared" ca="1" si="205"/>
        <v>0.95536132004431851</v>
      </c>
      <c r="J1016" s="85">
        <f t="shared" ca="1" si="206"/>
        <v>141982031.93487549</v>
      </c>
      <c r="K1016" s="86">
        <f ca="1">IF(J1016&gt;0,MIN(99,$B$12*Q1016/(J1016*12*(1-Inputs!$H$16))),99)</f>
        <v>4.4556420749168497</v>
      </c>
      <c r="L1016" s="84">
        <f t="shared" ca="1" si="207"/>
        <v>1.0353387723617635</v>
      </c>
      <c r="M1016" s="84">
        <f t="shared" ca="1" si="208"/>
        <v>1.0149963345322039</v>
      </c>
      <c r="N1016" s="84">
        <f t="shared" ca="1" si="209"/>
        <v>1.036348871809184</v>
      </c>
      <c r="O1016" s="84">
        <f t="shared" ca="1" si="210"/>
        <v>0.99901648534002874</v>
      </c>
      <c r="P1016" s="84">
        <f t="shared" ca="1" si="211"/>
        <v>1.2614819913566855</v>
      </c>
      <c r="Q1016" s="84">
        <f t="shared" ca="1" si="212"/>
        <v>1.3879493727306598</v>
      </c>
    </row>
    <row r="1017" spans="1:17" ht="15" customHeight="1" x14ac:dyDescent="0.2">
      <c r="A1017" s="15">
        <v>978</v>
      </c>
      <c r="B1017" s="84">
        <f t="shared" ca="1" si="204"/>
        <v>0.3118259305528287</v>
      </c>
      <c r="C1017" s="84">
        <f t="shared" ca="1" si="204"/>
        <v>7.8363063004480371E-2</v>
      </c>
      <c r="D1017" s="84">
        <f t="shared" ca="1" si="204"/>
        <v>5.0123089926413678E-2</v>
      </c>
      <c r="F1017" s="84">
        <f t="shared" ca="1" si="205"/>
        <v>0.51187521843597061</v>
      </c>
      <c r="G1017" s="84">
        <f t="shared" ca="1" si="205"/>
        <v>0.34409221656397782</v>
      </c>
      <c r="H1017" s="84">
        <f t="shared" ca="1" si="205"/>
        <v>0.92253330072567485</v>
      </c>
      <c r="J1017" s="85">
        <f t="shared" ca="1" si="206"/>
        <v>108641675.48250137</v>
      </c>
      <c r="K1017" s="86">
        <f ca="1">IF(J1017&gt;0,MIN(99,$B$12*Q1017/(J1017*12*(1-Inputs!$H$16))),99)</f>
        <v>5.6583397183988478</v>
      </c>
      <c r="L1017" s="84">
        <f t="shared" ca="1" si="207"/>
        <v>0.96229766999937083</v>
      </c>
      <c r="M1017" s="84">
        <f t="shared" ca="1" si="208"/>
        <v>0.98249597722348059</v>
      </c>
      <c r="N1017" s="84">
        <f t="shared" ca="1" si="209"/>
        <v>0.96046389227810747</v>
      </c>
      <c r="O1017" s="84">
        <f t="shared" ca="1" si="210"/>
        <v>1.0238067487460083</v>
      </c>
      <c r="P1017" s="84">
        <f t="shared" ca="1" si="211"/>
        <v>1.0926348968623871</v>
      </c>
      <c r="Q1017" s="84">
        <f t="shared" ca="1" si="212"/>
        <v>1.3487001768360427</v>
      </c>
    </row>
    <row r="1018" spans="1:17" ht="15" customHeight="1" x14ac:dyDescent="0.2">
      <c r="A1018" s="15">
        <v>979</v>
      </c>
      <c r="B1018" s="84">
        <f t="shared" ca="1" si="204"/>
        <v>0.96035414693262933</v>
      </c>
      <c r="C1018" s="84">
        <f t="shared" ca="1" si="204"/>
        <v>0.28070016853838609</v>
      </c>
      <c r="D1018" s="84">
        <f t="shared" ca="1" si="204"/>
        <v>0.85454968594183223</v>
      </c>
      <c r="F1018" s="84">
        <f t="shared" ca="1" si="205"/>
        <v>0.51585745572812114</v>
      </c>
      <c r="G1018" s="84">
        <f t="shared" ca="1" si="205"/>
        <v>0.66908513024452965</v>
      </c>
      <c r="H1018" s="84">
        <f t="shared" ca="1" si="205"/>
        <v>0.97916186654849624</v>
      </c>
      <c r="J1018" s="85">
        <f t="shared" ca="1" si="206"/>
        <v>260713728.833354</v>
      </c>
      <c r="K1018" s="86">
        <f ca="1">IF(J1018&gt;0,MIN(99,$B$12*Q1018/(J1018*12*(1-Inputs!$H$16))),99)</f>
        <v>2.494986784659643</v>
      </c>
      <c r="L1018" s="84">
        <f t="shared" ca="1" si="207"/>
        <v>1.2011670480289223</v>
      </c>
      <c r="M1018" s="84">
        <f t="shared" ca="1" si="208"/>
        <v>1.0883363808287878</v>
      </c>
      <c r="N1018" s="84">
        <f t="shared" ca="1" si="209"/>
        <v>1.0457648885368569</v>
      </c>
      <c r="O1018" s="84">
        <f t="shared" ca="1" si="210"/>
        <v>1.0241665586035937</v>
      </c>
      <c r="P1018" s="84">
        <f t="shared" ca="1" si="211"/>
        <v>1.3157483007260149</v>
      </c>
      <c r="Q1018" s="84">
        <f t="shared" ca="1" si="212"/>
        <v>1.4271252566555683</v>
      </c>
    </row>
    <row r="1019" spans="1:17" ht="15" customHeight="1" x14ac:dyDescent="0.2">
      <c r="A1019" s="15">
        <v>980</v>
      </c>
      <c r="B1019" s="84">
        <f t="shared" ca="1" si="204"/>
        <v>8.8886369131030651E-2</v>
      </c>
      <c r="C1019" s="84">
        <f t="shared" ca="1" si="204"/>
        <v>0.86892096099982052</v>
      </c>
      <c r="D1019" s="84">
        <f t="shared" ca="1" si="204"/>
        <v>9.7573299885315712E-2</v>
      </c>
      <c r="F1019" s="84">
        <f t="shared" ca="1" si="205"/>
        <v>0.94219199408755216</v>
      </c>
      <c r="G1019" s="84">
        <f t="shared" ca="1" si="205"/>
        <v>0.44583393015445127</v>
      </c>
      <c r="H1019" s="84">
        <f t="shared" ca="1" si="205"/>
        <v>3.0074576855785295E-2</v>
      </c>
      <c r="J1019" s="85">
        <f t="shared" ca="1" si="206"/>
        <v>36192718.346863434</v>
      </c>
      <c r="K1019" s="86">
        <f ca="1">IF(J1019&gt;0,MIN(99,$B$12*Q1019/(J1019*12*(1-Inputs!$H$16))),99)</f>
        <v>11.312931354342858</v>
      </c>
      <c r="L1019" s="84">
        <f t="shared" ca="1" si="207"/>
        <v>0.87499858262616004</v>
      </c>
      <c r="M1019" s="84">
        <f t="shared" ca="1" si="208"/>
        <v>0.94343934266370078</v>
      </c>
      <c r="N1019" s="84">
        <f t="shared" ca="1" si="209"/>
        <v>0.96897361882735988</v>
      </c>
      <c r="O1019" s="84">
        <f t="shared" ca="1" si="210"/>
        <v>1.0815409132244638</v>
      </c>
      <c r="P1019" s="84">
        <f t="shared" ca="1" si="211"/>
        <v>1.1548801526046613</v>
      </c>
      <c r="Q1019" s="84">
        <f t="shared" ca="1" si="212"/>
        <v>0.89831012856380099</v>
      </c>
    </row>
    <row r="1020" spans="1:17" ht="15" customHeight="1" x14ac:dyDescent="0.2">
      <c r="A1020" s="15">
        <v>981</v>
      </c>
      <c r="B1020" s="84">
        <f t="shared" ref="B1020:D1039" ca="1" si="213">RAND()</f>
        <v>0.24025783899362252</v>
      </c>
      <c r="C1020" s="84">
        <f t="shared" ca="1" si="213"/>
        <v>0.2350309156160526</v>
      </c>
      <c r="D1020" s="84">
        <f t="shared" ca="1" si="213"/>
        <v>0.76900329296212822</v>
      </c>
      <c r="F1020" s="84">
        <f t="shared" ref="F1020:H1039" ca="1" si="214">RAND()</f>
        <v>0.14612567746516836</v>
      </c>
      <c r="G1020" s="84">
        <f t="shared" ca="1" si="214"/>
        <v>0.57636819450847177</v>
      </c>
      <c r="H1020" s="84">
        <f t="shared" ca="1" si="214"/>
        <v>0.77647872690319653</v>
      </c>
      <c r="J1020" s="85">
        <f t="shared" ca="1" si="206"/>
        <v>77004132.732323751</v>
      </c>
      <c r="K1020" s="86">
        <f ca="1">IF(J1020&gt;0,MIN(99,$B$12*Q1020/(J1020*12*(1-Inputs!$H$16))),99)</f>
        <v>7.3093424054696765</v>
      </c>
      <c r="L1020" s="84">
        <f t="shared" ca="1" si="207"/>
        <v>0.93940500870345323</v>
      </c>
      <c r="M1020" s="84">
        <f t="shared" ca="1" si="208"/>
        <v>0.97225405679522825</v>
      </c>
      <c r="N1020" s="84">
        <f t="shared" ca="1" si="209"/>
        <v>1.0341533985731322</v>
      </c>
      <c r="O1020" s="84">
        <f t="shared" ca="1" si="210"/>
        <v>0.99487850341110406</v>
      </c>
      <c r="P1020" s="84">
        <f t="shared" ca="1" si="211"/>
        <v>1.2438417056502697</v>
      </c>
      <c r="Q1020" s="84">
        <f t="shared" ca="1" si="212"/>
        <v>1.2348729634464641</v>
      </c>
    </row>
    <row r="1021" spans="1:17" ht="15" customHeight="1" x14ac:dyDescent="0.2">
      <c r="A1021" s="15">
        <v>982</v>
      </c>
      <c r="B1021" s="84">
        <f t="shared" ca="1" si="213"/>
        <v>0.62690351715170745</v>
      </c>
      <c r="C1021" s="84">
        <f t="shared" ca="1" si="213"/>
        <v>0.82049482640326299</v>
      </c>
      <c r="D1021" s="84">
        <f t="shared" ca="1" si="213"/>
        <v>0.75499918660961918</v>
      </c>
      <c r="F1021" s="84">
        <f t="shared" ca="1" si="214"/>
        <v>0.41086305270641155</v>
      </c>
      <c r="G1021" s="84">
        <f t="shared" ca="1" si="214"/>
        <v>0.1978951079707586</v>
      </c>
      <c r="H1021" s="84">
        <f t="shared" ca="1" si="214"/>
        <v>0.82356588773336636</v>
      </c>
      <c r="J1021" s="85">
        <f t="shared" ca="1" si="206"/>
        <v>159169650.59718311</v>
      </c>
      <c r="K1021" s="86">
        <f ca="1">IF(J1021&gt;0,MIN(99,$B$12*Q1021/(J1021*12*(1-Inputs!$H$16))),99)</f>
        <v>3.6245673788855868</v>
      </c>
      <c r="L1021" s="84">
        <f t="shared" ca="1" si="207"/>
        <v>1.0485032750973202</v>
      </c>
      <c r="M1021" s="84">
        <f t="shared" ca="1" si="208"/>
        <v>1.0208185336488076</v>
      </c>
      <c r="N1021" s="84">
        <f t="shared" ca="1" si="209"/>
        <v>1.0324739028332501</v>
      </c>
      <c r="O1021" s="84">
        <f t="shared" ca="1" si="210"/>
        <v>1.015126547100502</v>
      </c>
      <c r="P1021" s="84">
        <f t="shared" ca="1" si="211"/>
        <v>1.011120488669182</v>
      </c>
      <c r="Q1021" s="84">
        <f t="shared" ca="1" si="212"/>
        <v>1.2657454702224269</v>
      </c>
    </row>
    <row r="1022" spans="1:17" ht="15" customHeight="1" x14ac:dyDescent="0.2">
      <c r="A1022" s="15">
        <v>983</v>
      </c>
      <c r="B1022" s="84">
        <f t="shared" ca="1" si="213"/>
        <v>0.97577135836686169</v>
      </c>
      <c r="C1022" s="84">
        <f t="shared" ca="1" si="213"/>
        <v>0.52098566708292293</v>
      </c>
      <c r="D1022" s="84">
        <f t="shared" ca="1" si="213"/>
        <v>0.57990418518055931</v>
      </c>
      <c r="F1022" s="84">
        <f t="shared" ca="1" si="214"/>
        <v>0.26638642006517388</v>
      </c>
      <c r="G1022" s="84">
        <f t="shared" ca="1" si="214"/>
        <v>0.11748955556211482</v>
      </c>
      <c r="H1022" s="84">
        <f t="shared" ca="1" si="214"/>
        <v>4.3798953224700732E-3</v>
      </c>
      <c r="J1022" s="85">
        <f t="shared" ca="1" si="206"/>
        <v>298670464.68362379</v>
      </c>
      <c r="K1022" s="86">
        <f ca="1">IF(J1022&gt;0,MIN(99,$B$12*Q1022/(J1022*12*(1-Inputs!$H$16))),99)</f>
        <v>1.3176358114456748</v>
      </c>
      <c r="L1022" s="84">
        <f t="shared" ca="1" si="207"/>
        <v>1.2172813875378443</v>
      </c>
      <c r="M1022" s="84">
        <f t="shared" ca="1" si="208"/>
        <v>1.0954631895763824</v>
      </c>
      <c r="N1022" s="84">
        <f t="shared" ca="1" si="209"/>
        <v>1.014552400270869</v>
      </c>
      <c r="O1022" s="84">
        <f t="shared" ca="1" si="210"/>
        <v>1.0039180585358207</v>
      </c>
      <c r="P1022" s="84">
        <f t="shared" ca="1" si="211"/>
        <v>0.96574763391012219</v>
      </c>
      <c r="Q1022" s="84">
        <f t="shared" ca="1" si="212"/>
        <v>0.8634110627213325</v>
      </c>
    </row>
    <row r="1023" spans="1:17" ht="15" customHeight="1" x14ac:dyDescent="0.2">
      <c r="A1023" s="15">
        <v>984</v>
      </c>
      <c r="B1023" s="84">
        <f t="shared" ca="1" si="213"/>
        <v>0.14986824173965019</v>
      </c>
      <c r="C1023" s="84">
        <f t="shared" ca="1" si="213"/>
        <v>0.81108932639361941</v>
      </c>
      <c r="D1023" s="84">
        <f t="shared" ca="1" si="213"/>
        <v>0.33479241159054862</v>
      </c>
      <c r="F1023" s="84">
        <f t="shared" ca="1" si="214"/>
        <v>0.65917091079387369</v>
      </c>
      <c r="G1023" s="84">
        <f t="shared" ca="1" si="214"/>
        <v>2.0796721460090151E-3</v>
      </c>
      <c r="H1023" s="84">
        <f t="shared" ca="1" si="214"/>
        <v>6.2839430584613276E-2</v>
      </c>
      <c r="J1023" s="85">
        <f t="shared" ca="1" si="206"/>
        <v>70097094.443486586</v>
      </c>
      <c r="K1023" s="86">
        <f ca="1">IF(J1023&gt;0,MIN(99,$B$12*Q1023/(J1023*12*(1-Inputs!$H$16))),99)</f>
        <v>6.0046052511988002</v>
      </c>
      <c r="L1023" s="84">
        <f t="shared" ca="1" si="207"/>
        <v>0.90484674503317608</v>
      </c>
      <c r="M1023" s="84">
        <f t="shared" ca="1" si="208"/>
        <v>0.95679307643674727</v>
      </c>
      <c r="N1023" s="84">
        <f t="shared" ca="1" si="209"/>
        <v>0.99457868505656166</v>
      </c>
      <c r="O1023" s="84">
        <f t="shared" ca="1" si="210"/>
        <v>1.0382777103124579</v>
      </c>
      <c r="P1023" s="84">
        <f t="shared" ca="1" si="211"/>
        <v>0.83478580589098683</v>
      </c>
      <c r="Q1023" s="84">
        <f t="shared" ca="1" si="212"/>
        <v>0.92345219892827923</v>
      </c>
    </row>
    <row r="1024" spans="1:17" ht="15" customHeight="1" x14ac:dyDescent="0.2">
      <c r="A1024" s="15">
        <v>985</v>
      </c>
      <c r="B1024" s="84">
        <f t="shared" ca="1" si="213"/>
        <v>0.5973889531424994</v>
      </c>
      <c r="C1024" s="84">
        <f t="shared" ca="1" si="213"/>
        <v>0.94572318561484436</v>
      </c>
      <c r="D1024" s="84">
        <f t="shared" ca="1" si="213"/>
        <v>0.84854319949345758</v>
      </c>
      <c r="F1024" s="84">
        <f t="shared" ca="1" si="214"/>
        <v>0.77416229855134333</v>
      </c>
      <c r="G1024" s="84">
        <f t="shared" ca="1" si="214"/>
        <v>0.32605772980809211</v>
      </c>
      <c r="H1024" s="84">
        <f t="shared" ca="1" si="214"/>
        <v>0.91266490356797347</v>
      </c>
      <c r="J1024" s="85">
        <f t="shared" ca="1" si="206"/>
        <v>141180379.96739513</v>
      </c>
      <c r="K1024" s="86">
        <f ca="1">IF(J1024&gt;0,MIN(99,$B$12*Q1024/(J1024*12*(1-Inputs!$H$16))),99)</f>
        <v>4.3217282246780799</v>
      </c>
      <c r="L1024" s="84">
        <f t="shared" ca="1" si="207"/>
        <v>1.039715026100462</v>
      </c>
      <c r="M1024" s="84">
        <f t="shared" ca="1" si="208"/>
        <v>1.0169317984964192</v>
      </c>
      <c r="N1024" s="84">
        <f t="shared" ca="1" si="209"/>
        <v>1.0448528540356741</v>
      </c>
      <c r="O1024" s="84">
        <f t="shared" ca="1" si="210"/>
        <v>1.0519584662954828</v>
      </c>
      <c r="P1024" s="84">
        <f t="shared" ca="1" si="211"/>
        <v>1.0821191338277996</v>
      </c>
      <c r="Q1024" s="84">
        <f t="shared" ca="1" si="212"/>
        <v>1.3386336572863056</v>
      </c>
    </row>
    <row r="1025" spans="1:17" ht="15" customHeight="1" x14ac:dyDescent="0.2">
      <c r="A1025" s="15">
        <v>986</v>
      </c>
      <c r="B1025" s="84">
        <f t="shared" ca="1" si="213"/>
        <v>0.22743329928801281</v>
      </c>
      <c r="C1025" s="84">
        <f t="shared" ca="1" si="213"/>
        <v>0.91188003566354903</v>
      </c>
      <c r="D1025" s="84">
        <f t="shared" ca="1" si="213"/>
        <v>4.1220516859324263E-2</v>
      </c>
      <c r="F1025" s="84">
        <f t="shared" ca="1" si="214"/>
        <v>0.48832482614360495</v>
      </c>
      <c r="G1025" s="84">
        <f t="shared" ca="1" si="214"/>
        <v>0.63294804640107405</v>
      </c>
      <c r="H1025" s="84">
        <f t="shared" ca="1" si="214"/>
        <v>0.61963052925571327</v>
      </c>
      <c r="J1025" s="85">
        <f t="shared" ca="1" si="206"/>
        <v>83162570.915647343</v>
      </c>
      <c r="K1025" s="86">
        <f ca="1">IF(J1025&gt;0,MIN(99,$B$12*Q1025/(J1025*12*(1-Inputs!$H$16))),99)</f>
        <v>6.3061936983963536</v>
      </c>
      <c r="L1025" s="84">
        <f t="shared" ca="1" si="207"/>
        <v>0.93495701350644622</v>
      </c>
      <c r="M1025" s="84">
        <f t="shared" ca="1" si="208"/>
        <v>0.9702640735301058</v>
      </c>
      <c r="N1025" s="84">
        <f t="shared" ca="1" si="209"/>
        <v>0.95845839054741533</v>
      </c>
      <c r="O1025" s="84">
        <f t="shared" ca="1" si="210"/>
        <v>1.0217082458477398</v>
      </c>
      <c r="P1025" s="84">
        <f t="shared" ca="1" si="211"/>
        <v>1.2866538783321673</v>
      </c>
      <c r="Q1025" s="84">
        <f t="shared" ca="1" si="212"/>
        <v>1.1506020790774985</v>
      </c>
    </row>
    <row r="1026" spans="1:17" ht="15" customHeight="1" x14ac:dyDescent="0.2">
      <c r="A1026" s="15">
        <v>987</v>
      </c>
      <c r="B1026" s="84">
        <f t="shared" ca="1" si="213"/>
        <v>0.34458224152087646</v>
      </c>
      <c r="C1026" s="84">
        <f t="shared" ca="1" si="213"/>
        <v>0.54868809709425148</v>
      </c>
      <c r="D1026" s="84">
        <f t="shared" ca="1" si="213"/>
        <v>0.89474582057654717</v>
      </c>
      <c r="F1026" s="84">
        <f t="shared" ca="1" si="214"/>
        <v>0.52058549076336302</v>
      </c>
      <c r="G1026" s="84">
        <f t="shared" ca="1" si="214"/>
        <v>0.59247629518540867</v>
      </c>
      <c r="H1026" s="84">
        <f t="shared" ca="1" si="214"/>
        <v>0.81908471793976378</v>
      </c>
      <c r="J1026" s="85">
        <f t="shared" ca="1" si="206"/>
        <v>89849544.860328481</v>
      </c>
      <c r="K1026" s="86">
        <f ca="1">IF(J1026&gt;0,MIN(99,$B$12*Q1026/(J1026*12*(1-Inputs!$H$16))),99)</f>
        <v>6.4052280049330932</v>
      </c>
      <c r="L1026" s="84">
        <f t="shared" ca="1" si="207"/>
        <v>0.97188956846694197</v>
      </c>
      <c r="M1026" s="84">
        <f t="shared" ca="1" si="208"/>
        <v>0.9867872852365972</v>
      </c>
      <c r="N1026" s="84">
        <f t="shared" ca="1" si="209"/>
        <v>1.0524282175385882</v>
      </c>
      <c r="O1026" s="84">
        <f t="shared" ca="1" si="210"/>
        <v>1.0245956809519401</v>
      </c>
      <c r="P1026" s="84">
        <f t="shared" ca="1" si="211"/>
        <v>1.255722676788432</v>
      </c>
      <c r="Q1026" s="84">
        <f t="shared" ca="1" si="212"/>
        <v>1.2626425387313032</v>
      </c>
    </row>
    <row r="1027" spans="1:17" ht="15" customHeight="1" x14ac:dyDescent="0.2">
      <c r="A1027" s="15">
        <v>988</v>
      </c>
      <c r="B1027" s="84">
        <f t="shared" ca="1" si="213"/>
        <v>0.59657472884786744</v>
      </c>
      <c r="C1027" s="84">
        <f t="shared" ca="1" si="213"/>
        <v>0.21902324747890034</v>
      </c>
      <c r="D1027" s="84">
        <f t="shared" ca="1" si="213"/>
        <v>0.27601747094323403</v>
      </c>
      <c r="F1027" s="84">
        <f t="shared" ca="1" si="214"/>
        <v>0.48881954538508943</v>
      </c>
      <c r="G1027" s="84">
        <f t="shared" ca="1" si="214"/>
        <v>0.49319126691932447</v>
      </c>
      <c r="H1027" s="84">
        <f t="shared" ca="1" si="214"/>
        <v>0.59821083051158186</v>
      </c>
      <c r="J1027" s="85">
        <f t="shared" ca="1" si="206"/>
        <v>154524792.08699316</v>
      </c>
      <c r="K1027" s="86">
        <f ca="1">IF(J1027&gt;0,MIN(99,$B$12*Q1027/(J1027*12*(1-Inputs!$H$16))),99)</f>
        <v>3.364311263730499</v>
      </c>
      <c r="L1027" s="84">
        <f t="shared" ca="1" si="207"/>
        <v>1.0394772308599056</v>
      </c>
      <c r="M1027" s="84">
        <f t="shared" ca="1" si="208"/>
        <v>1.0168266299786779</v>
      </c>
      <c r="N1027" s="84">
        <f t="shared" ca="1" si="209"/>
        <v>0.98945865351828621</v>
      </c>
      <c r="O1027" s="84">
        <f t="shared" ca="1" si="210"/>
        <v>1.0217518260761609</v>
      </c>
      <c r="P1027" s="84">
        <f t="shared" ca="1" si="211"/>
        <v>1.1858024200304287</v>
      </c>
      <c r="Q1027" s="84">
        <f t="shared" ca="1" si="212"/>
        <v>1.1405761313900875</v>
      </c>
    </row>
    <row r="1028" spans="1:17" ht="15" customHeight="1" x14ac:dyDescent="0.2">
      <c r="A1028" s="15">
        <v>989</v>
      </c>
      <c r="B1028" s="84">
        <f t="shared" ca="1" si="213"/>
        <v>0.49800294603619433</v>
      </c>
      <c r="C1028" s="84">
        <f t="shared" ca="1" si="213"/>
        <v>0.88555206047855628</v>
      </c>
      <c r="D1028" s="84">
        <f t="shared" ca="1" si="213"/>
        <v>0.35591041282487101</v>
      </c>
      <c r="F1028" s="84">
        <f t="shared" ca="1" si="214"/>
        <v>4.163587914575595E-2</v>
      </c>
      <c r="G1028" s="84">
        <f t="shared" ca="1" si="214"/>
        <v>0.87082636706429084</v>
      </c>
      <c r="H1028" s="84">
        <f t="shared" ca="1" si="214"/>
        <v>0.19572956952874343</v>
      </c>
      <c r="J1028" s="85">
        <f t="shared" ca="1" si="206"/>
        <v>127051069.94843511</v>
      </c>
      <c r="K1028" s="86">
        <f ca="1">IF(J1028&gt;0,MIN(99,$B$12*Q1028/(J1028*12*(1-Inputs!$H$16))),99)</f>
        <v>3.5367314243184342</v>
      </c>
      <c r="L1028" s="84">
        <f t="shared" ca="1" si="207"/>
        <v>1.0122746778096499</v>
      </c>
      <c r="M1028" s="84">
        <f t="shared" ca="1" si="208"/>
        <v>1.0047958922045279</v>
      </c>
      <c r="N1028" s="84">
        <f t="shared" ca="1" si="209"/>
        <v>0.99630685727643298</v>
      </c>
      <c r="O1028" s="84">
        <f t="shared" ca="1" si="210"/>
        <v>0.98322660643263293</v>
      </c>
      <c r="P1028" s="84">
        <f t="shared" ca="1" si="211"/>
        <v>1.5209990177691111</v>
      </c>
      <c r="Q1028" s="84">
        <f t="shared" ca="1" si="212"/>
        <v>0.98584888455818831</v>
      </c>
    </row>
    <row r="1029" spans="1:17" ht="15" customHeight="1" x14ac:dyDescent="0.2">
      <c r="A1029" s="15">
        <v>990</v>
      </c>
      <c r="B1029" s="84">
        <f t="shared" ca="1" si="213"/>
        <v>0.73526135530891534</v>
      </c>
      <c r="C1029" s="84">
        <f t="shared" ca="1" si="213"/>
        <v>0.70696635581902401</v>
      </c>
      <c r="D1029" s="84">
        <f t="shared" ca="1" si="213"/>
        <v>0.27743439204471998</v>
      </c>
      <c r="F1029" s="84">
        <f t="shared" ca="1" si="214"/>
        <v>0.47807080385726131</v>
      </c>
      <c r="G1029" s="84">
        <f t="shared" ca="1" si="214"/>
        <v>0.2139965377076698</v>
      </c>
      <c r="H1029" s="84">
        <f t="shared" ca="1" si="214"/>
        <v>0.39057656078382197</v>
      </c>
      <c r="J1029" s="85">
        <f t="shared" ca="1" si="206"/>
        <v>194314806.31407583</v>
      </c>
      <c r="K1029" s="86">
        <f ca="1">IF(J1029&gt;0,MIN(99,$B$12*Q1029/(J1029*12*(1-Inputs!$H$16))),99)</f>
        <v>2.4738465206563021</v>
      </c>
      <c r="L1029" s="84">
        <f t="shared" ca="1" si="207"/>
        <v>1.0842080618971961</v>
      </c>
      <c r="M1029" s="84">
        <f t="shared" ca="1" si="208"/>
        <v>1.0366095120351984</v>
      </c>
      <c r="N1029" s="84">
        <f t="shared" ca="1" si="209"/>
        <v>0.98958817301736168</v>
      </c>
      <c r="O1029" s="84">
        <f t="shared" ca="1" si="210"/>
        <v>1.0208096585218345</v>
      </c>
      <c r="P1029" s="84">
        <f t="shared" ca="1" si="211"/>
        <v>1.0197117773736677</v>
      </c>
      <c r="Q1029" s="84">
        <f t="shared" ca="1" si="212"/>
        <v>1.0546505600802967</v>
      </c>
    </row>
    <row r="1030" spans="1:17" ht="15" customHeight="1" x14ac:dyDescent="0.2">
      <c r="A1030" s="15">
        <v>991</v>
      </c>
      <c r="B1030" s="84">
        <f t="shared" ca="1" si="213"/>
        <v>0.63503968176903791</v>
      </c>
      <c r="C1030" s="84">
        <f t="shared" ca="1" si="213"/>
        <v>0.20507864395888131</v>
      </c>
      <c r="D1030" s="84">
        <f t="shared" ca="1" si="213"/>
        <v>0.85559039290928462</v>
      </c>
      <c r="F1030" s="84">
        <f t="shared" ca="1" si="214"/>
        <v>0.59981822751317315</v>
      </c>
      <c r="G1030" s="84">
        <f t="shared" ca="1" si="214"/>
        <v>0.61239385545549152</v>
      </c>
      <c r="H1030" s="84">
        <f t="shared" ca="1" si="214"/>
        <v>0.80844422095910795</v>
      </c>
      <c r="J1030" s="85">
        <f t="shared" ca="1" si="206"/>
        <v>145296088.93146503</v>
      </c>
      <c r="K1030" s="86">
        <f ca="1">IF(J1030&gt;0,MIN(99,$B$12*Q1030/(J1030*12*(1-Inputs!$H$16))),99)</f>
        <v>3.9382834182766446</v>
      </c>
      <c r="L1030" s="84">
        <f t="shared" ca="1" si="207"/>
        <v>1.0509865098777369</v>
      </c>
      <c r="M1030" s="84">
        <f t="shared" ca="1" si="208"/>
        <v>1.0219167815382482</v>
      </c>
      <c r="N1030" s="84">
        <f t="shared" ca="1" si="209"/>
        <v>1.045924812640173</v>
      </c>
      <c r="O1030" s="84">
        <f t="shared" ca="1" si="210"/>
        <v>1.0321299766157783</v>
      </c>
      <c r="P1030" s="84">
        <f t="shared" ca="1" si="211"/>
        <v>1.2707430090543541</v>
      </c>
      <c r="Q1030" s="84">
        <f t="shared" ca="1" si="212"/>
        <v>1.255425172614359</v>
      </c>
    </row>
    <row r="1031" spans="1:17" ht="15" customHeight="1" x14ac:dyDescent="0.2">
      <c r="A1031" s="15">
        <v>992</v>
      </c>
      <c r="B1031" s="84">
        <f t="shared" ca="1" si="213"/>
        <v>0.76102763161899889</v>
      </c>
      <c r="C1031" s="84">
        <f t="shared" ca="1" si="213"/>
        <v>0.1561978590940305</v>
      </c>
      <c r="D1031" s="84">
        <f t="shared" ca="1" si="213"/>
        <v>0.25862943974956454</v>
      </c>
      <c r="F1031" s="84">
        <f t="shared" ca="1" si="214"/>
        <v>8.1930077719731487E-2</v>
      </c>
      <c r="G1031" s="84">
        <f t="shared" ca="1" si="214"/>
        <v>0.84983737667905834</v>
      </c>
      <c r="H1031" s="84">
        <f t="shared" ca="1" si="214"/>
        <v>0.24847109329962913</v>
      </c>
      <c r="J1031" s="85">
        <f t="shared" ca="1" si="206"/>
        <v>189429678.59327573</v>
      </c>
      <c r="K1031" s="86">
        <f ca="1">IF(J1031&gt;0,MIN(99,$B$12*Q1031/(J1031*12*(1-Inputs!$H$16))),99)</f>
        <v>2.4161580776646532</v>
      </c>
      <c r="L1031" s="84">
        <f t="shared" ca="1" si="207"/>
        <v>1.0937303096146858</v>
      </c>
      <c r="M1031" s="84">
        <f t="shared" ca="1" si="208"/>
        <v>1.0408208691492888</v>
      </c>
      <c r="N1031" s="84">
        <f t="shared" ca="1" si="209"/>
        <v>0.98784130587025787</v>
      </c>
      <c r="O1031" s="84">
        <f t="shared" ca="1" si="210"/>
        <v>0.9885999875040985</v>
      </c>
      <c r="P1031" s="84">
        <f t="shared" ca="1" si="211"/>
        <v>1.4942773600454904</v>
      </c>
      <c r="Q1031" s="84">
        <f t="shared" ca="1" si="212"/>
        <v>1.0041609039041313</v>
      </c>
    </row>
    <row r="1032" spans="1:17" ht="15" customHeight="1" x14ac:dyDescent="0.2">
      <c r="A1032" s="15">
        <v>993</v>
      </c>
      <c r="B1032" s="84">
        <f t="shared" ca="1" si="213"/>
        <v>8.7202500476332045E-2</v>
      </c>
      <c r="C1032" s="84">
        <f t="shared" ca="1" si="213"/>
        <v>6.6362372688105187E-2</v>
      </c>
      <c r="D1032" s="84">
        <f t="shared" ca="1" si="213"/>
        <v>0.57992679932418167</v>
      </c>
      <c r="F1032" s="84">
        <f t="shared" ca="1" si="214"/>
        <v>8.1488002699878548E-2</v>
      </c>
      <c r="G1032" s="84">
        <f t="shared" ca="1" si="214"/>
        <v>0.47436291885981319</v>
      </c>
      <c r="H1032" s="84">
        <f t="shared" ca="1" si="214"/>
        <v>0.13635275649407408</v>
      </c>
      <c r="J1032" s="85">
        <f t="shared" ca="1" si="206"/>
        <v>41827284.728937671</v>
      </c>
      <c r="K1032" s="86">
        <f ca="1">IF(J1032&gt;0,MIN(99,$B$12*Q1032/(J1032*12*(1-Inputs!$H$16))),99)</f>
        <v>10.483459143607883</v>
      </c>
      <c r="L1032" s="84">
        <f t="shared" ca="1" si="207"/>
        <v>0.87404686417846533</v>
      </c>
      <c r="M1032" s="84">
        <f t="shared" ca="1" si="208"/>
        <v>0.94301355448270296</v>
      </c>
      <c r="N1032" s="84">
        <f t="shared" ca="1" si="209"/>
        <v>1.0145544414243537</v>
      </c>
      <c r="O1032" s="84">
        <f t="shared" ca="1" si="210"/>
        <v>0.98854943027117292</v>
      </c>
      <c r="P1032" s="84">
        <f t="shared" ca="1" si="211"/>
        <v>1.1733422204786634</v>
      </c>
      <c r="Q1032" s="84">
        <f t="shared" ca="1" si="212"/>
        <v>0.96204241784120814</v>
      </c>
    </row>
    <row r="1033" spans="1:17" ht="15" customHeight="1" x14ac:dyDescent="0.2">
      <c r="A1033" s="15">
        <v>994</v>
      </c>
      <c r="B1033" s="84">
        <f t="shared" ca="1" si="213"/>
        <v>0.9324366394133301</v>
      </c>
      <c r="C1033" s="84">
        <f t="shared" ca="1" si="213"/>
        <v>0.10257105224964624</v>
      </c>
      <c r="D1033" s="84">
        <f t="shared" ca="1" si="213"/>
        <v>0.91428850958816499</v>
      </c>
      <c r="F1033" s="84">
        <f t="shared" ca="1" si="214"/>
        <v>0.72190432172155716</v>
      </c>
      <c r="G1033" s="84">
        <f t="shared" ca="1" si="214"/>
        <v>6.7235754325535302E-2</v>
      </c>
      <c r="H1033" s="84">
        <f t="shared" ca="1" si="214"/>
        <v>0.6073925987543225</v>
      </c>
      <c r="J1033" s="85">
        <f t="shared" ca="1" si="206"/>
        <v>250954292.27949429</v>
      </c>
      <c r="K1033" s="86">
        <f ca="1">IF(J1033&gt;0,MIN(99,$B$12*Q1033/(J1033*12*(1-Inputs!$H$16))),99)</f>
        <v>2.0793152397254415</v>
      </c>
      <c r="L1033" s="84">
        <f t="shared" ca="1" si="207"/>
        <v>1.1786155506283968</v>
      </c>
      <c r="M1033" s="84">
        <f t="shared" ca="1" si="208"/>
        <v>1.0783626422925958</v>
      </c>
      <c r="N1033" s="84">
        <f t="shared" ca="1" si="209"/>
        <v>1.0561329452383066</v>
      </c>
      <c r="O1033" s="84">
        <f t="shared" ca="1" si="210"/>
        <v>1.0453911181460513</v>
      </c>
      <c r="P1033" s="84">
        <f t="shared" ca="1" si="211"/>
        <v>0.92896242833239118</v>
      </c>
      <c r="Q1033" s="84">
        <f t="shared" ca="1" si="212"/>
        <v>1.1448402931765562</v>
      </c>
    </row>
    <row r="1034" spans="1:17" ht="15" customHeight="1" x14ac:dyDescent="0.2">
      <c r="A1034" s="15">
        <v>995</v>
      </c>
      <c r="B1034" s="84">
        <f t="shared" ca="1" si="213"/>
        <v>0.89204119718446351</v>
      </c>
      <c r="C1034" s="84">
        <f t="shared" ca="1" si="213"/>
        <v>0.88661683317101403</v>
      </c>
      <c r="D1034" s="84">
        <f t="shared" ca="1" si="213"/>
        <v>0.29790764528472302</v>
      </c>
      <c r="F1034" s="84">
        <f t="shared" ca="1" si="214"/>
        <v>0.74675489197816913</v>
      </c>
      <c r="G1034" s="84">
        <f t="shared" ca="1" si="214"/>
        <v>0.71519370728396126</v>
      </c>
      <c r="H1034" s="84">
        <f t="shared" ca="1" si="214"/>
        <v>6.6746174798151259E-3</v>
      </c>
      <c r="J1034" s="85">
        <f t="shared" ca="1" si="206"/>
        <v>230264870.13892454</v>
      </c>
      <c r="K1034" s="86">
        <f ca="1">IF(J1034&gt;0,MIN(99,$B$12*Q1034/(J1034*12*(1-Inputs!$H$16))),99)</f>
        <v>1.7190664826246131</v>
      </c>
      <c r="L1034" s="84">
        <f t="shared" ca="1" si="207"/>
        <v>1.1531626683354552</v>
      </c>
      <c r="M1034" s="84">
        <f t="shared" ca="1" si="208"/>
        <v>1.0671057226976974</v>
      </c>
      <c r="N1034" s="84">
        <f t="shared" ca="1" si="209"/>
        <v>0.99142395725937749</v>
      </c>
      <c r="O1034" s="84">
        <f t="shared" ca="1" si="210"/>
        <v>1.0484292490558551</v>
      </c>
      <c r="P1034" s="84">
        <f t="shared" ca="1" si="211"/>
        <v>1.3552870666317232</v>
      </c>
      <c r="Q1034" s="84">
        <f t="shared" ca="1" si="212"/>
        <v>0.86846095934966394</v>
      </c>
    </row>
    <row r="1035" spans="1:17" ht="15" customHeight="1" x14ac:dyDescent="0.2">
      <c r="A1035" s="15">
        <v>996</v>
      </c>
      <c r="B1035" s="84">
        <f t="shared" ca="1" si="213"/>
        <v>0.47379723694946319</v>
      </c>
      <c r="C1035" s="84">
        <f t="shared" ca="1" si="213"/>
        <v>0.70257511297883501</v>
      </c>
      <c r="D1035" s="84">
        <f t="shared" ca="1" si="213"/>
        <v>0.1650953911808456</v>
      </c>
      <c r="F1035" s="84">
        <f t="shared" ca="1" si="214"/>
        <v>0.6588252376796917</v>
      </c>
      <c r="G1035" s="84">
        <f t="shared" ca="1" si="214"/>
        <v>0.13753411334424692</v>
      </c>
      <c r="H1035" s="84">
        <f t="shared" ca="1" si="214"/>
        <v>0.11179183504265133</v>
      </c>
      <c r="J1035" s="85">
        <f t="shared" ca="1" si="206"/>
        <v>137860525.93784177</v>
      </c>
      <c r="K1035" s="86">
        <f ca="1">IF(J1035&gt;0,MIN(99,$B$12*Q1035/(J1035*12*(1-Inputs!$H$16))),99)</f>
        <v>3.1431541894629991</v>
      </c>
      <c r="L1035" s="84">
        <f t="shared" ca="1" si="207"/>
        <v>1.0060150935099725</v>
      </c>
      <c r="M1035" s="84">
        <f t="shared" ca="1" si="208"/>
        <v>1.0020274970048024</v>
      </c>
      <c r="N1035" s="84">
        <f t="shared" ca="1" si="209"/>
        <v>0.97800908179663959</v>
      </c>
      <c r="O1035" s="84">
        <f t="shared" ca="1" si="210"/>
        <v>1.0382404187946783</v>
      </c>
      <c r="P1035" s="84">
        <f t="shared" ca="1" si="211"/>
        <v>0.97812635606776299</v>
      </c>
      <c r="Q1035" s="84">
        <f t="shared" ca="1" si="212"/>
        <v>0.95068262912563117</v>
      </c>
    </row>
    <row r="1036" spans="1:17" ht="15" customHeight="1" x14ac:dyDescent="0.2">
      <c r="A1036" s="15">
        <v>997</v>
      </c>
      <c r="B1036" s="84">
        <f t="shared" ca="1" si="213"/>
        <v>0.51214439668283707</v>
      </c>
      <c r="C1036" s="84">
        <f t="shared" ca="1" si="213"/>
        <v>0.43483222896751883</v>
      </c>
      <c r="D1036" s="84">
        <f t="shared" ca="1" si="213"/>
        <v>0.28392330961368695</v>
      </c>
      <c r="F1036" s="84">
        <f t="shared" ca="1" si="214"/>
        <v>0.96569475392602366</v>
      </c>
      <c r="G1036" s="84">
        <f t="shared" ca="1" si="214"/>
        <v>0.58098037551111936</v>
      </c>
      <c r="H1036" s="84">
        <f t="shared" ca="1" si="214"/>
        <v>0.85890214861666214</v>
      </c>
      <c r="J1036" s="85">
        <f t="shared" ca="1" si="206"/>
        <v>123838129.7076218</v>
      </c>
      <c r="K1036" s="86">
        <f ca="1">IF(J1036&gt;0,MIN(99,$B$12*Q1036/(J1036*12*(1-Inputs!$H$16))),99)</f>
        <v>4.7543545939490972</v>
      </c>
      <c r="L1036" s="84">
        <f t="shared" ca="1" si="207"/>
        <v>1.0160016497038833</v>
      </c>
      <c r="M1036" s="84">
        <f t="shared" ca="1" si="208"/>
        <v>1.0064442015183013</v>
      </c>
      <c r="N1036" s="84">
        <f t="shared" ca="1" si="209"/>
        <v>0.99017713698742738</v>
      </c>
      <c r="O1036" s="84">
        <f t="shared" ca="1" si="210"/>
        <v>1.0884978711449016</v>
      </c>
      <c r="P1036" s="84">
        <f t="shared" ca="1" si="211"/>
        <v>1.247220115579128</v>
      </c>
      <c r="Q1036" s="84">
        <f t="shared" ca="1" si="212"/>
        <v>1.2917423414603295</v>
      </c>
    </row>
    <row r="1037" spans="1:17" ht="15" customHeight="1" x14ac:dyDescent="0.2">
      <c r="A1037" s="15">
        <v>998</v>
      </c>
      <c r="B1037" s="84">
        <f t="shared" ca="1" si="213"/>
        <v>0.46217191130427371</v>
      </c>
      <c r="C1037" s="84">
        <f t="shared" ca="1" si="213"/>
        <v>0.64151652989764474</v>
      </c>
      <c r="D1037" s="84">
        <f t="shared" ca="1" si="213"/>
        <v>0.61594711396173307</v>
      </c>
      <c r="F1037" s="84">
        <f t="shared" ca="1" si="214"/>
        <v>0.89225696575218583</v>
      </c>
      <c r="G1037" s="84">
        <f t="shared" ca="1" si="214"/>
        <v>0.90760036210200756</v>
      </c>
      <c r="H1037" s="84">
        <f t="shared" ca="1" si="214"/>
        <v>0.34425195560232991</v>
      </c>
      <c r="J1037" s="85">
        <f t="shared" ca="1" si="206"/>
        <v>99259279.964342758</v>
      </c>
      <c r="K1037" s="86">
        <f ca="1">IF(J1037&gt;0,MIN(99,$B$12*Q1037/(J1037*12*(1-Inputs!$H$16))),99)</f>
        <v>4.7646287390033484</v>
      </c>
      <c r="L1037" s="84">
        <f t="shared" ca="1" si="207"/>
        <v>1.0030600025820726</v>
      </c>
      <c r="M1037" s="84">
        <f t="shared" ca="1" si="208"/>
        <v>1.0007205636450309</v>
      </c>
      <c r="N1037" s="84">
        <f t="shared" ca="1" si="209"/>
        <v>1.0178785353298747</v>
      </c>
      <c r="O1037" s="84">
        <f t="shared" ca="1" si="210"/>
        <v>1.0704773812995034</v>
      </c>
      <c r="P1037" s="84">
        <f t="shared" ca="1" si="211"/>
        <v>1.5737124769793682</v>
      </c>
      <c r="Q1037" s="84">
        <f t="shared" ca="1" si="212"/>
        <v>1.037600393665707</v>
      </c>
    </row>
    <row r="1038" spans="1:17" ht="15" customHeight="1" x14ac:dyDescent="0.2">
      <c r="A1038" s="15">
        <v>999</v>
      </c>
      <c r="B1038" s="84">
        <f t="shared" ca="1" si="213"/>
        <v>4.0479170806413944E-2</v>
      </c>
      <c r="C1038" s="84">
        <f t="shared" ca="1" si="213"/>
        <v>0.81436223756895298</v>
      </c>
      <c r="D1038" s="84">
        <f t="shared" ca="1" si="213"/>
        <v>0.18307650215525162</v>
      </c>
      <c r="F1038" s="84">
        <f t="shared" ca="1" si="214"/>
        <v>0.90923786662046469</v>
      </c>
      <c r="G1038" s="84">
        <f t="shared" ca="1" si="214"/>
        <v>0.28375390441251713</v>
      </c>
      <c r="H1038" s="84">
        <f t="shared" ca="1" si="214"/>
        <v>0.96552853676468264</v>
      </c>
      <c r="J1038" s="85">
        <f t="shared" ca="1" si="206"/>
        <v>18372066.91038847</v>
      </c>
      <c r="K1038" s="86">
        <f ca="1">IF(J1038&gt;0,MIN(99,$B$12*Q1038/(J1038*12*(1-Inputs!$H$16))),99)</f>
        <v>34.805836058738556</v>
      </c>
      <c r="L1038" s="84">
        <f t="shared" ca="1" si="207"/>
        <v>0.84248264010633822</v>
      </c>
      <c r="M1038" s="84">
        <f t="shared" ca="1" si="208"/>
        <v>0.92889207392841278</v>
      </c>
      <c r="N1038" s="84">
        <f t="shared" ca="1" si="209"/>
        <v>0.98008205487199995</v>
      </c>
      <c r="O1038" s="84">
        <f t="shared" ca="1" si="210"/>
        <v>1.0738760671805916</v>
      </c>
      <c r="P1038" s="84">
        <f t="shared" ca="1" si="211"/>
        <v>1.057991126273544</v>
      </c>
      <c r="Q1038" s="84">
        <f t="shared" ca="1" si="212"/>
        <v>1.4029430117017914</v>
      </c>
    </row>
    <row r="1039" spans="1:17" ht="15" customHeight="1" x14ac:dyDescent="0.2">
      <c r="A1039" s="15">
        <v>1000</v>
      </c>
      <c r="B1039" s="84">
        <f t="shared" ca="1" si="213"/>
        <v>0.52468764453302974</v>
      </c>
      <c r="C1039" s="84">
        <f t="shared" ca="1" si="213"/>
        <v>0.51094350710720593</v>
      </c>
      <c r="D1039" s="84">
        <f t="shared" ca="1" si="213"/>
        <v>0.41719318404543448</v>
      </c>
      <c r="F1039" s="84">
        <f t="shared" ca="1" si="214"/>
        <v>0.11509986971492858</v>
      </c>
      <c r="G1039" s="84">
        <f t="shared" ca="1" si="214"/>
        <v>0.95934427936740541</v>
      </c>
      <c r="H1039" s="84">
        <f t="shared" ca="1" si="214"/>
        <v>0.6724704283781332</v>
      </c>
      <c r="J1039" s="85">
        <f t="shared" ca="1" si="206"/>
        <v>123952655.02869622</v>
      </c>
      <c r="K1039" s="86">
        <f ca="1">IF(J1039&gt;0,MIN(99,$B$12*Q1039/(J1039*12*(1-Inputs!$H$16))),99)</f>
        <v>4.3266205243397566</v>
      </c>
      <c r="L1039" s="84">
        <f t="shared" ca="1" si="207"/>
        <v>1.0193528821271234</v>
      </c>
      <c r="M1039" s="84">
        <f t="shared" ca="1" si="208"/>
        <v>1.0079263344059661</v>
      </c>
      <c r="N1039" s="84">
        <f t="shared" ca="1" si="209"/>
        <v>1.0010655783696658</v>
      </c>
      <c r="O1039" s="84">
        <f t="shared" ca="1" si="210"/>
        <v>0.99206710676887444</v>
      </c>
      <c r="P1039" s="84">
        <f t="shared" ca="1" si="211"/>
        <v>1.6710299168522629</v>
      </c>
      <c r="Q1039" s="84">
        <f t="shared" ca="1" si="212"/>
        <v>1.1766155433359451</v>
      </c>
    </row>
  </sheetData>
  <mergeCells count="25">
    <mergeCell ref="AB7:AE7"/>
    <mergeCell ref="V7:Y7"/>
    <mergeCell ref="AO5:AQ5"/>
    <mergeCell ref="Z7:AA7"/>
    <mergeCell ref="AF7:AN7"/>
    <mergeCell ref="AO7:AQ7"/>
    <mergeCell ref="AB6:AE6"/>
    <mergeCell ref="V5:Y5"/>
    <mergeCell ref="AB5:AE5"/>
    <mergeCell ref="Z3:AA3"/>
    <mergeCell ref="AO6:AQ6"/>
    <mergeCell ref="V4:Y4"/>
    <mergeCell ref="AB4:AE4"/>
    <mergeCell ref="Z5:AA5"/>
    <mergeCell ref="AF3:AN3"/>
    <mergeCell ref="Z4:AA4"/>
    <mergeCell ref="V6:Y6"/>
    <mergeCell ref="AF4:AN4"/>
    <mergeCell ref="Z6:AA6"/>
    <mergeCell ref="AF6:AN6"/>
    <mergeCell ref="AO3:AQ3"/>
    <mergeCell ref="V3:Y3"/>
    <mergeCell ref="AB3:AE3"/>
    <mergeCell ref="AF5:AN5"/>
    <mergeCell ref="AO4:AQ4"/>
  </mergeCells>
  <pageMargins left="0.75" right="0.75" top="1" bottom="1"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sheetPr>
  <dimension ref="A1:G110"/>
  <sheetViews>
    <sheetView showGridLines="0" topLeftCell="E1" zoomScaleNormal="100" workbookViewId="0">
      <pane ySplit="4" topLeftCell="A5" activePane="bottomLeft" state="frozen"/>
      <selection pane="bottomLeft" activeCell="G4" sqref="E4:G4"/>
    </sheetView>
  </sheetViews>
  <sheetFormatPr baseColWidth="10" defaultColWidth="8.6640625" defaultRowHeight="15" x14ac:dyDescent="0.2"/>
  <cols>
    <col min="1" max="1" width="6" customWidth="1"/>
    <col min="2" max="2" width="13" customWidth="1"/>
    <col min="3" max="5" width="60" customWidth="1"/>
    <col min="6" max="6" width="34" customWidth="1"/>
    <col min="7" max="7" width="30" customWidth="1"/>
  </cols>
  <sheetData>
    <row r="1" spans="1:7" ht="17.25" customHeight="1" x14ac:dyDescent="0.2">
      <c r="A1" s="124" t="s">
        <v>1795</v>
      </c>
    </row>
    <row r="2" spans="1:7" ht="15" customHeight="1" x14ac:dyDescent="0.2">
      <c r="A2" s="11" t="s">
        <v>1796</v>
      </c>
    </row>
    <row r="4" spans="1:7" ht="15" customHeight="1" x14ac:dyDescent="0.2">
      <c r="A4" s="117" t="s">
        <v>1797</v>
      </c>
      <c r="B4" s="117" t="s">
        <v>1798</v>
      </c>
      <c r="C4" s="117" t="s">
        <v>84</v>
      </c>
      <c r="D4" s="117" t="s">
        <v>1799</v>
      </c>
      <c r="E4" s="117" t="s">
        <v>1800</v>
      </c>
      <c r="F4" s="117" t="s">
        <v>1801</v>
      </c>
      <c r="G4" s="119" t="s">
        <v>1802</v>
      </c>
    </row>
    <row r="5" spans="1:7" ht="23.25" customHeight="1" x14ac:dyDescent="0.2">
      <c r="A5" s="15" t="s">
        <v>1803</v>
      </c>
      <c r="B5" s="15" t="s">
        <v>1804</v>
      </c>
      <c r="C5" s="13" t="s">
        <v>1805</v>
      </c>
      <c r="D5" s="87" t="s">
        <v>1806</v>
      </c>
      <c r="E5" s="13" t="s">
        <v>1807</v>
      </c>
      <c r="F5" s="13" t="s">
        <v>1808</v>
      </c>
      <c r="G5" s="88" t="s">
        <v>1809</v>
      </c>
    </row>
    <row r="6" spans="1:7" ht="23.25" customHeight="1" x14ac:dyDescent="0.2">
      <c r="A6" s="15" t="s">
        <v>1810</v>
      </c>
      <c r="B6" s="15" t="s">
        <v>1804</v>
      </c>
      <c r="C6" s="13" t="s">
        <v>1811</v>
      </c>
      <c r="D6" s="87" t="s">
        <v>1812</v>
      </c>
      <c r="E6" s="13" t="s">
        <v>1813</v>
      </c>
      <c r="F6" s="13" t="s">
        <v>1814</v>
      </c>
      <c r="G6" s="88" t="s">
        <v>1809</v>
      </c>
    </row>
    <row r="7" spans="1:7" ht="23.25" customHeight="1" x14ac:dyDescent="0.2">
      <c r="A7" s="15" t="s">
        <v>1165</v>
      </c>
      <c r="B7" s="15" t="s">
        <v>1804</v>
      </c>
      <c r="C7" s="13" t="s">
        <v>1815</v>
      </c>
      <c r="D7" s="87" t="s">
        <v>1816</v>
      </c>
      <c r="E7" s="13" t="s">
        <v>1817</v>
      </c>
      <c r="F7" s="13" t="s">
        <v>1818</v>
      </c>
      <c r="G7" s="88" t="s">
        <v>1819</v>
      </c>
    </row>
    <row r="8" spans="1:7" ht="15" customHeight="1" x14ac:dyDescent="0.2">
      <c r="A8" s="15" t="s">
        <v>993</v>
      </c>
      <c r="B8" s="15" t="s">
        <v>1820</v>
      </c>
      <c r="C8" s="13" t="s">
        <v>1821</v>
      </c>
      <c r="D8" s="87" t="s">
        <v>1822</v>
      </c>
      <c r="E8" s="13" t="s">
        <v>1823</v>
      </c>
      <c r="F8" s="13" t="s">
        <v>1824</v>
      </c>
      <c r="G8" s="88" t="s">
        <v>1825</v>
      </c>
    </row>
    <row r="9" spans="1:7" ht="23.25" customHeight="1" x14ac:dyDescent="0.2">
      <c r="A9" s="15" t="s">
        <v>996</v>
      </c>
      <c r="B9" s="15" t="s">
        <v>1820</v>
      </c>
      <c r="C9" s="13" t="s">
        <v>1826</v>
      </c>
      <c r="D9" s="87" t="s">
        <v>1827</v>
      </c>
      <c r="E9" s="13" t="s">
        <v>1828</v>
      </c>
      <c r="F9" s="13" t="s">
        <v>1829</v>
      </c>
      <c r="G9" s="88" t="s">
        <v>1830</v>
      </c>
    </row>
    <row r="10" spans="1:7" ht="15" customHeight="1" x14ac:dyDescent="0.2">
      <c r="A10" s="15" t="s">
        <v>1831</v>
      </c>
      <c r="B10" s="15" t="s">
        <v>1820</v>
      </c>
      <c r="C10" s="13" t="s">
        <v>1832</v>
      </c>
      <c r="D10" s="87" t="s">
        <v>1833</v>
      </c>
      <c r="E10" s="13" t="s">
        <v>1834</v>
      </c>
      <c r="F10" s="13" t="s">
        <v>1835</v>
      </c>
      <c r="G10" s="88" t="s">
        <v>1836</v>
      </c>
    </row>
    <row r="11" spans="1:7" ht="23.25" customHeight="1" x14ac:dyDescent="0.2">
      <c r="A11" s="15" t="s">
        <v>1837</v>
      </c>
      <c r="B11" s="15" t="s">
        <v>1820</v>
      </c>
      <c r="C11" s="13" t="s">
        <v>1838</v>
      </c>
      <c r="D11" s="87" t="s">
        <v>1839</v>
      </c>
      <c r="E11" s="13" t="s">
        <v>1840</v>
      </c>
      <c r="F11" s="13" t="s">
        <v>1841</v>
      </c>
      <c r="G11" s="88" t="s">
        <v>1836</v>
      </c>
    </row>
    <row r="12" spans="1:7" ht="15" customHeight="1" x14ac:dyDescent="0.2">
      <c r="A12" s="15" t="s">
        <v>1842</v>
      </c>
      <c r="B12" s="15" t="s">
        <v>1820</v>
      </c>
      <c r="C12" s="13" t="s">
        <v>1843</v>
      </c>
      <c r="D12" s="87" t="s">
        <v>1844</v>
      </c>
      <c r="E12" s="13" t="s">
        <v>1845</v>
      </c>
      <c r="F12" s="13" t="s">
        <v>1846</v>
      </c>
      <c r="G12" s="88" t="s">
        <v>1836</v>
      </c>
    </row>
    <row r="13" spans="1:7" ht="23.25" customHeight="1" x14ac:dyDescent="0.2">
      <c r="A13" s="15" t="s">
        <v>1847</v>
      </c>
      <c r="B13" s="15" t="s">
        <v>1820</v>
      </c>
      <c r="C13" s="13" t="s">
        <v>1848</v>
      </c>
      <c r="D13" s="87" t="s">
        <v>1849</v>
      </c>
      <c r="E13" s="13" t="s">
        <v>1850</v>
      </c>
      <c r="F13" s="13" t="s">
        <v>1851</v>
      </c>
      <c r="G13" s="88" t="s">
        <v>1836</v>
      </c>
    </row>
    <row r="14" spans="1:7" ht="23.25" customHeight="1" x14ac:dyDescent="0.2">
      <c r="A14" s="15" t="s">
        <v>1852</v>
      </c>
      <c r="B14" s="15" t="s">
        <v>529</v>
      </c>
      <c r="C14" s="13" t="s">
        <v>1853</v>
      </c>
      <c r="D14" s="87" t="s">
        <v>1854</v>
      </c>
      <c r="E14" s="13" t="s">
        <v>1855</v>
      </c>
      <c r="F14" s="13" t="s">
        <v>1856</v>
      </c>
      <c r="G14" s="88" t="s">
        <v>1857</v>
      </c>
    </row>
    <row r="15" spans="1:7" ht="15" customHeight="1" x14ac:dyDescent="0.2">
      <c r="A15" s="15" t="s">
        <v>1858</v>
      </c>
      <c r="B15" s="15" t="s">
        <v>513</v>
      </c>
      <c r="C15" s="13" t="s">
        <v>1859</v>
      </c>
      <c r="D15" s="87" t="s">
        <v>1860</v>
      </c>
      <c r="E15" s="13" t="s">
        <v>1861</v>
      </c>
      <c r="F15" s="13" t="s">
        <v>1862</v>
      </c>
      <c r="G15" s="88" t="s">
        <v>1863</v>
      </c>
    </row>
    <row r="16" spans="1:7" ht="23.25" customHeight="1" x14ac:dyDescent="0.2">
      <c r="A16" s="15" t="s">
        <v>1864</v>
      </c>
      <c r="B16" s="15" t="s">
        <v>1865</v>
      </c>
      <c r="C16" s="13" t="s">
        <v>1866</v>
      </c>
      <c r="D16" s="87" t="s">
        <v>1867</v>
      </c>
      <c r="E16" s="13" t="s">
        <v>1868</v>
      </c>
      <c r="F16" s="13" t="s">
        <v>1869</v>
      </c>
      <c r="G16" s="88" t="s">
        <v>1870</v>
      </c>
    </row>
    <row r="17" spans="1:7" ht="15" customHeight="1" x14ac:dyDescent="0.2">
      <c r="A17" s="15" t="s">
        <v>129</v>
      </c>
      <c r="B17" s="15" t="s">
        <v>284</v>
      </c>
      <c r="C17" s="13" t="s">
        <v>1871</v>
      </c>
      <c r="D17" s="87" t="s">
        <v>1872</v>
      </c>
      <c r="E17" s="13" t="s">
        <v>1873</v>
      </c>
      <c r="F17" s="13" t="s">
        <v>1874</v>
      </c>
      <c r="G17" s="88" t="s">
        <v>1875</v>
      </c>
    </row>
    <row r="18" spans="1:7" ht="15" customHeight="1" x14ac:dyDescent="0.2">
      <c r="A18" s="15" t="s">
        <v>1876</v>
      </c>
      <c r="B18" s="15" t="s">
        <v>284</v>
      </c>
      <c r="C18" s="13" t="s">
        <v>1877</v>
      </c>
      <c r="D18" s="87" t="s">
        <v>1878</v>
      </c>
      <c r="E18" s="13" t="s">
        <v>1879</v>
      </c>
      <c r="F18" s="13" t="s">
        <v>1880</v>
      </c>
      <c r="G18" s="88" t="s">
        <v>1881</v>
      </c>
    </row>
    <row r="19" spans="1:7" ht="15" customHeight="1" x14ac:dyDescent="0.2">
      <c r="A19" s="15" t="s">
        <v>1882</v>
      </c>
      <c r="B19" s="15" t="s">
        <v>284</v>
      </c>
      <c r="C19" s="13" t="s">
        <v>1883</v>
      </c>
      <c r="D19" s="87" t="s">
        <v>1884</v>
      </c>
      <c r="E19" s="13" t="s">
        <v>1885</v>
      </c>
      <c r="F19" s="13" t="s">
        <v>1818</v>
      </c>
      <c r="G19" s="88" t="s">
        <v>1886</v>
      </c>
    </row>
    <row r="20" spans="1:7" ht="23.25" customHeight="1" x14ac:dyDescent="0.2">
      <c r="A20" s="15" t="s">
        <v>1172</v>
      </c>
      <c r="B20" s="15" t="s">
        <v>251</v>
      </c>
      <c r="C20" s="13" t="s">
        <v>1887</v>
      </c>
      <c r="D20" s="87" t="s">
        <v>1888</v>
      </c>
      <c r="E20" s="13" t="s">
        <v>1889</v>
      </c>
      <c r="F20" s="13" t="s">
        <v>1890</v>
      </c>
      <c r="G20" s="88" t="s">
        <v>1891</v>
      </c>
    </row>
    <row r="21" spans="1:7" ht="15" customHeight="1" x14ac:dyDescent="0.2">
      <c r="A21" s="15" t="s">
        <v>1892</v>
      </c>
      <c r="B21" s="15" t="s">
        <v>251</v>
      </c>
      <c r="C21" s="13" t="s">
        <v>1893</v>
      </c>
      <c r="D21" s="87" t="s">
        <v>1894</v>
      </c>
      <c r="E21" s="13" t="s">
        <v>1895</v>
      </c>
      <c r="F21" s="13" t="s">
        <v>1896</v>
      </c>
      <c r="G21" s="88" t="s">
        <v>1897</v>
      </c>
    </row>
    <row r="22" spans="1:7" ht="15" customHeight="1" x14ac:dyDescent="0.2">
      <c r="A22" s="15" t="s">
        <v>1898</v>
      </c>
      <c r="B22" s="15" t="s">
        <v>251</v>
      </c>
      <c r="C22" s="13" t="s">
        <v>1899</v>
      </c>
      <c r="D22" s="87" t="s">
        <v>1900</v>
      </c>
      <c r="E22" s="13" t="s">
        <v>1901</v>
      </c>
      <c r="F22" s="13" t="s">
        <v>1902</v>
      </c>
      <c r="G22" s="88" t="s">
        <v>1903</v>
      </c>
    </row>
    <row r="23" spans="1:7" ht="15" customHeight="1" x14ac:dyDescent="0.2">
      <c r="A23" s="15" t="s">
        <v>1654</v>
      </c>
      <c r="B23" s="15" t="s">
        <v>1904</v>
      </c>
      <c r="C23" s="13" t="s">
        <v>1905</v>
      </c>
      <c r="D23" s="87" t="s">
        <v>1906</v>
      </c>
      <c r="E23" s="13" t="s">
        <v>1907</v>
      </c>
      <c r="F23" s="13" t="s">
        <v>1908</v>
      </c>
      <c r="G23" s="88" t="s">
        <v>1909</v>
      </c>
    </row>
    <row r="24" spans="1:7" ht="15" customHeight="1" x14ac:dyDescent="0.2">
      <c r="A24" s="15" t="s">
        <v>680</v>
      </c>
      <c r="B24" s="15" t="s">
        <v>324</v>
      </c>
      <c r="C24" s="13" t="s">
        <v>1910</v>
      </c>
      <c r="D24" s="87" t="s">
        <v>1911</v>
      </c>
      <c r="E24" s="13" t="s">
        <v>1912</v>
      </c>
      <c r="F24" s="13" t="s">
        <v>1913</v>
      </c>
      <c r="G24" s="88" t="s">
        <v>1914</v>
      </c>
    </row>
    <row r="25" spans="1:7" ht="15" customHeight="1" x14ac:dyDescent="0.2">
      <c r="A25" s="15" t="s">
        <v>1915</v>
      </c>
      <c r="B25" s="15" t="s">
        <v>324</v>
      </c>
      <c r="C25" s="13" t="s">
        <v>1916</v>
      </c>
      <c r="D25" s="87" t="s">
        <v>1917</v>
      </c>
      <c r="E25" s="13" t="s">
        <v>1918</v>
      </c>
      <c r="F25" s="13" t="s">
        <v>1919</v>
      </c>
      <c r="G25" s="88" t="s">
        <v>1914</v>
      </c>
    </row>
    <row r="26" spans="1:7" ht="15" customHeight="1" x14ac:dyDescent="0.2">
      <c r="A26" s="15" t="s">
        <v>657</v>
      </c>
      <c r="B26" s="15" t="s">
        <v>324</v>
      </c>
      <c r="C26" s="13" t="s">
        <v>1920</v>
      </c>
      <c r="D26" s="87" t="s">
        <v>1921</v>
      </c>
      <c r="E26" s="13" t="s">
        <v>1922</v>
      </c>
      <c r="F26" s="13" t="s">
        <v>1919</v>
      </c>
      <c r="G26" s="88" t="s">
        <v>1923</v>
      </c>
    </row>
    <row r="27" spans="1:7" ht="15" customHeight="1" x14ac:dyDescent="0.2">
      <c r="A27" s="15" t="s">
        <v>647</v>
      </c>
      <c r="B27" s="15" t="s">
        <v>324</v>
      </c>
      <c r="C27" s="13" t="s">
        <v>1924</v>
      </c>
      <c r="D27" s="87" t="s">
        <v>1925</v>
      </c>
      <c r="E27" s="13" t="s">
        <v>1926</v>
      </c>
      <c r="F27" s="13" t="s">
        <v>1927</v>
      </c>
      <c r="G27" s="88" t="s">
        <v>1923</v>
      </c>
    </row>
    <row r="28" spans="1:7" ht="15" customHeight="1" x14ac:dyDescent="0.2">
      <c r="A28" s="15" t="s">
        <v>727</v>
      </c>
      <c r="B28" s="15" t="s">
        <v>324</v>
      </c>
      <c r="C28" s="13" t="s">
        <v>1928</v>
      </c>
      <c r="D28" s="87" t="s">
        <v>1929</v>
      </c>
      <c r="E28" s="13" t="s">
        <v>1930</v>
      </c>
      <c r="F28" s="13" t="s">
        <v>1931</v>
      </c>
      <c r="G28" s="88" t="s">
        <v>1923</v>
      </c>
    </row>
    <row r="29" spans="1:7" ht="15" customHeight="1" x14ac:dyDescent="0.2">
      <c r="A29" s="15" t="s">
        <v>742</v>
      </c>
      <c r="B29" s="15" t="s">
        <v>324</v>
      </c>
      <c r="C29" s="13" t="s">
        <v>1932</v>
      </c>
      <c r="D29" s="87" t="s">
        <v>1933</v>
      </c>
      <c r="E29" s="13" t="s">
        <v>1934</v>
      </c>
      <c r="F29" s="13" t="s">
        <v>1927</v>
      </c>
      <c r="G29" s="88" t="s">
        <v>1923</v>
      </c>
    </row>
    <row r="30" spans="1:7" ht="15" customHeight="1" x14ac:dyDescent="0.2">
      <c r="A30" s="15" t="s">
        <v>801</v>
      </c>
      <c r="B30" s="15" t="s">
        <v>324</v>
      </c>
      <c r="C30" s="13" t="s">
        <v>1935</v>
      </c>
      <c r="D30" s="87" t="s">
        <v>816</v>
      </c>
      <c r="E30" s="13" t="s">
        <v>1936</v>
      </c>
      <c r="F30" s="13" t="s">
        <v>1927</v>
      </c>
      <c r="G30" s="88" t="s">
        <v>1923</v>
      </c>
    </row>
    <row r="31" spans="1:7" ht="23.25" customHeight="1" x14ac:dyDescent="0.2">
      <c r="A31" s="15" t="s">
        <v>828</v>
      </c>
      <c r="B31" s="15" t="s">
        <v>324</v>
      </c>
      <c r="C31" s="13" t="s">
        <v>1937</v>
      </c>
      <c r="D31" s="87" t="s">
        <v>1938</v>
      </c>
      <c r="E31" s="13" t="s">
        <v>1939</v>
      </c>
      <c r="F31" s="13" t="s">
        <v>1940</v>
      </c>
      <c r="G31" s="88" t="s">
        <v>1923</v>
      </c>
    </row>
    <row r="32" spans="1:7" ht="23.25" customHeight="1" x14ac:dyDescent="0.2">
      <c r="A32" s="15" t="s">
        <v>1941</v>
      </c>
      <c r="B32" s="15" t="s">
        <v>324</v>
      </c>
      <c r="C32" s="13" t="s">
        <v>1942</v>
      </c>
      <c r="D32" s="87" t="s">
        <v>1943</v>
      </c>
      <c r="E32" s="13" t="s">
        <v>1944</v>
      </c>
      <c r="F32" s="13" t="s">
        <v>1945</v>
      </c>
      <c r="G32" s="88" t="s">
        <v>1946</v>
      </c>
    </row>
    <row r="33" spans="1:7" ht="15" customHeight="1" x14ac:dyDescent="0.2">
      <c r="A33" s="15" t="s">
        <v>1947</v>
      </c>
      <c r="B33" s="15" t="s">
        <v>324</v>
      </c>
      <c r="C33" s="13" t="s">
        <v>1948</v>
      </c>
      <c r="D33" s="87" t="s">
        <v>1949</v>
      </c>
      <c r="E33" s="13" t="s">
        <v>1950</v>
      </c>
      <c r="F33" s="13" t="s">
        <v>1951</v>
      </c>
      <c r="G33" s="88" t="s">
        <v>1946</v>
      </c>
    </row>
    <row r="34" spans="1:7" ht="23.25" customHeight="1" x14ac:dyDescent="0.2">
      <c r="A34" s="15" t="s">
        <v>1952</v>
      </c>
      <c r="B34" s="15" t="s">
        <v>1953</v>
      </c>
      <c r="C34" s="13" t="s">
        <v>1954</v>
      </c>
      <c r="D34" s="87" t="s">
        <v>1955</v>
      </c>
      <c r="E34" s="13" t="s">
        <v>1956</v>
      </c>
      <c r="F34" s="13" t="s">
        <v>1957</v>
      </c>
      <c r="G34" s="88" t="s">
        <v>1958</v>
      </c>
    </row>
    <row r="35" spans="1:7" ht="23.25" customHeight="1" x14ac:dyDescent="0.2">
      <c r="A35" s="15" t="s">
        <v>89</v>
      </c>
      <c r="B35" s="15" t="s">
        <v>1959</v>
      </c>
      <c r="C35" s="13" t="s">
        <v>1960</v>
      </c>
      <c r="D35" s="87" t="s">
        <v>1961</v>
      </c>
      <c r="E35" s="13" t="s">
        <v>1962</v>
      </c>
      <c r="F35" s="13" t="s">
        <v>1963</v>
      </c>
      <c r="G35" s="88" t="s">
        <v>1964</v>
      </c>
    </row>
    <row r="36" spans="1:7" ht="23.25" customHeight="1" x14ac:dyDescent="0.2">
      <c r="A36" s="15" t="s">
        <v>97</v>
      </c>
      <c r="B36" s="15" t="s">
        <v>1959</v>
      </c>
      <c r="C36" s="13" t="s">
        <v>1965</v>
      </c>
      <c r="D36" s="87" t="s">
        <v>1966</v>
      </c>
      <c r="E36" s="13" t="s">
        <v>1967</v>
      </c>
      <c r="F36" s="13" t="s">
        <v>1963</v>
      </c>
      <c r="G36" s="88" t="s">
        <v>1968</v>
      </c>
    </row>
    <row r="37" spans="1:7" ht="15" customHeight="1" x14ac:dyDescent="0.2">
      <c r="A37" s="15" t="s">
        <v>102</v>
      </c>
      <c r="B37" s="15" t="s">
        <v>1959</v>
      </c>
      <c r="C37" s="13" t="s">
        <v>1969</v>
      </c>
      <c r="D37" s="87" t="s">
        <v>1970</v>
      </c>
      <c r="E37" s="13" t="s">
        <v>1971</v>
      </c>
      <c r="F37" s="13" t="s">
        <v>1972</v>
      </c>
      <c r="G37" s="88" t="s">
        <v>1964</v>
      </c>
    </row>
    <row r="38" spans="1:7" ht="23.25" customHeight="1" x14ac:dyDescent="0.2">
      <c r="A38" s="15" t="s">
        <v>109</v>
      </c>
      <c r="B38" s="15" t="s">
        <v>1959</v>
      </c>
      <c r="C38" s="13" t="s">
        <v>1973</v>
      </c>
      <c r="D38" s="87" t="s">
        <v>1974</v>
      </c>
      <c r="E38" s="13" t="s">
        <v>1975</v>
      </c>
      <c r="F38" s="13" t="s">
        <v>1976</v>
      </c>
      <c r="G38" s="88" t="s">
        <v>1968</v>
      </c>
    </row>
    <row r="39" spans="1:7" ht="15" customHeight="1" x14ac:dyDescent="0.2">
      <c r="A39" s="15" t="s">
        <v>925</v>
      </c>
      <c r="B39" s="15" t="s">
        <v>305</v>
      </c>
      <c r="C39" s="13" t="s">
        <v>1977</v>
      </c>
      <c r="D39" s="87" t="s">
        <v>1978</v>
      </c>
      <c r="E39" s="13" t="s">
        <v>1979</v>
      </c>
      <c r="F39" s="13" t="s">
        <v>1980</v>
      </c>
      <c r="G39" s="88" t="s">
        <v>1981</v>
      </c>
    </row>
    <row r="40" spans="1:7" ht="15" customHeight="1" x14ac:dyDescent="0.2">
      <c r="A40" s="15" t="s">
        <v>1982</v>
      </c>
      <c r="B40" s="15" t="s">
        <v>1983</v>
      </c>
      <c r="C40" s="13" t="s">
        <v>1984</v>
      </c>
      <c r="D40" s="87" t="s">
        <v>1985</v>
      </c>
      <c r="E40" s="13" t="s">
        <v>1986</v>
      </c>
      <c r="F40" s="13" t="s">
        <v>1987</v>
      </c>
      <c r="G40" s="88" t="s">
        <v>1988</v>
      </c>
    </row>
    <row r="41" spans="1:7" ht="15" customHeight="1" x14ac:dyDescent="0.2">
      <c r="A41" s="15" t="s">
        <v>1989</v>
      </c>
      <c r="B41" s="15" t="s">
        <v>1983</v>
      </c>
      <c r="C41" s="13" t="s">
        <v>1990</v>
      </c>
      <c r="D41" s="87" t="s">
        <v>1991</v>
      </c>
      <c r="E41" s="13" t="s">
        <v>1992</v>
      </c>
      <c r="F41" s="13" t="s">
        <v>1993</v>
      </c>
      <c r="G41" s="88" t="s">
        <v>1994</v>
      </c>
    </row>
    <row r="42" spans="1:7" ht="23.25" customHeight="1" x14ac:dyDescent="0.2">
      <c r="A42" s="15" t="s">
        <v>1995</v>
      </c>
      <c r="B42" s="15" t="s">
        <v>1983</v>
      </c>
      <c r="C42" s="13" t="s">
        <v>1996</v>
      </c>
      <c r="D42" s="87" t="s">
        <v>1997</v>
      </c>
      <c r="E42" s="13" t="s">
        <v>1998</v>
      </c>
      <c r="F42" s="13" t="s">
        <v>1987</v>
      </c>
      <c r="G42" s="88" t="s">
        <v>1994</v>
      </c>
    </row>
    <row r="43" spans="1:7" ht="23.25" customHeight="1" x14ac:dyDescent="0.2">
      <c r="A43" s="15" t="s">
        <v>136</v>
      </c>
      <c r="B43" s="15" t="s">
        <v>1983</v>
      </c>
      <c r="C43" s="13" t="s">
        <v>1999</v>
      </c>
      <c r="D43" s="87" t="s">
        <v>2000</v>
      </c>
      <c r="E43" s="13" t="s">
        <v>2001</v>
      </c>
      <c r="F43" s="13" t="s">
        <v>2002</v>
      </c>
      <c r="G43" s="88" t="s">
        <v>2003</v>
      </c>
    </row>
    <row r="44" spans="1:7" ht="23.25" customHeight="1" x14ac:dyDescent="0.2">
      <c r="A44" s="15" t="s">
        <v>2004</v>
      </c>
      <c r="B44" s="15" t="s">
        <v>1983</v>
      </c>
      <c r="C44" s="13" t="s">
        <v>2005</v>
      </c>
      <c r="D44" s="87" t="s">
        <v>2006</v>
      </c>
      <c r="E44" s="13" t="s">
        <v>2007</v>
      </c>
      <c r="F44" s="13" t="s">
        <v>1987</v>
      </c>
      <c r="G44" s="88" t="s">
        <v>2008</v>
      </c>
    </row>
    <row r="45" spans="1:7" ht="15" customHeight="1" x14ac:dyDescent="0.2">
      <c r="A45" s="15" t="s">
        <v>2009</v>
      </c>
      <c r="B45" s="15" t="s">
        <v>1983</v>
      </c>
      <c r="C45" s="13" t="s">
        <v>2010</v>
      </c>
      <c r="D45" s="87" t="s">
        <v>2011</v>
      </c>
      <c r="E45" s="13" t="s">
        <v>2012</v>
      </c>
      <c r="F45" s="13" t="s">
        <v>2013</v>
      </c>
      <c r="G45" s="88" t="s">
        <v>2008</v>
      </c>
    </row>
    <row r="46" spans="1:7" ht="15" customHeight="1" x14ac:dyDescent="0.2">
      <c r="A46" s="15" t="s">
        <v>2014</v>
      </c>
      <c r="B46" s="15" t="s">
        <v>1474</v>
      </c>
      <c r="C46" s="13" t="s">
        <v>2015</v>
      </c>
      <c r="D46" s="87" t="s">
        <v>2016</v>
      </c>
      <c r="E46" s="13" t="s">
        <v>2017</v>
      </c>
      <c r="F46" s="13" t="s">
        <v>2018</v>
      </c>
      <c r="G46" s="88" t="s">
        <v>2019</v>
      </c>
    </row>
    <row r="47" spans="1:7" ht="23.25" customHeight="1" x14ac:dyDescent="0.2">
      <c r="A47" s="15" t="s">
        <v>2020</v>
      </c>
      <c r="B47" s="15" t="s">
        <v>2021</v>
      </c>
      <c r="C47" s="13" t="s">
        <v>2022</v>
      </c>
      <c r="D47" s="87" t="s">
        <v>2023</v>
      </c>
      <c r="E47" s="13" t="s">
        <v>2024</v>
      </c>
      <c r="F47" s="13" t="s">
        <v>2025</v>
      </c>
      <c r="G47" s="88" t="s">
        <v>2026</v>
      </c>
    </row>
    <row r="48" spans="1:7" ht="15" customHeight="1" x14ac:dyDescent="0.2">
      <c r="A48" s="15" t="s">
        <v>2027</v>
      </c>
      <c r="B48" s="15" t="s">
        <v>1953</v>
      </c>
      <c r="C48" s="13" t="s">
        <v>2028</v>
      </c>
      <c r="D48" s="87" t="s">
        <v>2029</v>
      </c>
      <c r="E48" s="13" t="s">
        <v>2030</v>
      </c>
      <c r="F48" s="13" t="s">
        <v>2031</v>
      </c>
      <c r="G48" s="88" t="s">
        <v>2032</v>
      </c>
    </row>
    <row r="49" spans="1:7" ht="23.25" customHeight="1" x14ac:dyDescent="0.2">
      <c r="A49" s="15" t="s">
        <v>2033</v>
      </c>
      <c r="B49" s="15" t="s">
        <v>1983</v>
      </c>
      <c r="C49" s="13" t="s">
        <v>2034</v>
      </c>
      <c r="D49" s="87" t="s">
        <v>2035</v>
      </c>
      <c r="E49" s="13" t="s">
        <v>2036</v>
      </c>
      <c r="F49" s="13" t="s">
        <v>1987</v>
      </c>
      <c r="G49" s="88" t="s">
        <v>2032</v>
      </c>
    </row>
    <row r="50" spans="1:7" ht="51" customHeight="1" x14ac:dyDescent="0.2">
      <c r="A50" s="89" t="s">
        <v>2037</v>
      </c>
      <c r="B50" s="89" t="s">
        <v>2038</v>
      </c>
      <c r="C50" s="89" t="s">
        <v>2039</v>
      </c>
      <c r="D50" s="90" t="s">
        <v>2040</v>
      </c>
      <c r="E50" s="89" t="s">
        <v>2041</v>
      </c>
      <c r="F50" s="89" t="s">
        <v>2042</v>
      </c>
      <c r="G50" s="88" t="s">
        <v>2043</v>
      </c>
    </row>
    <row r="51" spans="1:7" ht="15" customHeight="1" x14ac:dyDescent="0.2">
      <c r="A51" s="89" t="s">
        <v>2044</v>
      </c>
      <c r="B51" s="89" t="s">
        <v>1537</v>
      </c>
      <c r="C51" s="89" t="s">
        <v>2045</v>
      </c>
      <c r="D51" s="91" t="s">
        <v>2046</v>
      </c>
      <c r="E51" s="89" t="s">
        <v>2047</v>
      </c>
      <c r="F51" s="89" t="s">
        <v>2048</v>
      </c>
      <c r="G51" s="88" t="s">
        <v>2049</v>
      </c>
    </row>
    <row r="52" spans="1:7" ht="24" customHeight="1" x14ac:dyDescent="0.2">
      <c r="A52" s="89" t="s">
        <v>2050</v>
      </c>
      <c r="B52" s="89" t="s">
        <v>1537</v>
      </c>
      <c r="C52" s="89" t="s">
        <v>2051</v>
      </c>
      <c r="D52" s="91" t="s">
        <v>2052</v>
      </c>
      <c r="E52" s="89" t="s">
        <v>2053</v>
      </c>
      <c r="F52" s="89" t="s">
        <v>2054</v>
      </c>
      <c r="G52" s="88" t="s">
        <v>2049</v>
      </c>
    </row>
    <row r="53" spans="1:7" ht="51" customHeight="1" x14ac:dyDescent="0.2">
      <c r="A53" s="89" t="s">
        <v>2055</v>
      </c>
      <c r="B53" s="89" t="s">
        <v>2056</v>
      </c>
      <c r="C53" s="89" t="s">
        <v>2057</v>
      </c>
      <c r="D53" s="91" t="s">
        <v>2058</v>
      </c>
      <c r="E53" s="89" t="s">
        <v>2059</v>
      </c>
      <c r="F53" s="89" t="s">
        <v>2060</v>
      </c>
      <c r="G53" s="88" t="s">
        <v>2061</v>
      </c>
    </row>
    <row r="54" spans="1:7" ht="36" customHeight="1" x14ac:dyDescent="0.2">
      <c r="A54" s="89" t="s">
        <v>2062</v>
      </c>
      <c r="B54" s="89" t="s">
        <v>2056</v>
      </c>
      <c r="C54" s="89" t="s">
        <v>2063</v>
      </c>
      <c r="D54" s="91" t="s">
        <v>2064</v>
      </c>
      <c r="E54" s="89" t="s">
        <v>2065</v>
      </c>
      <c r="F54" s="89" t="s">
        <v>2066</v>
      </c>
      <c r="G54" s="88" t="s">
        <v>2067</v>
      </c>
    </row>
    <row r="55" spans="1:7" ht="36" customHeight="1" x14ac:dyDescent="0.2">
      <c r="A55" s="89" t="s">
        <v>2068</v>
      </c>
      <c r="B55" s="89" t="s">
        <v>2056</v>
      </c>
      <c r="C55" s="89" t="s">
        <v>2069</v>
      </c>
      <c r="D55" s="91" t="s">
        <v>2070</v>
      </c>
      <c r="E55" s="89" t="s">
        <v>2071</v>
      </c>
      <c r="F55" s="89" t="s">
        <v>2072</v>
      </c>
      <c r="G55" s="88" t="s">
        <v>2073</v>
      </c>
    </row>
    <row r="56" spans="1:7" ht="24" customHeight="1" x14ac:dyDescent="0.2">
      <c r="A56" s="89" t="s">
        <v>2074</v>
      </c>
      <c r="B56" s="89" t="s">
        <v>1612</v>
      </c>
      <c r="C56" s="89" t="s">
        <v>2075</v>
      </c>
      <c r="D56" s="91" t="s">
        <v>2076</v>
      </c>
      <c r="E56" s="89" t="s">
        <v>2077</v>
      </c>
      <c r="F56" s="89" t="s">
        <v>2078</v>
      </c>
      <c r="G56" s="88" t="s">
        <v>2079</v>
      </c>
    </row>
    <row r="57" spans="1:7" ht="24" customHeight="1" x14ac:dyDescent="0.2">
      <c r="A57" s="89" t="s">
        <v>2080</v>
      </c>
      <c r="B57" s="89" t="s">
        <v>2081</v>
      </c>
      <c r="C57" s="89" t="s">
        <v>2082</v>
      </c>
      <c r="D57" s="91" t="s">
        <v>2083</v>
      </c>
      <c r="E57" s="89" t="s">
        <v>2084</v>
      </c>
      <c r="F57" s="89" t="s">
        <v>2085</v>
      </c>
      <c r="G57" s="88" t="s">
        <v>2086</v>
      </c>
    </row>
    <row r="58" spans="1:7" ht="25.5" customHeight="1" x14ac:dyDescent="0.2">
      <c r="A58" s="89" t="s">
        <v>2087</v>
      </c>
      <c r="B58" s="89" t="s">
        <v>2088</v>
      </c>
      <c r="C58" s="89" t="s">
        <v>2089</v>
      </c>
      <c r="D58" s="91" t="s">
        <v>2090</v>
      </c>
      <c r="E58" s="89" t="s">
        <v>2091</v>
      </c>
      <c r="F58" s="89" t="s">
        <v>2092</v>
      </c>
      <c r="G58" s="88" t="s">
        <v>2086</v>
      </c>
    </row>
    <row r="59" spans="1:7" ht="36" customHeight="1" x14ac:dyDescent="0.2">
      <c r="A59" s="89" t="s">
        <v>2093</v>
      </c>
      <c r="B59" s="89" t="s">
        <v>513</v>
      </c>
      <c r="C59" s="89" t="s">
        <v>2094</v>
      </c>
      <c r="D59" s="91" t="s">
        <v>2095</v>
      </c>
      <c r="E59" s="89" t="s">
        <v>2096</v>
      </c>
      <c r="F59" s="89" t="s">
        <v>2097</v>
      </c>
      <c r="G59" s="88" t="s">
        <v>2098</v>
      </c>
    </row>
    <row r="60" spans="1:7" ht="36" customHeight="1" x14ac:dyDescent="0.2">
      <c r="A60" s="89" t="s">
        <v>2099</v>
      </c>
      <c r="B60" s="89" t="s">
        <v>513</v>
      </c>
      <c r="C60" s="89" t="s">
        <v>2100</v>
      </c>
      <c r="D60" s="91" t="s">
        <v>2101</v>
      </c>
      <c r="E60" s="89" t="s">
        <v>2102</v>
      </c>
      <c r="F60" s="89" t="s">
        <v>2103</v>
      </c>
      <c r="G60" s="88" t="s">
        <v>2098</v>
      </c>
    </row>
    <row r="61" spans="1:7" ht="36" customHeight="1" x14ac:dyDescent="0.2">
      <c r="A61" s="89" t="s">
        <v>2104</v>
      </c>
      <c r="B61" s="89" t="s">
        <v>513</v>
      </c>
      <c r="C61" s="89" t="s">
        <v>2105</v>
      </c>
      <c r="D61" s="91" t="s">
        <v>2106</v>
      </c>
      <c r="E61" s="89" t="s">
        <v>2107</v>
      </c>
      <c r="F61" s="89" t="s">
        <v>2108</v>
      </c>
      <c r="G61" s="88" t="s">
        <v>2098</v>
      </c>
    </row>
    <row r="62" spans="1:7" ht="25.5" customHeight="1" x14ac:dyDescent="0.2">
      <c r="A62" s="89" t="s">
        <v>2109</v>
      </c>
      <c r="B62" s="89" t="s">
        <v>2110</v>
      </c>
      <c r="C62" s="89" t="s">
        <v>2111</v>
      </c>
      <c r="D62" s="91" t="s">
        <v>2112</v>
      </c>
      <c r="E62" s="89" t="s">
        <v>2113</v>
      </c>
      <c r="F62" s="89" t="s">
        <v>2114</v>
      </c>
      <c r="G62" s="88" t="s">
        <v>2115</v>
      </c>
    </row>
    <row r="63" spans="1:7" ht="38.25" customHeight="1" x14ac:dyDescent="0.2">
      <c r="A63" s="89" t="s">
        <v>2116</v>
      </c>
      <c r="B63" s="89" t="s">
        <v>2110</v>
      </c>
      <c r="C63" s="89" t="s">
        <v>2117</v>
      </c>
      <c r="D63" s="91" t="s">
        <v>2118</v>
      </c>
      <c r="E63" s="89" t="s">
        <v>2119</v>
      </c>
      <c r="F63" s="89" t="s">
        <v>2120</v>
      </c>
      <c r="G63" s="88" t="s">
        <v>2115</v>
      </c>
    </row>
    <row r="64" spans="1:7" ht="25.5" customHeight="1" x14ac:dyDescent="0.2">
      <c r="A64" s="89" t="s">
        <v>2121</v>
      </c>
      <c r="B64" s="89" t="s">
        <v>412</v>
      </c>
      <c r="C64" s="89" t="s">
        <v>2122</v>
      </c>
      <c r="D64" s="91" t="s">
        <v>2123</v>
      </c>
      <c r="E64" s="89" t="s">
        <v>2124</v>
      </c>
      <c r="F64" s="89" t="s">
        <v>2125</v>
      </c>
      <c r="G64" s="88" t="s">
        <v>2115</v>
      </c>
    </row>
    <row r="65" spans="1:7" ht="25.5" customHeight="1" x14ac:dyDescent="0.2">
      <c r="A65" s="89" t="s">
        <v>1651</v>
      </c>
      <c r="B65" s="89" t="s">
        <v>2126</v>
      </c>
      <c r="C65" s="89" t="s">
        <v>2127</v>
      </c>
      <c r="D65" s="91" t="s">
        <v>2128</v>
      </c>
      <c r="E65" s="89" t="s">
        <v>2129</v>
      </c>
      <c r="F65" s="89" t="s">
        <v>2130</v>
      </c>
      <c r="G65" s="88" t="s">
        <v>2131</v>
      </c>
    </row>
    <row r="66" spans="1:7" ht="25.5" customHeight="1" x14ac:dyDescent="0.2">
      <c r="A66" s="89" t="s">
        <v>2132</v>
      </c>
      <c r="B66" s="89" t="s">
        <v>2133</v>
      </c>
      <c r="C66" s="89" t="s">
        <v>2134</v>
      </c>
      <c r="D66" s="91" t="s">
        <v>2135</v>
      </c>
      <c r="E66" s="89" t="s">
        <v>2136</v>
      </c>
      <c r="F66" s="89" t="s">
        <v>1890</v>
      </c>
      <c r="G66" s="88" t="s">
        <v>2137</v>
      </c>
    </row>
    <row r="67" spans="1:7" ht="25.5" customHeight="1" x14ac:dyDescent="0.2">
      <c r="A67" s="89" t="s">
        <v>2138</v>
      </c>
      <c r="B67" s="89" t="s">
        <v>2133</v>
      </c>
      <c r="C67" s="89" t="s">
        <v>2139</v>
      </c>
      <c r="D67" s="91" t="s">
        <v>2140</v>
      </c>
      <c r="E67" s="89" t="s">
        <v>2141</v>
      </c>
      <c r="F67" s="89" t="s">
        <v>2142</v>
      </c>
      <c r="G67" s="88" t="s">
        <v>2137</v>
      </c>
    </row>
    <row r="68" spans="1:7" ht="24" customHeight="1" x14ac:dyDescent="0.2">
      <c r="A68" s="89" t="s">
        <v>1162</v>
      </c>
      <c r="B68" s="89" t="s">
        <v>529</v>
      </c>
      <c r="C68" s="89" t="s">
        <v>2143</v>
      </c>
      <c r="D68" s="91" t="s">
        <v>2144</v>
      </c>
      <c r="E68" s="89" t="s">
        <v>2145</v>
      </c>
      <c r="F68" s="89" t="s">
        <v>2146</v>
      </c>
      <c r="G68" s="88" t="s">
        <v>2147</v>
      </c>
    </row>
    <row r="69" spans="1:7" ht="38.25" customHeight="1" x14ac:dyDescent="0.2">
      <c r="A69" s="89" t="s">
        <v>2148</v>
      </c>
      <c r="B69" s="89" t="s">
        <v>2149</v>
      </c>
      <c r="C69" s="89" t="s">
        <v>2150</v>
      </c>
      <c r="D69" s="91" t="s">
        <v>2151</v>
      </c>
      <c r="E69" s="89" t="s">
        <v>2152</v>
      </c>
      <c r="F69" s="89" t="s">
        <v>2153</v>
      </c>
      <c r="G69" s="88" t="s">
        <v>2147</v>
      </c>
    </row>
    <row r="70" spans="1:7" ht="25.5" customHeight="1" x14ac:dyDescent="0.2">
      <c r="A70" s="89" t="s">
        <v>2154</v>
      </c>
      <c r="B70" s="89" t="s">
        <v>2155</v>
      </c>
      <c r="C70" s="89" t="s">
        <v>2156</v>
      </c>
      <c r="D70" s="91" t="s">
        <v>2157</v>
      </c>
      <c r="E70" s="89" t="s">
        <v>2158</v>
      </c>
      <c r="F70" s="89" t="s">
        <v>2159</v>
      </c>
      <c r="G70" s="88" t="s">
        <v>2160</v>
      </c>
    </row>
    <row r="71" spans="1:7" ht="36" customHeight="1" x14ac:dyDescent="0.2">
      <c r="A71" s="89" t="s">
        <v>2161</v>
      </c>
      <c r="B71" s="89" t="s">
        <v>2162</v>
      </c>
      <c r="C71" s="89" t="s">
        <v>2163</v>
      </c>
      <c r="D71" s="91" t="s">
        <v>2164</v>
      </c>
      <c r="E71" s="89" t="s">
        <v>2165</v>
      </c>
      <c r="F71" s="89" t="s">
        <v>2166</v>
      </c>
      <c r="G71" s="88" t="s">
        <v>2167</v>
      </c>
    </row>
    <row r="72" spans="1:7" ht="25.5" customHeight="1" x14ac:dyDescent="0.2">
      <c r="A72" s="89" t="s">
        <v>2168</v>
      </c>
      <c r="B72" s="89" t="s">
        <v>2169</v>
      </c>
      <c r="C72" s="89" t="s">
        <v>2170</v>
      </c>
      <c r="D72" s="91" t="s">
        <v>2171</v>
      </c>
      <c r="E72" s="89" t="s">
        <v>2172</v>
      </c>
      <c r="F72" s="89" t="s">
        <v>2173</v>
      </c>
      <c r="G72" s="88" t="s">
        <v>2160</v>
      </c>
    </row>
    <row r="73" spans="1:7" ht="25.5" customHeight="1" x14ac:dyDescent="0.2">
      <c r="A73" s="89" t="s">
        <v>2174</v>
      </c>
      <c r="B73" s="89" t="s">
        <v>2169</v>
      </c>
      <c r="C73" s="89" t="s">
        <v>2175</v>
      </c>
      <c r="D73" s="91" t="s">
        <v>2176</v>
      </c>
      <c r="E73" s="89" t="s">
        <v>2177</v>
      </c>
      <c r="F73" s="89" t="s">
        <v>2173</v>
      </c>
      <c r="G73" s="88" t="s">
        <v>2160</v>
      </c>
    </row>
    <row r="74" spans="1:7" ht="25.5" customHeight="1" x14ac:dyDescent="0.2">
      <c r="A74" s="89" t="s">
        <v>2178</v>
      </c>
      <c r="B74" s="89" t="s">
        <v>2169</v>
      </c>
      <c r="C74" s="89" t="s">
        <v>2179</v>
      </c>
      <c r="D74" s="91" t="s">
        <v>2180</v>
      </c>
      <c r="E74" s="89" t="s">
        <v>2181</v>
      </c>
      <c r="F74" s="89" t="s">
        <v>2182</v>
      </c>
      <c r="G74" s="88" t="s">
        <v>2160</v>
      </c>
    </row>
    <row r="75" spans="1:7" x14ac:dyDescent="0.2">
      <c r="A75" s="89" t="s">
        <v>2183</v>
      </c>
      <c r="B75" s="89" t="s">
        <v>251</v>
      </c>
      <c r="C75" s="89" t="s">
        <v>2184</v>
      </c>
      <c r="D75" s="91" t="s">
        <v>2185</v>
      </c>
      <c r="E75" s="89" t="s">
        <v>2186</v>
      </c>
      <c r="F75" s="89" t="s">
        <v>1890</v>
      </c>
      <c r="G75" s="88" t="s">
        <v>2187</v>
      </c>
    </row>
    <row r="76" spans="1:7" x14ac:dyDescent="0.2">
      <c r="A76" s="89" t="s">
        <v>2188</v>
      </c>
      <c r="B76" s="89" t="s">
        <v>251</v>
      </c>
      <c r="C76" s="89" t="s">
        <v>2189</v>
      </c>
      <c r="D76" s="91" t="s">
        <v>2190</v>
      </c>
      <c r="E76" s="89" t="s">
        <v>2191</v>
      </c>
      <c r="F76" s="89" t="s">
        <v>2192</v>
      </c>
      <c r="G76" s="88" t="s">
        <v>2187</v>
      </c>
    </row>
    <row r="77" spans="1:7" ht="25.5" customHeight="1" x14ac:dyDescent="0.2">
      <c r="A77" s="89" t="s">
        <v>2193</v>
      </c>
      <c r="B77" s="89" t="s">
        <v>1820</v>
      </c>
      <c r="C77" s="89" t="s">
        <v>2194</v>
      </c>
      <c r="D77" s="91" t="s">
        <v>2195</v>
      </c>
      <c r="E77" s="89" t="s">
        <v>2196</v>
      </c>
      <c r="F77" s="89" t="s">
        <v>2197</v>
      </c>
      <c r="G77" s="88" t="s">
        <v>2198</v>
      </c>
    </row>
    <row r="78" spans="1:7" ht="25.5" customHeight="1" x14ac:dyDescent="0.2">
      <c r="A78" s="89" t="s">
        <v>2199</v>
      </c>
      <c r="B78" s="89" t="s">
        <v>1820</v>
      </c>
      <c r="C78" s="89" t="s">
        <v>2200</v>
      </c>
      <c r="D78" s="91" t="s">
        <v>2201</v>
      </c>
      <c r="E78" s="89" t="s">
        <v>2202</v>
      </c>
      <c r="F78" s="89" t="s">
        <v>2203</v>
      </c>
      <c r="G78" s="88" t="s">
        <v>2204</v>
      </c>
    </row>
    <row r="79" spans="1:7" ht="25.5" customHeight="1" x14ac:dyDescent="0.2">
      <c r="A79" s="89" t="s">
        <v>1041</v>
      </c>
      <c r="B79" s="89" t="s">
        <v>1820</v>
      </c>
      <c r="C79" s="89" t="s">
        <v>2205</v>
      </c>
      <c r="D79" s="91" t="s">
        <v>2206</v>
      </c>
      <c r="E79" s="89" t="s">
        <v>2207</v>
      </c>
      <c r="F79" s="89" t="s">
        <v>1835</v>
      </c>
      <c r="G79" s="88" t="s">
        <v>2198</v>
      </c>
    </row>
    <row r="80" spans="1:7" ht="24" customHeight="1" x14ac:dyDescent="0.2">
      <c r="A80" s="89" t="s">
        <v>999</v>
      </c>
      <c r="B80" s="89" t="s">
        <v>1820</v>
      </c>
      <c r="C80" s="89" t="s">
        <v>2208</v>
      </c>
      <c r="D80" s="91" t="s">
        <v>2209</v>
      </c>
      <c r="E80" s="89" t="s">
        <v>2210</v>
      </c>
      <c r="F80" s="89" t="s">
        <v>2211</v>
      </c>
      <c r="G80" s="88" t="s">
        <v>2198</v>
      </c>
    </row>
    <row r="81" spans="1:7" ht="25.5" customHeight="1" x14ac:dyDescent="0.2">
      <c r="A81" s="89" t="s">
        <v>2212</v>
      </c>
      <c r="B81" s="89" t="s">
        <v>2213</v>
      </c>
      <c r="C81" s="89" t="s">
        <v>2214</v>
      </c>
      <c r="D81" s="91" t="s">
        <v>2215</v>
      </c>
      <c r="E81" s="89" t="s">
        <v>2216</v>
      </c>
      <c r="F81" s="89" t="s">
        <v>2217</v>
      </c>
      <c r="G81" s="88" t="s">
        <v>2218</v>
      </c>
    </row>
    <row r="82" spans="1:7" ht="25.5" customHeight="1" x14ac:dyDescent="0.2">
      <c r="A82" s="89" t="s">
        <v>669</v>
      </c>
      <c r="B82" s="89" t="s">
        <v>324</v>
      </c>
      <c r="C82" s="89" t="s">
        <v>2219</v>
      </c>
      <c r="D82" s="91" t="s">
        <v>2220</v>
      </c>
      <c r="E82" s="89" t="s">
        <v>2221</v>
      </c>
      <c r="F82" s="89" t="s">
        <v>2222</v>
      </c>
      <c r="G82" s="88" t="s">
        <v>2223</v>
      </c>
    </row>
    <row r="83" spans="1:7" ht="25.5" customHeight="1" x14ac:dyDescent="0.2">
      <c r="A83" s="89" t="s">
        <v>733</v>
      </c>
      <c r="B83" s="89" t="s">
        <v>324</v>
      </c>
      <c r="C83" s="89" t="s">
        <v>2224</v>
      </c>
      <c r="D83" s="91" t="s">
        <v>2225</v>
      </c>
      <c r="E83" s="89" t="s">
        <v>2226</v>
      </c>
      <c r="F83" s="89" t="s">
        <v>2227</v>
      </c>
      <c r="G83" s="88" t="s">
        <v>2223</v>
      </c>
    </row>
    <row r="84" spans="1:7" ht="24" customHeight="1" x14ac:dyDescent="0.2">
      <c r="A84" s="89" t="s">
        <v>777</v>
      </c>
      <c r="B84" s="89" t="s">
        <v>324</v>
      </c>
      <c r="C84" s="89" t="s">
        <v>2228</v>
      </c>
      <c r="D84" s="91" t="s">
        <v>779</v>
      </c>
      <c r="E84" s="89" t="s">
        <v>2229</v>
      </c>
      <c r="F84" s="89" t="s">
        <v>2230</v>
      </c>
      <c r="G84" s="88" t="s">
        <v>2223</v>
      </c>
    </row>
    <row r="85" spans="1:7" ht="24" customHeight="1" x14ac:dyDescent="0.2">
      <c r="A85" s="89" t="s">
        <v>786</v>
      </c>
      <c r="B85" s="89" t="s">
        <v>324</v>
      </c>
      <c r="C85" s="89" t="s">
        <v>2231</v>
      </c>
      <c r="D85" s="91" t="s">
        <v>789</v>
      </c>
      <c r="E85" s="89" t="s">
        <v>2232</v>
      </c>
      <c r="F85" s="89" t="s">
        <v>2233</v>
      </c>
      <c r="G85" s="88" t="s">
        <v>2223</v>
      </c>
    </row>
    <row r="86" spans="1:7" ht="25.5" customHeight="1" x14ac:dyDescent="0.2">
      <c r="A86" s="89" t="s">
        <v>796</v>
      </c>
      <c r="B86" s="89" t="s">
        <v>324</v>
      </c>
      <c r="C86" s="89" t="s">
        <v>2234</v>
      </c>
      <c r="D86" s="91" t="s">
        <v>797</v>
      </c>
      <c r="E86" s="89" t="s">
        <v>2235</v>
      </c>
      <c r="F86" s="89" t="s">
        <v>2227</v>
      </c>
      <c r="G86" s="88" t="s">
        <v>2223</v>
      </c>
    </row>
    <row r="87" spans="1:7" ht="25.5" customHeight="1" x14ac:dyDescent="0.2">
      <c r="A87" s="89" t="s">
        <v>1217</v>
      </c>
      <c r="B87" s="89" t="s">
        <v>2236</v>
      </c>
      <c r="C87" s="89" t="s">
        <v>2237</v>
      </c>
      <c r="D87" s="91" t="s">
        <v>2238</v>
      </c>
      <c r="E87" s="89" t="s">
        <v>2239</v>
      </c>
      <c r="F87" s="89" t="s">
        <v>2240</v>
      </c>
      <c r="G87" s="88" t="s">
        <v>2241</v>
      </c>
    </row>
    <row r="88" spans="1:7" ht="25.5" customHeight="1" x14ac:dyDescent="0.2">
      <c r="A88" s="89" t="s">
        <v>2242</v>
      </c>
      <c r="B88" s="89" t="s">
        <v>2236</v>
      </c>
      <c r="C88" s="89" t="s">
        <v>2243</v>
      </c>
      <c r="D88" s="91" t="s">
        <v>2244</v>
      </c>
      <c r="E88" s="89" t="s">
        <v>2245</v>
      </c>
      <c r="F88" s="89" t="s">
        <v>2246</v>
      </c>
      <c r="G88" s="88" t="s">
        <v>2241</v>
      </c>
    </row>
    <row r="89" spans="1:7" ht="25.5" customHeight="1" x14ac:dyDescent="0.2">
      <c r="A89" s="89" t="s">
        <v>1242</v>
      </c>
      <c r="B89" s="89" t="s">
        <v>2247</v>
      </c>
      <c r="C89" s="89" t="s">
        <v>2248</v>
      </c>
      <c r="D89" s="91" t="s">
        <v>2249</v>
      </c>
      <c r="E89" s="89" t="s">
        <v>2250</v>
      </c>
      <c r="F89" s="89" t="s">
        <v>2251</v>
      </c>
      <c r="G89" s="88" t="s">
        <v>2241</v>
      </c>
    </row>
    <row r="90" spans="1:7" ht="25.5" customHeight="1" x14ac:dyDescent="0.2">
      <c r="A90" s="89" t="s">
        <v>1338</v>
      </c>
      <c r="B90" s="89" t="s">
        <v>2236</v>
      </c>
      <c r="C90" s="89" t="s">
        <v>2252</v>
      </c>
      <c r="D90" s="91" t="s">
        <v>2253</v>
      </c>
      <c r="E90" s="89" t="s">
        <v>2254</v>
      </c>
      <c r="F90" s="89" t="s">
        <v>2255</v>
      </c>
      <c r="G90" s="88" t="s">
        <v>2241</v>
      </c>
    </row>
    <row r="91" spans="1:7" ht="25.5" customHeight="1" x14ac:dyDescent="0.2">
      <c r="A91" s="89" t="s">
        <v>1344</v>
      </c>
      <c r="B91" s="89" t="s">
        <v>2236</v>
      </c>
      <c r="C91" s="89" t="s">
        <v>2256</v>
      </c>
      <c r="D91" s="91" t="s">
        <v>2257</v>
      </c>
      <c r="E91" s="89" t="s">
        <v>2258</v>
      </c>
      <c r="F91" s="89" t="s">
        <v>2259</v>
      </c>
      <c r="G91" s="88" t="s">
        <v>2241</v>
      </c>
    </row>
    <row r="92" spans="1:7" ht="25.5" customHeight="1" x14ac:dyDescent="0.2">
      <c r="A92" s="89" t="s">
        <v>1414</v>
      </c>
      <c r="B92" s="89" t="s">
        <v>2236</v>
      </c>
      <c r="C92" s="89" t="s">
        <v>2260</v>
      </c>
      <c r="D92" s="91" t="s">
        <v>2261</v>
      </c>
      <c r="E92" s="89" t="s">
        <v>2262</v>
      </c>
      <c r="F92" s="89" t="s">
        <v>2263</v>
      </c>
      <c r="G92" s="88" t="s">
        <v>2241</v>
      </c>
    </row>
    <row r="93" spans="1:7" ht="25.5" customHeight="1" x14ac:dyDescent="0.2">
      <c r="A93" s="89" t="s">
        <v>1439</v>
      </c>
      <c r="B93" s="89" t="s">
        <v>2247</v>
      </c>
      <c r="C93" s="89" t="s">
        <v>2264</v>
      </c>
      <c r="D93" s="91" t="s">
        <v>2265</v>
      </c>
      <c r="E93" s="89" t="s">
        <v>2266</v>
      </c>
      <c r="F93" s="89" t="s">
        <v>2267</v>
      </c>
      <c r="G93" s="88" t="s">
        <v>2241</v>
      </c>
    </row>
    <row r="94" spans="1:7" ht="25.5" customHeight="1" x14ac:dyDescent="0.2">
      <c r="A94" s="89" t="s">
        <v>1374</v>
      </c>
      <c r="B94" s="89" t="s">
        <v>2169</v>
      </c>
      <c r="C94" s="89" t="s">
        <v>2268</v>
      </c>
      <c r="D94" s="91" t="s">
        <v>2269</v>
      </c>
      <c r="E94" s="89" t="s">
        <v>2270</v>
      </c>
      <c r="F94" s="89" t="s">
        <v>2271</v>
      </c>
      <c r="G94" s="88" t="s">
        <v>2272</v>
      </c>
    </row>
    <row r="95" spans="1:7" ht="25.5" customHeight="1" x14ac:dyDescent="0.2">
      <c r="A95" s="89" t="s">
        <v>1377</v>
      </c>
      <c r="B95" s="89" t="s">
        <v>2169</v>
      </c>
      <c r="C95" s="89" t="s">
        <v>2273</v>
      </c>
      <c r="D95" s="91" t="s">
        <v>2274</v>
      </c>
      <c r="E95" s="89" t="s">
        <v>2275</v>
      </c>
      <c r="F95" s="89" t="s">
        <v>2276</v>
      </c>
      <c r="G95" s="88" t="s">
        <v>2272</v>
      </c>
    </row>
    <row r="96" spans="1:7" ht="25.5" customHeight="1" x14ac:dyDescent="0.2">
      <c r="A96" s="89" t="s">
        <v>1403</v>
      </c>
      <c r="B96" s="89" t="s">
        <v>2236</v>
      </c>
      <c r="C96" s="89" t="s">
        <v>2277</v>
      </c>
      <c r="D96" s="91" t="s">
        <v>2278</v>
      </c>
      <c r="E96" s="89" t="s">
        <v>2279</v>
      </c>
      <c r="F96" s="89" t="s">
        <v>2280</v>
      </c>
      <c r="G96" s="88" t="s">
        <v>2241</v>
      </c>
    </row>
    <row r="97" spans="1:7" ht="25.5" customHeight="1" x14ac:dyDescent="0.2">
      <c r="A97" s="89" t="s">
        <v>1476</v>
      </c>
      <c r="B97" s="89" t="s">
        <v>2236</v>
      </c>
      <c r="C97" s="89" t="s">
        <v>2281</v>
      </c>
      <c r="D97" s="91" t="s">
        <v>2282</v>
      </c>
      <c r="E97" s="89" t="s">
        <v>2283</v>
      </c>
      <c r="F97" s="89" t="s">
        <v>2284</v>
      </c>
      <c r="G97" s="88" t="s">
        <v>2241</v>
      </c>
    </row>
    <row r="98" spans="1:7" ht="25.5" customHeight="1" x14ac:dyDescent="0.2">
      <c r="A98" s="89" t="s">
        <v>2285</v>
      </c>
      <c r="B98" s="89" t="s">
        <v>2247</v>
      </c>
      <c r="C98" s="89" t="s">
        <v>2286</v>
      </c>
      <c r="D98" s="91" t="s">
        <v>2287</v>
      </c>
      <c r="E98" s="89" t="s">
        <v>2288</v>
      </c>
      <c r="F98" s="89" t="s">
        <v>2289</v>
      </c>
      <c r="G98" s="88" t="s">
        <v>2241</v>
      </c>
    </row>
    <row r="99" spans="1:7" ht="25.5" customHeight="1" x14ac:dyDescent="0.2">
      <c r="A99" s="89" t="s">
        <v>1452</v>
      </c>
      <c r="B99" s="89" t="s">
        <v>2236</v>
      </c>
      <c r="C99" s="89" t="s">
        <v>2290</v>
      </c>
      <c r="D99" s="91" t="s">
        <v>2291</v>
      </c>
      <c r="E99" s="89" t="s">
        <v>2292</v>
      </c>
      <c r="F99" s="89" t="s">
        <v>2293</v>
      </c>
      <c r="G99" s="88" t="s">
        <v>2241</v>
      </c>
    </row>
    <row r="100" spans="1:7" ht="25.5" customHeight="1" x14ac:dyDescent="0.2">
      <c r="A100" s="89" t="s">
        <v>2294</v>
      </c>
      <c r="B100" s="89" t="s">
        <v>2169</v>
      </c>
      <c r="C100" s="89" t="s">
        <v>2295</v>
      </c>
      <c r="D100" s="91" t="s">
        <v>2296</v>
      </c>
      <c r="E100" s="89" t="s">
        <v>2297</v>
      </c>
      <c r="F100" s="89" t="s">
        <v>2298</v>
      </c>
      <c r="G100" s="88" t="s">
        <v>2241</v>
      </c>
    </row>
    <row r="101" spans="1:7" ht="25.5" customHeight="1" x14ac:dyDescent="0.2">
      <c r="A101" s="89" t="s">
        <v>1447</v>
      </c>
      <c r="B101" s="89" t="s">
        <v>2236</v>
      </c>
      <c r="C101" s="89" t="s">
        <v>2299</v>
      </c>
      <c r="D101" s="91" t="s">
        <v>2300</v>
      </c>
      <c r="E101" s="89" t="s">
        <v>2301</v>
      </c>
      <c r="F101" s="89" t="s">
        <v>2293</v>
      </c>
      <c r="G101" s="88" t="s">
        <v>2241</v>
      </c>
    </row>
    <row r="102" spans="1:7" ht="25.5" customHeight="1" x14ac:dyDescent="0.2">
      <c r="A102" s="89" t="s">
        <v>1429</v>
      </c>
      <c r="B102" s="89" t="s">
        <v>2236</v>
      </c>
      <c r="C102" s="89" t="s">
        <v>2302</v>
      </c>
      <c r="D102" s="91" t="s">
        <v>2303</v>
      </c>
      <c r="E102" s="89" t="s">
        <v>2304</v>
      </c>
      <c r="F102" s="89" t="s">
        <v>2305</v>
      </c>
      <c r="G102" s="88" t="s">
        <v>2241</v>
      </c>
    </row>
    <row r="103" spans="1:7" ht="25.5" customHeight="1" x14ac:dyDescent="0.2">
      <c r="A103" s="89" t="s">
        <v>1394</v>
      </c>
      <c r="B103" s="89" t="s">
        <v>2236</v>
      </c>
      <c r="C103" s="89" t="s">
        <v>2306</v>
      </c>
      <c r="D103" s="91" t="s">
        <v>2307</v>
      </c>
      <c r="E103" s="89" t="s">
        <v>2308</v>
      </c>
      <c r="F103" s="89" t="s">
        <v>2309</v>
      </c>
      <c r="G103" s="88" t="s">
        <v>2241</v>
      </c>
    </row>
    <row r="104" spans="1:7" ht="25.5" customHeight="1" x14ac:dyDescent="0.2">
      <c r="A104" s="89" t="s">
        <v>1397</v>
      </c>
      <c r="B104" s="89" t="s">
        <v>2236</v>
      </c>
      <c r="C104" s="89" t="s">
        <v>2310</v>
      </c>
      <c r="D104" s="91" t="s">
        <v>2311</v>
      </c>
      <c r="E104" s="89" t="s">
        <v>2312</v>
      </c>
      <c r="F104" s="89" t="s">
        <v>2309</v>
      </c>
      <c r="G104" s="88" t="s">
        <v>2241</v>
      </c>
    </row>
    <row r="105" spans="1:7" ht="25.5" customHeight="1" x14ac:dyDescent="0.2">
      <c r="A105" s="89" t="s">
        <v>2313</v>
      </c>
      <c r="B105" s="89" t="s">
        <v>2213</v>
      </c>
      <c r="C105" s="89" t="s">
        <v>2314</v>
      </c>
      <c r="D105" s="91" t="s">
        <v>2315</v>
      </c>
      <c r="E105" s="89" t="s">
        <v>2316</v>
      </c>
      <c r="F105" s="89" t="s">
        <v>2317</v>
      </c>
      <c r="G105" s="88" t="s">
        <v>2241</v>
      </c>
    </row>
    <row r="106" spans="1:7" ht="25.5" customHeight="1" x14ac:dyDescent="0.2">
      <c r="A106" s="89" t="s">
        <v>2318</v>
      </c>
      <c r="B106" s="89" t="s">
        <v>2247</v>
      </c>
      <c r="C106" s="89" t="s">
        <v>2319</v>
      </c>
      <c r="D106" s="91" t="s">
        <v>2320</v>
      </c>
      <c r="E106" s="89" t="s">
        <v>2321</v>
      </c>
      <c r="F106" s="89" t="s">
        <v>2322</v>
      </c>
      <c r="G106" s="88" t="s">
        <v>2241</v>
      </c>
    </row>
    <row r="107" spans="1:7" ht="25.5" customHeight="1" x14ac:dyDescent="0.2">
      <c r="A107" s="89" t="s">
        <v>2323</v>
      </c>
      <c r="B107" s="89" t="s">
        <v>2247</v>
      </c>
      <c r="C107" s="89" t="s">
        <v>2324</v>
      </c>
      <c r="D107" s="91" t="s">
        <v>2325</v>
      </c>
      <c r="E107" s="89" t="s">
        <v>2326</v>
      </c>
      <c r="F107" s="89" t="s">
        <v>2322</v>
      </c>
      <c r="G107" s="88" t="s">
        <v>2241</v>
      </c>
    </row>
    <row r="108" spans="1:7" ht="25.5" customHeight="1" x14ac:dyDescent="0.2">
      <c r="A108" s="89" t="s">
        <v>2327</v>
      </c>
      <c r="B108" s="89" t="s">
        <v>2247</v>
      </c>
      <c r="C108" s="89" t="s">
        <v>2328</v>
      </c>
      <c r="D108" s="91" t="s">
        <v>2329</v>
      </c>
      <c r="E108" s="89" t="s">
        <v>2330</v>
      </c>
      <c r="F108" s="89" t="s">
        <v>2331</v>
      </c>
      <c r="G108" s="88" t="s">
        <v>2241</v>
      </c>
    </row>
    <row r="110" spans="1:7" x14ac:dyDescent="0.2">
      <c r="A110" s="194" t="s">
        <v>2332</v>
      </c>
      <c r="B110" s="194"/>
      <c r="C110" s="194" t="s">
        <v>2333</v>
      </c>
      <c r="D110" s="194"/>
      <c r="E110" s="194"/>
      <c r="F110" s="194"/>
      <c r="G110" s="194"/>
    </row>
  </sheetData>
  <hyperlinks>
    <hyperlink ref="D5" r:id="rId1" xr:uid="{00000000-0004-0000-1100-000000000000}"/>
    <hyperlink ref="D6" r:id="rId2" xr:uid="{00000000-0004-0000-1100-000001000000}"/>
    <hyperlink ref="D7" r:id="rId3" xr:uid="{00000000-0004-0000-1100-000002000000}"/>
    <hyperlink ref="D8" r:id="rId4" xr:uid="{00000000-0004-0000-1100-000003000000}"/>
    <hyperlink ref="D9" r:id="rId5" xr:uid="{00000000-0004-0000-1100-000004000000}"/>
    <hyperlink ref="D10" r:id="rId6" xr:uid="{00000000-0004-0000-1100-000005000000}"/>
    <hyperlink ref="D11" r:id="rId7" xr:uid="{00000000-0004-0000-1100-000006000000}"/>
    <hyperlink ref="D12" r:id="rId8" xr:uid="{00000000-0004-0000-1100-000007000000}"/>
    <hyperlink ref="D13" r:id="rId9" xr:uid="{00000000-0004-0000-1100-000008000000}"/>
    <hyperlink ref="D14" r:id="rId10" xr:uid="{00000000-0004-0000-1100-000009000000}"/>
    <hyperlink ref="D15" r:id="rId11" xr:uid="{00000000-0004-0000-1100-00000A000000}"/>
    <hyperlink ref="D16" r:id="rId12" xr:uid="{00000000-0004-0000-1100-00000B000000}"/>
    <hyperlink ref="D17" r:id="rId13" xr:uid="{00000000-0004-0000-1100-00000C000000}"/>
    <hyperlink ref="D18" r:id="rId14" xr:uid="{00000000-0004-0000-1100-00000D000000}"/>
    <hyperlink ref="D19" r:id="rId15" xr:uid="{00000000-0004-0000-1100-00000E000000}"/>
    <hyperlink ref="D20" r:id="rId16" xr:uid="{00000000-0004-0000-1100-00000F000000}"/>
    <hyperlink ref="D21" r:id="rId17" xr:uid="{00000000-0004-0000-1100-000010000000}"/>
    <hyperlink ref="D22" r:id="rId18" xr:uid="{00000000-0004-0000-1100-000011000000}"/>
    <hyperlink ref="D23" r:id="rId19" xr:uid="{00000000-0004-0000-1100-000012000000}"/>
    <hyperlink ref="D24" r:id="rId20" xr:uid="{00000000-0004-0000-1100-000013000000}"/>
    <hyperlink ref="D25" r:id="rId21" xr:uid="{00000000-0004-0000-1100-000014000000}"/>
    <hyperlink ref="D26" r:id="rId22" xr:uid="{00000000-0004-0000-1100-000015000000}"/>
    <hyperlink ref="D27" r:id="rId23" xr:uid="{00000000-0004-0000-1100-000016000000}"/>
    <hyperlink ref="D28" r:id="rId24" xr:uid="{00000000-0004-0000-1100-000017000000}"/>
    <hyperlink ref="D29" r:id="rId25" xr:uid="{00000000-0004-0000-1100-000018000000}"/>
    <hyperlink ref="D30" r:id="rId26" xr:uid="{00000000-0004-0000-1100-000019000000}"/>
    <hyperlink ref="D31" r:id="rId27" xr:uid="{00000000-0004-0000-1100-00001A000000}"/>
    <hyperlink ref="D32" r:id="rId28" xr:uid="{00000000-0004-0000-1100-00001B000000}"/>
    <hyperlink ref="D33" r:id="rId29" xr:uid="{00000000-0004-0000-1100-00001C000000}"/>
    <hyperlink ref="D34" r:id="rId30" xr:uid="{00000000-0004-0000-1100-00001D000000}"/>
    <hyperlink ref="D35" r:id="rId31" xr:uid="{00000000-0004-0000-1100-00001E000000}"/>
    <hyperlink ref="D36" r:id="rId32" xr:uid="{00000000-0004-0000-1100-00001F000000}"/>
    <hyperlink ref="D37" r:id="rId33" xr:uid="{00000000-0004-0000-1100-000020000000}"/>
    <hyperlink ref="D38" r:id="rId34" xr:uid="{00000000-0004-0000-1100-000021000000}"/>
    <hyperlink ref="D39" r:id="rId35" xr:uid="{00000000-0004-0000-1100-000022000000}"/>
    <hyperlink ref="D40" r:id="rId36" xr:uid="{00000000-0004-0000-1100-000023000000}"/>
    <hyperlink ref="D41" r:id="rId37" xr:uid="{00000000-0004-0000-1100-000024000000}"/>
    <hyperlink ref="D42" r:id="rId38" xr:uid="{00000000-0004-0000-1100-000025000000}"/>
    <hyperlink ref="D43" r:id="rId39" xr:uid="{00000000-0004-0000-1100-000026000000}"/>
    <hyperlink ref="D44" r:id="rId40" xr:uid="{00000000-0004-0000-1100-000027000000}"/>
    <hyperlink ref="D45" r:id="rId41" xr:uid="{00000000-0004-0000-1100-000028000000}"/>
    <hyperlink ref="D46" r:id="rId42" xr:uid="{00000000-0004-0000-1100-000029000000}"/>
    <hyperlink ref="D47" r:id="rId43" xr:uid="{00000000-0004-0000-1100-00002A000000}"/>
    <hyperlink ref="D48" r:id="rId44" xr:uid="{00000000-0004-0000-1100-00002B000000}"/>
    <hyperlink ref="D49" r:id="rId45" xr:uid="{00000000-0004-0000-1100-00002C000000}"/>
    <hyperlink ref="D51" r:id="rId46" xr:uid="{00000000-0004-0000-1100-00002D000000}"/>
    <hyperlink ref="D52" r:id="rId47" xr:uid="{00000000-0004-0000-1100-00002E000000}"/>
    <hyperlink ref="D53" r:id="rId48" xr:uid="{00000000-0004-0000-1100-00002F000000}"/>
    <hyperlink ref="D54" r:id="rId49" xr:uid="{00000000-0004-0000-1100-000030000000}"/>
    <hyperlink ref="D55" r:id="rId50" xr:uid="{00000000-0004-0000-1100-000031000000}"/>
    <hyperlink ref="D56" r:id="rId51" xr:uid="{00000000-0004-0000-1100-000032000000}"/>
    <hyperlink ref="D57" r:id="rId52" xr:uid="{00000000-0004-0000-1100-000033000000}"/>
    <hyperlink ref="D58" r:id="rId53" xr:uid="{00000000-0004-0000-1100-000034000000}"/>
    <hyperlink ref="D59" r:id="rId54" xr:uid="{00000000-0004-0000-1100-000035000000}"/>
    <hyperlink ref="D60" r:id="rId55" xr:uid="{00000000-0004-0000-1100-000036000000}"/>
    <hyperlink ref="D61" r:id="rId56" xr:uid="{00000000-0004-0000-1100-000037000000}"/>
    <hyperlink ref="D62" r:id="rId57" xr:uid="{00000000-0004-0000-1100-000038000000}"/>
    <hyperlink ref="D63" r:id="rId58" xr:uid="{00000000-0004-0000-1100-000039000000}"/>
    <hyperlink ref="D64" r:id="rId59" xr:uid="{00000000-0004-0000-1100-00003A000000}"/>
    <hyperlink ref="D65" r:id="rId60" xr:uid="{00000000-0004-0000-1100-00003B000000}"/>
    <hyperlink ref="D66" r:id="rId61" xr:uid="{00000000-0004-0000-1100-00003C000000}"/>
    <hyperlink ref="D67" r:id="rId62" xr:uid="{00000000-0004-0000-1100-00003D000000}"/>
    <hyperlink ref="D68" r:id="rId63" xr:uid="{00000000-0004-0000-1100-00003E000000}"/>
    <hyperlink ref="D69" r:id="rId64" xr:uid="{00000000-0004-0000-1100-00003F000000}"/>
    <hyperlink ref="D70" r:id="rId65" xr:uid="{00000000-0004-0000-1100-000040000000}"/>
    <hyperlink ref="D71" r:id="rId66" xr:uid="{00000000-0004-0000-1100-000041000000}"/>
    <hyperlink ref="D72" r:id="rId67" xr:uid="{00000000-0004-0000-1100-000042000000}"/>
    <hyperlink ref="D73" r:id="rId68" xr:uid="{00000000-0004-0000-1100-000043000000}"/>
    <hyperlink ref="D74" r:id="rId69" xr:uid="{00000000-0004-0000-1100-000044000000}"/>
    <hyperlink ref="D75" r:id="rId70" xr:uid="{00000000-0004-0000-1100-000045000000}"/>
    <hyperlink ref="D76" r:id="rId71" xr:uid="{00000000-0004-0000-1100-000046000000}"/>
    <hyperlink ref="D77" r:id="rId72" xr:uid="{00000000-0004-0000-1100-000047000000}"/>
    <hyperlink ref="D78" r:id="rId73" xr:uid="{00000000-0004-0000-1100-000048000000}"/>
    <hyperlink ref="D79" r:id="rId74" xr:uid="{00000000-0004-0000-1100-000049000000}"/>
    <hyperlink ref="D80" r:id="rId75" xr:uid="{00000000-0004-0000-1100-00004A000000}"/>
    <hyperlink ref="D81" r:id="rId76" xr:uid="{00000000-0004-0000-1100-00004B000000}"/>
  </hyperlink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7"/>
  <sheetViews>
    <sheetView showGridLines="0" zoomScaleNormal="100" workbookViewId="0">
      <selection activeCell="A3" sqref="A3"/>
    </sheetView>
  </sheetViews>
  <sheetFormatPr baseColWidth="10" defaultColWidth="8.6640625" defaultRowHeight="15" x14ac:dyDescent="0.2"/>
  <cols>
    <col min="1" max="1" width="44" customWidth="1"/>
    <col min="2" max="2" width="22" customWidth="1"/>
    <col min="3" max="3" width="14" customWidth="1"/>
    <col min="4" max="4" width="70" customWidth="1"/>
    <col min="5" max="5" width="30" customWidth="1"/>
    <col min="6" max="6" width="45" customWidth="1"/>
  </cols>
  <sheetData>
    <row r="1" spans="1:6" ht="17.25" customHeight="1" x14ac:dyDescent="0.2">
      <c r="A1" s="115" t="s">
        <v>2334</v>
      </c>
    </row>
    <row r="2" spans="1:6" ht="15" customHeight="1" x14ac:dyDescent="0.2">
      <c r="A2" s="11"/>
    </row>
    <row r="4" spans="1:6" ht="15" customHeight="1" x14ac:dyDescent="0.2">
      <c r="A4" s="117" t="s">
        <v>170</v>
      </c>
      <c r="B4" s="117" t="s">
        <v>2335</v>
      </c>
      <c r="C4" s="117" t="s">
        <v>157</v>
      </c>
      <c r="D4" s="117" t="s">
        <v>2336</v>
      </c>
      <c r="E4" s="117" t="s">
        <v>2337</v>
      </c>
      <c r="F4" s="119" t="s">
        <v>2338</v>
      </c>
    </row>
    <row r="5" spans="1:6" ht="23.25" customHeight="1" x14ac:dyDescent="0.2">
      <c r="A5" s="13" t="s">
        <v>2339</v>
      </c>
      <c r="B5" s="13" t="s">
        <v>2340</v>
      </c>
      <c r="C5" s="13" t="s">
        <v>2341</v>
      </c>
      <c r="D5" s="13" t="s">
        <v>2342</v>
      </c>
      <c r="E5" s="13" t="s">
        <v>2343</v>
      </c>
      <c r="F5" s="13" t="s">
        <v>2344</v>
      </c>
    </row>
    <row r="6" spans="1:6" ht="23.25" customHeight="1" x14ac:dyDescent="0.2">
      <c r="A6" s="13" t="s">
        <v>2345</v>
      </c>
      <c r="B6" s="13" t="s">
        <v>2346</v>
      </c>
      <c r="C6" s="13" t="s">
        <v>2347</v>
      </c>
      <c r="D6" s="13" t="s">
        <v>2348</v>
      </c>
      <c r="E6" s="13" t="s">
        <v>2349</v>
      </c>
      <c r="F6" s="13" t="s">
        <v>2350</v>
      </c>
    </row>
    <row r="7" spans="1:6" ht="15" customHeight="1" x14ac:dyDescent="0.2">
      <c r="A7" s="13" t="s">
        <v>2351</v>
      </c>
      <c r="B7" s="13" t="s">
        <v>529</v>
      </c>
      <c r="C7" s="13" t="s">
        <v>2341</v>
      </c>
      <c r="D7" s="13" t="s">
        <v>2352</v>
      </c>
      <c r="E7" s="13" t="s">
        <v>2353</v>
      </c>
      <c r="F7" s="13" t="s">
        <v>2354</v>
      </c>
    </row>
    <row r="8" spans="1:6" ht="15" customHeight="1" x14ac:dyDescent="0.2">
      <c r="A8" s="13" t="s">
        <v>2355</v>
      </c>
      <c r="B8" s="13" t="s">
        <v>2356</v>
      </c>
      <c r="C8" s="13" t="s">
        <v>2341</v>
      </c>
      <c r="D8" s="13" t="s">
        <v>2357</v>
      </c>
      <c r="E8" s="13" t="s">
        <v>2358</v>
      </c>
      <c r="F8" s="13" t="s">
        <v>2359</v>
      </c>
    </row>
    <row r="9" spans="1:6" ht="23.25" customHeight="1" x14ac:dyDescent="0.2">
      <c r="A9" s="13" t="s">
        <v>2360</v>
      </c>
      <c r="B9" s="13" t="s">
        <v>2223</v>
      </c>
      <c r="C9" s="13" t="s">
        <v>2347</v>
      </c>
      <c r="D9" s="13" t="s">
        <v>2361</v>
      </c>
      <c r="E9" s="13" t="s">
        <v>2362</v>
      </c>
      <c r="F9" s="13" t="s">
        <v>2363</v>
      </c>
    </row>
    <row r="10" spans="1:6" ht="15" customHeight="1" x14ac:dyDescent="0.2">
      <c r="A10" s="13" t="s">
        <v>2364</v>
      </c>
      <c r="B10" s="13" t="s">
        <v>2365</v>
      </c>
      <c r="C10" s="13" t="s">
        <v>2347</v>
      </c>
      <c r="D10" s="13" t="s">
        <v>2366</v>
      </c>
      <c r="E10" s="13" t="s">
        <v>2367</v>
      </c>
      <c r="F10" s="13" t="s">
        <v>1056</v>
      </c>
    </row>
    <row r="11" spans="1:6" ht="23.25" customHeight="1" x14ac:dyDescent="0.2">
      <c r="A11" s="13" t="s">
        <v>2368</v>
      </c>
      <c r="B11" s="13" t="s">
        <v>2369</v>
      </c>
      <c r="C11" s="13" t="s">
        <v>2341</v>
      </c>
      <c r="D11" s="13" t="s">
        <v>2370</v>
      </c>
      <c r="E11" s="13" t="s">
        <v>2371</v>
      </c>
      <c r="F11" s="13" t="s">
        <v>2372</v>
      </c>
    </row>
    <row r="12" spans="1:6" ht="23.25" customHeight="1" x14ac:dyDescent="0.2">
      <c r="A12" s="13" t="s">
        <v>2373</v>
      </c>
      <c r="B12" s="13" t="s">
        <v>2374</v>
      </c>
      <c r="C12" s="13" t="s">
        <v>2347</v>
      </c>
      <c r="D12" s="13" t="s">
        <v>2375</v>
      </c>
      <c r="E12" s="13" t="s">
        <v>2376</v>
      </c>
      <c r="F12" s="13" t="s">
        <v>2377</v>
      </c>
    </row>
    <row r="13" spans="1:6" ht="15" customHeight="1" x14ac:dyDescent="0.2">
      <c r="A13" s="13" t="s">
        <v>2378</v>
      </c>
      <c r="B13" s="13" t="s">
        <v>2379</v>
      </c>
      <c r="C13" s="13" t="s">
        <v>2380</v>
      </c>
      <c r="D13" s="13" t="s">
        <v>2381</v>
      </c>
      <c r="E13" s="13" t="s">
        <v>2382</v>
      </c>
      <c r="F13" s="13" t="s">
        <v>1694</v>
      </c>
    </row>
    <row r="14" spans="1:6" ht="23.25" customHeight="1" x14ac:dyDescent="0.2">
      <c r="A14" s="13" t="s">
        <v>2383</v>
      </c>
      <c r="B14" s="13" t="s">
        <v>2384</v>
      </c>
      <c r="C14" s="13" t="s">
        <v>2380</v>
      </c>
      <c r="D14" s="13" t="s">
        <v>2385</v>
      </c>
      <c r="E14" s="13" t="s">
        <v>2386</v>
      </c>
      <c r="F14" s="13" t="s">
        <v>2387</v>
      </c>
    </row>
    <row r="15" spans="1:6" ht="15" customHeight="1" x14ac:dyDescent="0.2">
      <c r="A15" s="13" t="s">
        <v>2388</v>
      </c>
      <c r="B15" s="13" t="s">
        <v>2389</v>
      </c>
      <c r="C15" s="13" t="s">
        <v>2380</v>
      </c>
      <c r="D15" s="13" t="s">
        <v>2390</v>
      </c>
      <c r="E15" s="13" t="s">
        <v>2391</v>
      </c>
      <c r="F15" s="13" t="s">
        <v>1643</v>
      </c>
    </row>
    <row r="16" spans="1:6" ht="15" customHeight="1" x14ac:dyDescent="0.2">
      <c r="A16" s="13" t="s">
        <v>2392</v>
      </c>
      <c r="B16" s="13" t="s">
        <v>2393</v>
      </c>
      <c r="C16" s="13" t="s">
        <v>2380</v>
      </c>
      <c r="D16" s="13" t="s">
        <v>2394</v>
      </c>
      <c r="E16" s="13" t="s">
        <v>2382</v>
      </c>
      <c r="F16" s="13" t="s">
        <v>2014</v>
      </c>
    </row>
    <row r="17" spans="1:6" ht="23.25" customHeight="1" x14ac:dyDescent="0.2">
      <c r="A17" s="13" t="s">
        <v>2395</v>
      </c>
      <c r="B17" s="13" t="s">
        <v>298</v>
      </c>
      <c r="C17" s="13" t="s">
        <v>2341</v>
      </c>
      <c r="D17" s="13" t="s">
        <v>2396</v>
      </c>
      <c r="E17" s="13" t="s">
        <v>2397</v>
      </c>
      <c r="F17" s="13" t="s">
        <v>2398</v>
      </c>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6"/>
  <sheetViews>
    <sheetView showGridLines="0" zoomScaleNormal="100" workbookViewId="0">
      <selection activeCell="B20" sqref="B20"/>
    </sheetView>
  </sheetViews>
  <sheetFormatPr baseColWidth="10" defaultColWidth="8.6640625" defaultRowHeight="15" x14ac:dyDescent="0.2"/>
  <cols>
    <col min="1" max="1" width="30" customWidth="1"/>
    <col min="2" max="2" width="120" customWidth="1"/>
    <col min="3" max="3" width="28" customWidth="1"/>
  </cols>
  <sheetData>
    <row r="1" spans="1:3" ht="17.25" customHeight="1" x14ac:dyDescent="0.2">
      <c r="A1" s="115" t="s">
        <v>2399</v>
      </c>
    </row>
    <row r="2" spans="1:3" ht="15" customHeight="1" x14ac:dyDescent="0.2">
      <c r="A2" s="11" t="s">
        <v>2400</v>
      </c>
    </row>
    <row r="3" spans="1:3" x14ac:dyDescent="0.2">
      <c r="C3" s="14" t="s">
        <v>2401</v>
      </c>
    </row>
    <row r="4" spans="1:3" ht="15" customHeight="1" x14ac:dyDescent="0.2">
      <c r="A4" s="12" t="s">
        <v>2402</v>
      </c>
      <c r="B4" s="13" t="s">
        <v>2403</v>
      </c>
    </row>
    <row r="5" spans="1:3" ht="15" customHeight="1" x14ac:dyDescent="0.2">
      <c r="A5" s="12" t="s">
        <v>2404</v>
      </c>
      <c r="B5" s="13" t="s">
        <v>2405</v>
      </c>
    </row>
    <row r="6" spans="1:3" ht="15" customHeight="1" x14ac:dyDescent="0.2">
      <c r="A6" s="12" t="s">
        <v>2406</v>
      </c>
      <c r="B6" s="13" t="s">
        <v>2407</v>
      </c>
      <c r="C6" s="15" t="s">
        <v>2408</v>
      </c>
    </row>
    <row r="7" spans="1:3" ht="23.25" customHeight="1" x14ac:dyDescent="0.2">
      <c r="A7" s="12" t="s">
        <v>2409</v>
      </c>
      <c r="B7" s="13" t="s">
        <v>2410</v>
      </c>
      <c r="C7" s="15" t="s">
        <v>2411</v>
      </c>
    </row>
    <row r="8" spans="1:3" ht="15" customHeight="1" x14ac:dyDescent="0.2">
      <c r="A8" s="12" t="s">
        <v>2412</v>
      </c>
      <c r="B8" s="13" t="s">
        <v>2413</v>
      </c>
      <c r="C8" s="15" t="s">
        <v>2414</v>
      </c>
    </row>
    <row r="9" spans="1:3" ht="15" customHeight="1" x14ac:dyDescent="0.2">
      <c r="A9" s="12" t="s">
        <v>1555</v>
      </c>
      <c r="B9" s="13" t="s">
        <v>2415</v>
      </c>
      <c r="C9" s="15" t="s">
        <v>1694</v>
      </c>
    </row>
    <row r="10" spans="1:3" ht="15" customHeight="1" x14ac:dyDescent="0.2">
      <c r="A10" s="12" t="s">
        <v>2416</v>
      </c>
      <c r="B10" s="13" t="s">
        <v>2417</v>
      </c>
      <c r="C10" s="15" t="s">
        <v>2418</v>
      </c>
    </row>
    <row r="11" spans="1:3" ht="23.25" customHeight="1" x14ac:dyDescent="0.2">
      <c r="A11" s="12" t="s">
        <v>2419</v>
      </c>
      <c r="B11" s="13" t="s">
        <v>2420</v>
      </c>
      <c r="C11" s="15" t="s">
        <v>2421</v>
      </c>
    </row>
    <row r="12" spans="1:3" ht="15" customHeight="1" x14ac:dyDescent="0.2">
      <c r="A12" s="12" t="s">
        <v>2422</v>
      </c>
      <c r="B12" s="13" t="s">
        <v>2423</v>
      </c>
      <c r="C12" s="15" t="s">
        <v>125</v>
      </c>
    </row>
    <row r="13" spans="1:3" ht="15" customHeight="1" x14ac:dyDescent="0.2">
      <c r="A13" s="12" t="s">
        <v>2424</v>
      </c>
      <c r="B13" s="13" t="s">
        <v>2425</v>
      </c>
      <c r="C13" s="15" t="s">
        <v>2014</v>
      </c>
    </row>
    <row r="14" spans="1:3" ht="15" customHeight="1" x14ac:dyDescent="0.2">
      <c r="A14" s="12" t="s">
        <v>2426</v>
      </c>
      <c r="B14" s="13" t="s">
        <v>2427</v>
      </c>
      <c r="C14" s="15" t="s">
        <v>2037</v>
      </c>
    </row>
    <row r="15" spans="1:3" ht="23.25" customHeight="1" x14ac:dyDescent="0.2">
      <c r="A15" s="12" t="s">
        <v>2428</v>
      </c>
      <c r="B15" s="13" t="s">
        <v>2429</v>
      </c>
      <c r="C15" s="15" t="s">
        <v>2430</v>
      </c>
    </row>
    <row r="16" spans="1:3" ht="23.25" customHeight="1" x14ac:dyDescent="0.2">
      <c r="A16" s="12" t="s">
        <v>2431</v>
      </c>
      <c r="B16" s="13" t="s">
        <v>2432</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a7262e59-1b56-4f5a-a412-6f07181f48ee}" enabled="0" method="" siteId="{a7262e59-1b56-4f5a-a412-6f07181f48ee}" removed="1"/>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README</vt:lpstr>
      <vt:lpstr>Dashboard</vt:lpstr>
      <vt:lpstr>Inputs</vt:lpstr>
      <vt:lpstr>Rent_Data</vt:lpstr>
      <vt:lpstr>Location</vt:lpstr>
      <vt:lpstr>Menu</vt:lpstr>
      <vt:lpstr>Revenue</vt:lpstr>
      <vt:lpstr>Staffing</vt:lpstr>
      <vt:lpstr>OPEX</vt:lpstr>
      <vt:lpstr>CAPEX (Buy)</vt:lpstr>
      <vt:lpstr>CAPEX (Rent)</vt:lpstr>
      <vt:lpstr>Funding</vt:lpstr>
      <vt:lpstr>Scenarios</vt:lpstr>
      <vt:lpstr>PnL_Monthly</vt:lpstr>
      <vt:lpstr>Annual</vt:lpstr>
      <vt:lpstr>Sensitivity</vt:lpstr>
      <vt:lpstr>MonteCarlo</vt:lpstr>
      <vt:lpstr>Sources</vt:lpstr>
      <vt:lpstr>Research_Tracker</vt:lpstr>
      <vt:lpstr>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Reimann, TiagoPhilip</cp:lastModifiedBy>
  <cp:revision>5</cp:revision>
  <cp:lastPrinted>2026-10-09T08:55:52Z</cp:lastPrinted>
  <dcterms:created xsi:type="dcterms:W3CDTF">2026-10-06T16:27:50Z</dcterms:created>
  <dcterms:modified xsi:type="dcterms:W3CDTF">2026-10-18T13:03:46Z</dcterms:modified>
  <dc:language>en-US</dc:language>
</cp:coreProperties>
</file>